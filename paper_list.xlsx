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fbcc1c63f244f9e" /></Relationships>
</file>

<file path=xl/workbook.xml><?xml version="1.0" encoding="utf-8"?>
<x:workbook xmlns:x="http://schemas.openxmlformats.org/spreadsheetml/2006/main">
  <x:sheets>
    <x:sheet xmlns:r="http://schemas.openxmlformats.org/officeDocument/2006/relationships" name="Overview" sheetId="1" r:id="Rbed8e22a383441d7"/>
    <x:sheet xmlns:r="http://schemas.openxmlformats.org/officeDocument/2006/relationships" name="Paper List" sheetId="2" r:id="R11677adb05d24972"/>
    <x:sheet xmlns:r="http://schemas.openxmlformats.org/officeDocument/2006/relationships" name="Resources" sheetId="3" r:id="R3ea5133c7d4b4818"/>
    <x:sheet xmlns:r="http://schemas.openxmlformats.org/officeDocument/2006/relationships" name="Taxonomy" sheetId="4" r:id="R3780787a6532452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x:numFmts>
  <x:fonts count="6">
    <x:font>
      <x:sz val="11"/>
      <x:name val="Carlito"/>
    </x:font>
    <x:font>
      <x:sz val="10"/>
      <x:color rgb="FF24344B"/>
      <x:name val="Arial"/>
    </x:font>
    <x:font>
      <x:sz val="10"/>
      <x:color rgb="FF1D5E9C"/>
      <x:name val="Arial"/>
    </x:font>
    <x:font>
      <x:b/>
      <x:sz val="10"/>
      <x:color rgb="FFFFFFFF"/>
      <x:name val="Arial"/>
    </x:font>
    <x:font>
      <x:b/>
      <x:sz val="15"/>
      <x:color rgb="FF24344B"/>
      <x:name val="Arial"/>
    </x:font>
    <x:font>
      <x:sz val="10"/>
      <x:color rgb="FF64748B"/>
      <x:name val="Arial"/>
    </x:font>
  </x:fonts>
  <x:fills count="5">
    <x:fill>
      <x:patternFill patternType="none"/>
    </x:fill>
    <x:fill>
      <x:patternFill patternType="gray125"/>
    </x:fill>
    <x:fill>
      <x:patternFill patternType="solid">
        <x:fgColor rgb="FFFFF1CD"/>
      </x:patternFill>
    </x:fill>
    <x:fill>
      <x:patternFill patternType="solid">
        <x:fgColor rgb="FF244563"/>
      </x:patternFill>
    </x:fill>
    <x:fill>
      <x:patternFill patternType="solid">
        <x:fgColor rgb="FFFFFFFF"/>
      </x:patternFill>
    </x:fill>
  </x:fills>
  <x:borders count="1">
    <x:border>
      <x:left/>
      <x:right/>
      <x:top/>
      <x:bottom/>
      <x:diagonal/>
    </x:border>
  </x:borders>
  <x:cellStyleXfs count="1">
    <x:xf numFmtId="0" fontId="0" fillId="0" borderId="0"/>
  </x:cellStyleXfs>
  <x:cellXfs count="1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3" fillId="3" borderId="0" xfId="0" applyNumberFormat="1" applyFont="1" applyFill="1" applyBorder="1" applyAlignment="1">
      <x:alignment vertical="center"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4" fillId="0" borderId="0" xfId="0" applyNumberFormat="1" applyFont="1" applyFill="1" applyBorder="1" applyAlignment="1">
      <x:alignment horizontal="center" vertical="center"/>
    </x:xf>
    <x:xf numFmtId="0" fontId="1" fillId="0" borderId="0" xfId="0" applyNumberFormat="1" applyFont="1" applyFill="1" applyBorder="1" applyAlignment="1">
      <x:alignment vertical="center" wrapText="0"/>
    </x:xf>
    <x:xf numFmtId="0" fontId="1" fillId="4" borderId="0" xfId="0" applyNumberFormat="1" applyFont="1" applyFill="1" applyBorder="1" applyAlignment="1">
      <x:alignment vertical="center" wrapText="0"/>
    </x:xf>
    <x:xf numFmtId="0" fontId="1" fillId="4" borderId="0" xfId="0" applyNumberFormat="1" applyFont="1" applyFill="1" applyBorder="1" applyAlignment="1">
      <x:alignment vertical="center"/>
    </x:xf>
  </x:cellXfs>
  <x:cellStyles count="1">
    <x:cellStyle name="Normal" xfId="0"/>
  </x:cellStyles>
  <x:dxfs count="4">
    <x:dxf>
      <x:fill>
        <x:patternFill patternType="solid">
          <x:bgColor rgb="FFFCE4E4"/>
        </x:patternFill>
      </x:fill>
    </x:dxf>
    <x:dxf>
      <x:font>
        <x:color rgb="FF86520A"/>
      </x:font>
      <x:fill>
        <x:patternFill patternType="solid">
          <x:bgColor rgb="FFFFF1CD"/>
        </x:patternFill>
      </x:fill>
    </x:dxf>
    <x:dxf>
      <x:fill>
        <x:patternFill patternType="solid">
          <x:bgColor rgb="FFFCE4E4"/>
        </x:patternFill>
      </x:fill>
    </x:dxf>
    <x:dxf>
      <x:font>
        <x:color rgb="FF86520A"/>
      </x:font>
      <x:fill>
        <x:patternFill patternType="solid">
          <x:bgColor rgb="FFFFF1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60b641569dd415b" /><Relationship Type="http://schemas.openxmlformats.org/officeDocument/2006/relationships/theme" Target="/xl/theme/theme1.xml" Id="R26065aaa43194161" /><Relationship Type="http://schemas.openxmlformats.org/officeDocument/2006/relationships/sharedStrings" Target="/xl/sharedStrings.xml" Id="R158ef838bdc14c17" /><Relationship Type="http://schemas.openxmlformats.org/officeDocument/2006/relationships/worksheet" Target="/xl/worksheets/sheet1.xml" Id="Rbed8e22a383441d7" /><Relationship Type="http://schemas.openxmlformats.org/officeDocument/2006/relationships/worksheet" Target="/xl/worksheets/sheet2.xml" Id="R11677adb05d24972" /><Relationship Type="http://schemas.openxmlformats.org/officeDocument/2006/relationships/worksheet" Target="/xl/worksheets/sheet3.xml" Id="R3ea5133c7d4b4818" /><Relationship Type="http://schemas.openxmlformats.org/officeDocument/2006/relationships/worksheet" Target="/xl/worksheets/sheet4.xml" Id="R3780787a65324521" /></Relationships>
</file>

<file path=xl/tables/table1.xml><?xml version="1.0" encoding="utf-8"?>
<x:table xmlns:x="http://schemas.openxmlformats.org/spreadsheetml/2006/main" id="1" name="Papers" displayName="Papers" ref="A1:Z291" headerRowCount="1" totalsRowCount="0" totalsRowShown="0">
  <x:autoFilter ref="A1:Z291"/>
  <x:tableColumns count="26">
    <x:tableColumn id="1" name="ID"/>
    <x:tableColumn id="2" name="论文名称"/>
    <x:tableColumn id="3" name="简称"/>
    <x:tableColumn id="4" name="年份"/>
    <x:tableColumn id="5" name="论文链接"/>
    <x:tableColumn id="6" name="单位"/>
    <x:tableColumn id="7" name="条目类型"/>
    <x:tableColumn id="8" name="主分类"/>
    <x:tableColumn id="9" name="细分类"/>
    <x:tableColumn id="10" name="能力标签"/>
    <x:tableColumn id="11" name="优化类型"/>
    <x:tableColumn id="12" name="Survey章节"/>
    <x:tableColumn id="13" name="核心贡献"/>
    <x:tableColumn id="14" name="代码链接"/>
    <x:tableColumn id="15" name="数据链接"/>
    <x:tableColumn id="16" name="核验状态"/>
    <x:tableColumn id="17" name="单位来源"/>
    <x:tableColumn id="18" name="元数据来源"/>
    <x:tableColumn id="19" name="草稿引用编号"/>
    <x:tableColumn id="20" name="收录来源"/>
    <x:tableColumn id="21" name="复核日期"/>
    <x:tableColumn id="22" name="阅读状态"/>
    <x:tableColumn id="23" name="负责人"/>
    <x:tableColumn id="24" name="写作章节"/>
    <x:tableColumn id="25" name="写作备注"/>
    <x:tableColumn id="26" name="核验备注"/>
  </x:tableColumns>
  <x:tableStyleInfo name="TableStyleMedium2" showFirstColumn="0" showLastColumn="0" showRowStripes="1" showColumnStripes="0"/>
</x:table>
</file>

<file path=xl/tables/table2.xml><?xml version="1.0" encoding="utf-8"?>
<x:table xmlns:x="http://schemas.openxmlformats.org/spreadsheetml/2006/main" id="2" name="NonPaperResources" displayName="NonPaperResources" ref="A1:Z15" headerRowCount="1" totalsRowCount="0" totalsRowShown="0">
  <x:autoFilter ref="A1:Z15"/>
  <x:tableColumns count="26">
    <x:tableColumn id="1" name="ID"/>
    <x:tableColumn id="2" name="论文名称"/>
    <x:tableColumn id="3" name="简称"/>
    <x:tableColumn id="4" name="年份"/>
    <x:tableColumn id="5" name="论文链接"/>
    <x:tableColumn id="6" name="单位"/>
    <x:tableColumn id="7" name="条目类型"/>
    <x:tableColumn id="8" name="主分类"/>
    <x:tableColumn id="9" name="细分类"/>
    <x:tableColumn id="10" name="能力标签"/>
    <x:tableColumn id="11" name="优化类型"/>
    <x:tableColumn id="12" name="Survey章节"/>
    <x:tableColumn id="13" name="核心贡献"/>
    <x:tableColumn id="14" name="代码链接"/>
    <x:tableColumn id="15" name="数据链接"/>
    <x:tableColumn id="16" name="核验状态"/>
    <x:tableColumn id="17" name="单位来源"/>
    <x:tableColumn id="18" name="元数据来源"/>
    <x:tableColumn id="19" name="草稿引用编号"/>
    <x:tableColumn id="20" name="收录来源"/>
    <x:tableColumn id="21" name="复核日期"/>
    <x:tableColumn id="22" name="阅读状态"/>
    <x:tableColumn id="23" name="负责人"/>
    <x:tableColumn id="24" name="写作章节"/>
    <x:tableColumn id="25" name="写作备注"/>
    <x:tableColumn id="26" name="核验备注"/>
  </x:tableColumns>
  <x:tableStyleInfo name="TableStyleMedium2" showFirstColumn="0" showLastColumn="0" showRowStripes="1" showColumnStripes="0"/>
</x:table>
</file>

<file path=xl/tables/table3.xml><?xml version="1.0" encoding="utf-8"?>
<x:table xmlns:x="http://schemas.openxmlformats.org/spreadsheetml/2006/main" id="3" name="TaxonomyTerms" displayName="TaxonomyTerms" ref="A5:E42" headerRowCount="1" totalsRowCount="0" totalsRowShown="0">
  <x:tableColumns count="5">
    <x:tableColumn id="1" name="维度"/>
    <x:tableColumn id="2" name="代码"/>
    <x:tableColumn id="3" name="中文术语"/>
    <x:tableColumn id="4" name="Survey章节"/>
    <x:tableColumn id="5" name="定义 / 代表工作"/>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a22e16a0dff436e" /></Relationships>
</file>

<file path=xl/worksheets/_rels/sheet3.xml.rels>&#65279;<?xml version="1.0" encoding="utf-8"?><Relationships xmlns="http://schemas.openxmlformats.org/package/2006/relationships"><Relationship Type="http://schemas.openxmlformats.org/officeDocument/2006/relationships/table" Target="/xl/tables/table2.xml" Id="Rba3c9f7bdbd64afb" /></Relationships>
</file>

<file path=xl/worksheets/_rels/sheet4.xml.rels>&#65279;<?xml version="1.0" encoding="utf-8"?><Relationships xmlns="http://schemas.openxmlformats.org/package/2006/relationships"><Relationship Type="http://schemas.openxmlformats.org/officeDocument/2006/relationships/table" Target="/xl/tables/table3.xml" Id="R4b3f3d9fafbb43d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28" hidden="0" customWidth="1"/>
    <x:col min="3" max="3" width="12" hidden="0" customWidth="1"/>
    <x:col min="4" max="4" width="70" hidden="0" customWidth="1"/>
    <x:col min="5" max="5" width="23" hidden="0" customWidth="1"/>
    <x:col min="6" max="6" width="8" hidden="0" customWidth="1"/>
    <x:col min="7" max="7" width="14" hidden="0" customWidth="1"/>
    <x:col min="8" max="8" width="14" hidden="0" customWidth="1"/>
    <x:col min="9" max="9" width="14" hidden="0" customWidth="1"/>
  </x:cols>
  <x:sheetData>
    <x:row r="1">
      <x:c r="A1" s="2"/>
      <x:c r="B1" s="2"/>
      <x:c r="C1" s="2"/>
      <x:c r="D1" s="2"/>
      <x:c r="E1" s="2"/>
      <x:c r="F1" s="2"/>
      <x:c r="G1" s="2"/>
      <x:c r="H1" s="2"/>
      <x:c r="I1" s="2"/>
    </x:row>
    <x:row r="2" ht="30" customHeight="1">
      <x:c r="A2" s="12" t="str">
        <x:v>Working Agents 论文索引</x:v>
      </x:c>
      <x:c r="B2" s="2"/>
      <x:c r="C2" s="2"/>
      <x:c r="D2" s="2"/>
      <x:c r="E2" s="2"/>
      <x:c r="F2" s="2"/>
      <x:c r="G2" s="2"/>
      <x:c r="H2" s="2"/>
      <x:c r="I2" s="2"/>
    </x:row>
    <x:row r="3">
      <x:c r="A3" s="13" t="str">
        <x:v>截至 2026-10-16 / 分类 v0.1，初版可共同修订</x:v>
      </x:c>
      <x:c r="B3" s="2"/>
      <x:c r="C3" s="2"/>
      <x:c r="D3" s="2"/>
      <x:c r="E3" s="2"/>
      <x:c r="F3" s="2"/>
      <x:c r="G3" s="2"/>
      <x:c r="H3" s="2"/>
      <x:c r="I3" s="2"/>
    </x:row>
    <x:row r="4">
      <x:c r="A4" s="2"/>
      <x:c r="B4" s="2"/>
      <x:c r="C4" s="2"/>
      <x:c r="D4" s="2"/>
      <x:c r="E4" s="2"/>
      <x:c r="F4" s="2"/>
      <x:c r="G4" s="2"/>
      <x:c r="H4" s="2"/>
      <x:c r="I4" s="2"/>
    </x:row>
    <x:row r="5" ht="30" customHeight="1">
      <x:c r="A5" s="11" t="str">
        <x:v>学术条目（含背景）</x:v>
      </x:c>
      <x:c r="B5" s="11" t="str">
        <x:v>单位有来源</x:v>
      </x:c>
      <x:c r="C5" s="11" t="str">
        <x:v>单位待补充</x:v>
      </x:c>
      <x:c r="D5" s="11" t="str">
        <x:v>题名链接待确认</x:v>
      </x:c>
      <x:c r="E5" s="11" t="str">
        <x:v>非论文资源</x:v>
      </x:c>
      <x:c r="F5" s="2"/>
      <x:c r="G5" s="2"/>
      <x:c r="H5" s="2"/>
      <x:c r="I5" s="2"/>
    </x:row>
    <x:row r="6" ht="35" customHeight="1">
      <x:c r="A6" s="15" t="n">
        <x:f>COUNTA('Paper List'!$A$2:$A$2000)</x:f>
        <x:v>290</x:v>
      </x:c>
      <x:c r="B6" s="15" t="n">
        <x:f>COUNTIFS('Paper List'!$P$2:$P$2000,"verified")</x:f>
        <x:v>288</x:v>
      </x:c>
      <x:c r="C6" s="15" t="n">
        <x:f>COUNTIFS('Paper List'!$P$2:$P$2000,"metadata-only")</x:f>
        <x:v>2</x:v>
      </x:c>
      <x:c r="D6" s="15" t="n">
        <x:f>COUNTIFS('Paper List'!$P$2:$P$2000,"pending")</x:f>
        <x:v>0</x:v>
      </x:c>
      <x:c r="E6" s="15" t="n">
        <x:f>COUNTA('Resources'!$A$2:$A$200)</x:f>
        <x:v>14</x:v>
      </x:c>
      <x:c r="F6" s="2"/>
      <x:c r="G6" s="2"/>
      <x:c r="H6" s="2"/>
      <x:c r="I6" s="2"/>
    </x:row>
    <x:row r="7">
      <x:c r="A7" s="2"/>
      <x:c r="B7" s="2"/>
      <x:c r="C7" s="2"/>
      <x:c r="D7" s="2"/>
      <x:c r="E7" s="2"/>
      <x:c r="F7" s="2"/>
      <x:c r="G7" s="2"/>
      <x:c r="H7" s="2"/>
      <x:c r="I7" s="2"/>
    </x:row>
    <x:row r="8">
      <x:c r="A8" s="2"/>
      <x:c r="B8" s="2"/>
      <x:c r="C8" s="2"/>
      <x:c r="D8" s="2"/>
      <x:c r="E8" s="2"/>
      <x:c r="F8" s="2"/>
      <x:c r="G8" s="2"/>
      <x:c r="H8" s="2"/>
      <x:c r="I8" s="2"/>
    </x:row>
    <x:row r="9" ht="30" customHeight="1">
      <x:c r="A9" s="11" t="str">
        <x:v>主分类</x:v>
      </x:c>
      <x:c r="B9" s="11" t="str">
        <x:v>中文术语</x:v>
      </x:c>
      <x:c r="C9" s="11" t="str">
        <x:v>论文数</x:v>
      </x:c>
      <x:c r="D9" s="11" t="str">
        <x:v>代表工作（入门建议）</x:v>
      </x:c>
      <x:c r="E9" s="2"/>
      <x:c r="F9" s="2"/>
      <x:c r="G9" s="2"/>
      <x:c r="H9" s="2"/>
      <x:c r="I9" s="2"/>
    </x:row>
    <x:row r="10" ht="34" customHeight="1">
      <x:c r="A10" s="2" t="str">
        <x:v>artifact</x:v>
      </x:c>
      <x:c r="B10" s="2" t="str">
        <x:v>工作产物生成与编辑</x:v>
      </x:c>
      <x:c r="C10" s="2" t="n">
        <x:f>COUNTIFS('Paper List'!$H$2:$H$2000,A10)</x:f>
        <x:v>20</x:v>
      </x:c>
      <x:c r="D10" s="3" t="str">
        <x:v>SheetCopilot, SpreadsheetBench, PPTAgent, DeepPresenter</x:v>
      </x:c>
      <x:c r="E10" s="2"/>
      <x:c r="F10" s="2"/>
      <x:c r="G10" s="2"/>
      <x:c r="H10" s="2"/>
      <x:c r="I10" s="2"/>
    </x:row>
    <x:row r="11" ht="34" customHeight="1">
      <x:c r="A11" s="2" t="str">
        <x:v>workspace</x:v>
      </x:c>
      <x:c r="B11" s="2" t="str">
        <x:v>工作空间与跨文件工作</x:v>
      </x:c>
      <x:c r="C11" s="2" t="n">
        <x:f>COUNTIFS('Paper List'!$H$2:$H$2000,A11)</x:f>
        <x:v>23</x:v>
      </x:c>
      <x:c r="D11" s="3" t="str">
        <x:v>Workspace-Bench, OfficeBench, GDPval, APEX-Agents</x:v>
      </x:c>
      <x:c r="E11" s="2"/>
      <x:c r="F11" s="2"/>
      <x:c r="G11" s="2"/>
      <x:c r="H11" s="2"/>
      <x:c r="I11" s="2"/>
    </x:row>
    <x:row r="12" ht="34" customHeight="1">
      <x:c r="A12" s="2" t="str">
        <x:v>computer-use</x:v>
      </x:c>
      <x:c r="B12" s="2" t="str">
        <x:v>计算机与应用操作</x:v>
      </x:c>
      <x:c r="C12" s="2" t="n">
        <x:f>COUNTIFS('Paper List'!$H$2:$H$2000,A12)</x:f>
        <x:v>36</x:v>
      </x:c>
      <x:c r="D12" s="3" t="str">
        <x:v>OSWorld, WebArena, SeeClick, AndroidWorld</x:v>
      </x:c>
      <x:c r="E12" s="2"/>
      <x:c r="F12" s="2"/>
      <x:c r="G12" s="2"/>
      <x:c r="H12" s="2"/>
      <x:c r="I12" s="2"/>
    </x:row>
    <x:row r="13" ht="34" customHeight="1">
      <x:c r="A13" s="2" t="str">
        <x:v>tool-enterprise</x:v>
      </x:c>
      <x:c r="B13" s="2" t="str">
        <x:v>工具调用与企业流程</x:v>
      </x:c>
      <x:c r="C13" s="2" t="n">
        <x:f>COUNTIFS('Paper List'!$H$2:$H$2000,A13)</x:f>
        <x:v>41</x:v>
      </x:c>
      <x:c r="D13" s="3" t="str">
        <x:v>Toolformer, ReAct, AppWorld, ToolSandbox, tau-bench, CRMArena</x:v>
      </x:c>
      <x:c r="E13" s="2"/>
      <x:c r="F13" s="2"/>
      <x:c r="G13" s="2"/>
      <x:c r="H13" s="2"/>
      <x:c r="I13" s="2"/>
    </x:row>
    <x:row r="14" ht="34" customHeight="1">
      <x:c r="A14" s="2" t="str">
        <x:v>persistent</x:v>
      </x:c>
      <x:c r="B14" s="2" t="str">
        <x:v>持续责任与长期工作</x:v>
      </x:c>
      <x:c r="C14" s="2" t="n">
        <x:f>COUNTIFS('Paper List'!$H$2:$H$2000,A14)</x:f>
        <x:v>27</x:v>
      </x:c>
      <x:c r="D14" s="3" t="str">
        <x:v>MemGPT, LongMemEval, Proactive Agent, TimeArena</x:v>
      </x:c>
      <x:c r="E14" s="2"/>
      <x:c r="F14" s="2"/>
      <x:c r="G14" s="2"/>
      <x:c r="H14" s="2"/>
      <x:c r="I14" s="2"/>
    </x:row>
    <x:row r="15" ht="34" customHeight="1">
      <x:c r="A15" s="2" t="str">
        <x:v>harness</x:v>
      </x:c>
      <x:c r="B15" s="2" t="str">
        <x:v>运行框架、训练与优化</x:v>
      </x:c>
      <x:c r="C15" s="2" t="n">
        <x:f>COUNTIFS('Paper List'!$H$2:$H$2000,A15)</x:f>
        <x:v>50</x:v>
      </x:c>
      <x:c r="D15" s="3" t="str">
        <x:v>OpenHands, AutoGen, AFlow, GEPA, HiPER, SkillRL</x:v>
      </x:c>
      <x:c r="E15" s="2"/>
      <x:c r="F15" s="2"/>
      <x:c r="G15" s="2"/>
      <x:c r="H15" s="2"/>
      <x:c r="I15" s="2"/>
    </x:row>
    <x:row r="16" ht="34" customHeight="1">
      <x:c r="A16" s="2" t="str">
        <x:v>verification</x:v>
      </x:c>
      <x:c r="B16" s="2" t="str">
        <x:v>验证、评判与恢复</x:v>
      </x:c>
      <x:c r="C16" s="2" t="n">
        <x:f>COUNTIFS('Paper List'!$H$2:$H$2000,A16)</x:f>
        <x:v>16</x:v>
      </x:c>
      <x:c r="D16" s="3" t="str">
        <x:v>Self-Refine, CRITIC, Reflexion, Agent-as-a-Judge, SagaLLM</x:v>
      </x:c>
      <x:c r="E16" s="2"/>
      <x:c r="F16" s="2"/>
      <x:c r="G16" s="2"/>
      <x:c r="H16" s="2"/>
      <x:c r="I16" s="2"/>
    </x:row>
    <x:row r="17" ht="34" customHeight="1">
      <x:c r="A17" s="2" t="str">
        <x:v>safety</x:v>
      </x:c>
      <x:c r="B17" s="2" t="str">
        <x:v>安全、注入与授权</x:v>
      </x:c>
      <x:c r="C17" s="2" t="n">
        <x:f>COUNTIFS('Paper List'!$H$2:$H$2000,A17)</x:f>
        <x:v>8</x:v>
      </x:c>
      <x:c r="D17" s="3" t="str">
        <x:v>AgentDojo, InjecAgent, ToolEmu, AgentHarm</x:v>
      </x:c>
      <x:c r="E17" s="2"/>
      <x:c r="F17" s="2"/>
      <x:c r="G17" s="2"/>
      <x:c r="H17" s="2"/>
      <x:c r="I17" s="2"/>
    </x:row>
    <x:row r="18" ht="34" customHeight="1">
      <x:c r="A18" s="2" t="str">
        <x:v>related</x:v>
      </x:c>
      <x:c r="B18" s="2" t="str">
        <x:v>相关基础与工作影响</x:v>
      </x:c>
      <x:c r="C18" s="2" t="n">
        <x:f>COUNTIFS('Paper List'!$H$2:$H$2000,A18)</x:f>
        <x:v>37</x:v>
      </x:c>
      <x:c r="D18" s="3" t="str">
        <x:v>DocVQA, FinQA, TAT-QA, PlanBench, Future of Work with AI Agents</x:v>
      </x:c>
      <x:c r="E18" s="2"/>
      <x:c r="F18" s="2"/>
      <x:c r="G18" s="2"/>
      <x:c r="H18" s="2"/>
      <x:c r="I18" s="2"/>
    </x:row>
    <x:row r="19" ht="34" customHeight="1">
      <x:c r="A19" s="2" t="str">
        <x:v>swe-science</x:v>
      </x:c>
      <x:c r="B19" s="2" t="str">
        <x:v>软件、数据科学与科研工作</x:v>
      </x:c>
      <x:c r="C19" s="2" t="n">
        <x:f>COUNTIFS('Paper List'!$H$2:$H$2000,A19)</x:f>
        <x:v>32</x:v>
      </x:c>
      <x:c r="D19" s="3" t="str">
        <x:v>SWE-bench, SWE-agent, DSBench, ScienceAgentBench, PaperBench</x:v>
      </x:c>
      <x:c r="E19" s="2"/>
      <x:c r="F19" s="2"/>
      <x:c r="G19" s="2"/>
      <x:c r="H19" s="2"/>
      <x:c r="I19" s="2"/>
    </x:row>
    <x:row r="20">
      <x:c r="A20" s="2"/>
      <x:c r="B20" s="2"/>
      <x:c r="C20" s="2"/>
      <x:c r="D20" s="2"/>
      <x:c r="E20" s="2"/>
      <x:c r="F20" s="2"/>
      <x:c r="G20" s="2"/>
      <x:c r="H20" s="2"/>
      <x:c r="I20" s="2"/>
    </x:row>
    <x:row r="21">
      <x:c r="A21" s="2"/>
      <x:c r="B21" s="2"/>
      <x:c r="C21" s="2"/>
      <x:c r="D21" s="2"/>
      <x:c r="E21" s="2"/>
      <x:c r="F21" s="2"/>
      <x:c r="G21" s="2"/>
      <x:c r="H21" s="2"/>
      <x:c r="I21" s="2"/>
    </x:row>
    <x:row r="22" ht="30" customHeight="1">
      <x:c r="A22" s="11" t="str">
        <x:v>团队维护</x:v>
      </x:c>
      <x:c r="B22" s="11" t="str">
        <x:v>操作</x:v>
      </x:c>
      <x:c r="C22" s="2"/>
      <x:c r="D22" s="2"/>
      <x:c r="E22" s="2"/>
      <x:c r="F22" s="2"/>
      <x:c r="G22" s="2"/>
      <x:c r="H22" s="2"/>
      <x:c r="I22" s="2"/>
    </x:row>
    <x:row r="23" ht="30" customHeight="1">
      <x:c r="A23" s="2" t="str">
        <x:v>先筛选再认领</x:v>
      </x:c>
      <x:c r="B23" s="17" t="str">
        <x:v>在 Paper List 按主分类、细分类、优化类型或 Survey章节筛选。</x:v>
      </x:c>
      <x:c r="C23" s="18"/>
      <x:c r="D23" s="18"/>
      <x:c r="E23" s="18"/>
      <x:c r="F23" s="18"/>
      <x:c r="G23" s="18"/>
      <x:c r="H23" s="18"/>
      <x:c r="I23" s="18"/>
    </x:row>
    <x:row r="24" ht="30" customHeight="1">
      <x:c r="A24" s="2" t="str">
        <x:v>黄色列为协作输入</x:v>
      </x:c>
      <x:c r="B24" s="17" t="str">
        <x:v>填写阅读状态、负责人、写作章节、写作备注。初始状态不代表已读。</x:v>
      </x:c>
      <x:c r="C24" s="18"/>
      <x:c r="D24" s="18"/>
      <x:c r="E24" s="18"/>
      <x:c r="F24" s="18"/>
      <x:c r="G24" s="18"/>
      <x:c r="H24" s="18"/>
      <x:c r="I24" s="18"/>
    </x:row>
    <x:row r="25" ht="30" customHeight="1">
      <x:c r="A25" s="2" t="str">
        <x:v>术语与分类</x:v>
      </x:c>
      <x:c r="B25" s="17" t="str">
        <x:v>Taxonomy 给出主分类、能力、优化机制。分类与章节映射均为编辑判断。</x:v>
      </x:c>
      <x:c r="C25" s="18"/>
      <x:c r="D25" s="18"/>
      <x:c r="E25" s="18"/>
      <x:c r="F25" s="18"/>
      <x:c r="G25" s="18"/>
      <x:c r="H25" s="18"/>
      <x:c r="I25" s="18"/>
    </x:row>
    <x:row r="26" ht="30" customHeight="1">
      <x:c r="A26" s="2" t="str">
        <x:v>单位口径</x:v>
      </x:c>
      <x:c r="B26" s="17" t="str">
        <x:v>采用论文发表时单位；大型合作的主要单位节选会在核验备注注明。</x:v>
      </x:c>
      <x:c r="C26" s="18"/>
      <x:c r="D26" s="18"/>
      <x:c r="E26" s="18"/>
      <x:c r="F26" s="18"/>
      <x:c r="G26" s="18"/>
      <x:c r="H26" s="18"/>
      <x:c r="I26" s="18"/>
    </x:row>
    <x:row r="27" ht="30" customHeight="1">
      <x:c r="A27" s="2" t="str">
        <x:v>核验状态</x:v>
      </x:c>
      <x:c r="B27" s="17" t="str">
        <x:v>verified=题名链接及单位有依据；metadata-only=题名链接已核、单位待补；pending=身份待核。</x:v>
      </x:c>
      <x:c r="C27" s="18"/>
      <x:c r="D27" s="18"/>
      <x:c r="E27" s="18"/>
      <x:c r="F27" s="18"/>
      <x:c r="G27" s="18"/>
      <x:c r="H27" s="18"/>
      <x:c r="I27" s="18"/>
    </x:row>
    <x:row r="28" ht="30" customHeight="1">
      <x:c r="A28" s="2" t="str">
        <x:v>更新 README</x:v>
      </x:c>
      <x:c r="B28" s="17" t="str">
        <x:v>保存 Excel 后运行 python3 scripts/catalog.py --import-xlsx paper_list.xlsx。</x:v>
      </x:c>
      <x:c r="C28" s="18"/>
      <x:c r="D28" s="18"/>
      <x:c r="E28" s="18"/>
      <x:c r="F28" s="18"/>
      <x:c r="G28" s="18"/>
      <x:c r="H28" s="18"/>
      <x:c r="I28" s="18"/>
    </x:row>
    <x:row r="29" ht="30" customHeight="1">
      <x:c r="A29" s="2" t="str">
        <x:v>补充论文</x:v>
      </x:c>
      <x:c r="B29" s="17" t="str">
        <x:v>在表格底部新增行，填写唯一 ID（WA-xxxx）、名称、链接、类型及来源。不要更改已有 ID。</x:v>
      </x:c>
      <x:c r="C29" s="18"/>
      <x:c r="D29" s="18"/>
      <x:c r="E29" s="18"/>
      <x:c r="F29" s="18"/>
      <x:c r="G29" s="18"/>
      <x:c r="H29" s="18"/>
      <x:c r="I29" s="18"/>
    </x:row>
    <x:row r="30" ht="30" customHeight="1">
      <x:c r="A30" s="2" t="str">
        <x:v>统计口径</x:v>
      </x:c>
      <x:c r="B30" s="17" t="str">
        <x:v>论文页含背景研究与综述；Resources 为产品、文档、非论文项目资源，不凑入论文数量。</x:v>
      </x:c>
      <x:c r="C30" s="18"/>
      <x:c r="D30" s="18"/>
      <x:c r="E30" s="18"/>
      <x:c r="F30" s="18"/>
      <x:c r="G30" s="18"/>
      <x:c r="H30" s="18"/>
      <x:c r="I30" s="18"/>
    </x:row>
    <x:row r="31" ht="30" customHeight="1">
      <x:c r="A31" s="2" t="str">
        <x:v>阅读方法</x:v>
      </x:c>
      <x:c r="B31" s="17" t="str">
        <x:v>能力标签在 benchmark 上表示任务考察要求，不表示模型已经掌握该能力。</x:v>
      </x:c>
      <x:c r="C31" s="18"/>
      <x:c r="D31" s="18"/>
      <x:c r="E31" s="18"/>
      <x:c r="F31" s="18"/>
      <x:c r="G31" s="18"/>
      <x:c r="H31" s="18"/>
      <x:c r="I31" s="18"/>
    </x:row>
    <x:row r="32" ht="30" customHeight="1">
      <x:c r="A32" s="2" t="str">
        <x:v>研究边界</x:v>
      </x:c>
      <x:c r="B32" s="17" t="str">
        <x:v>执行耗时、应用数和文件数不能直接证明持续责任或更高自主性。</x:v>
      </x:c>
      <x:c r="C32" s="18"/>
      <x:c r="D32" s="18"/>
      <x:c r="E32" s="18"/>
      <x:c r="F32" s="18"/>
      <x:c r="G32" s="18"/>
      <x:c r="H32" s="18"/>
      <x:c r="I32" s="18"/>
    </x:row>
    <x:row r="33">
      <x:c r="A33" s="2"/>
      <x:c r="B33" s="2"/>
      <x:c r="C33" s="2"/>
      <x:c r="D33" s="2"/>
      <x:c r="E33" s="2"/>
      <x:c r="F33" s="2"/>
      <x:c r="G33" s="2"/>
      <x:c r="H33" s="2"/>
      <x:c r="I33" s="2"/>
    </x:row>
    <x:row r="34">
      <x:c r="A34" s="2"/>
      <x:c r="B34" s="2"/>
      <x:c r="C34" s="2"/>
      <x:c r="D34" s="2"/>
      <x:c r="E34" s="2"/>
      <x:c r="F34" s="2"/>
      <x:c r="G34" s="2"/>
      <x:c r="H34" s="2"/>
      <x:c r="I34" s="2"/>
    </x:row>
    <x:row r="35">
      <x:c r="A35" s="2"/>
      <x:c r="B35" s="2"/>
      <x:c r="C35" s="2"/>
      <x:c r="D35" s="2"/>
      <x:c r="E35" s="2"/>
      <x:c r="F35" s="2"/>
      <x:c r="G35" s="2"/>
      <x:c r="H35" s="2"/>
      <x:c r="I35" s="2"/>
    </x:row>
    <x:row r="36">
      <x:c r="A36" s="2"/>
      <x:c r="B36" s="2"/>
      <x:c r="C36" s="2"/>
      <x:c r="D36" s="2"/>
      <x:c r="E36" s="2"/>
      <x:c r="F36" s="2"/>
      <x:c r="G36" s="2"/>
      <x:c r="H36" s="2"/>
      <x:c r="I36" s="2"/>
    </x:row>
    <x:row r="37">
      <x:c r="A37" s="2"/>
      <x:c r="B37" s="2"/>
      <x:c r="C37" s="2"/>
      <x:c r="D37" s="2"/>
      <x:c r="E37" s="2"/>
      <x:c r="F37" s="2"/>
      <x:c r="G37" s="2"/>
      <x:c r="H37" s="2"/>
      <x:c r="I37" s="2"/>
    </x:row>
  </x:sheetData>
  <x:pageMargins left="0.7" right="0.7" top="0.75" bottom="0.75" header="0.3" footer="0.3"/>
</x:worksheet>
</file>

<file path=xl/worksheets/sheet2.xml><?xml version="1.0" encoding="utf-8"?>
<x:worksheet xmlns:x="http://schemas.openxmlformats.org/spreadsheetml/2006/main">
  <x:sheetPr>
    <x:tabColor rgb="FF244563"/>
  </x:sheetPr>
  <x:sheetViews>
    <x:sheetView showGridLines="0" workbookViewId="0">
      <x:pane xSplit="2" ySplit="1" topLeftCell="C2" activePane="bottomRight" state="frozen"/>
    </x:sheetView>
  </x:sheetViews>
  <x:sheetFormatPr defaultRowHeight="15"/>
  <x:cols>
    <x:col min="1" max="1" width="14" hidden="0" customWidth="1"/>
    <x:col min="2" max="2" width="64" hidden="0" customWidth="1"/>
    <x:col min="3" max="3" width="24" hidden="0" customWidth="1"/>
    <x:col min="4" max="4" width="8" hidden="0" customWidth="1"/>
    <x:col min="5" max="5" width="45" hidden="0" customWidth="1"/>
    <x:col min="6" max="6" width="48" hidden="0" customWidth="1"/>
    <x:col min="7" max="7" width="23" hidden="0" customWidth="1"/>
    <x:col min="8" max="8" width="22" hidden="0" customWidth="1"/>
    <x:col min="9" max="9" width="34" hidden="0" customWidth="1"/>
    <x:col min="10" max="10" width="32" hidden="0" customWidth="1"/>
    <x:col min="11" max="11" width="30" hidden="0" customWidth="1"/>
    <x:col min="12" max="12" width="22" hidden="0" customWidth="1"/>
    <x:col min="13" max="13" width="66" hidden="0" customWidth="1"/>
    <x:col min="14" max="14" width="42" hidden="0" customWidth="1"/>
    <x:col min="15" max="15" width="42" hidden="0" customWidth="1"/>
    <x:col min="16" max="16" width="18" hidden="0" customWidth="1"/>
    <x:col min="17" max="17" width="48" hidden="0" customWidth="1"/>
    <x:col min="18" max="18" width="48" hidden="0" customWidth="1"/>
    <x:col min="19" max="19" width="15" hidden="0" customWidth="1"/>
    <x:col min="20" max="20" width="27" hidden="0" customWidth="1"/>
    <x:col min="21" max="21" width="15" hidden="0" customWidth="1"/>
    <x:col min="22" max="22" width="16" hidden="0" customWidth="1"/>
    <x:col min="23" max="23" width="18" hidden="0" customWidth="1"/>
    <x:col min="24" max="24" width="20" hidden="0" customWidth="1"/>
    <x:col min="25" max="25" width="54" hidden="0" customWidth="1"/>
    <x:col min="26" max="26" width="65" hidden="0" customWidth="1"/>
  </x:cols>
  <x:sheetData>
    <x:row r="1" ht="30" customHeight="1">
      <x:c r="A1" s="11" t="str">
        <x:v>ID</x:v>
      </x:c>
      <x:c r="B1" s="11" t="str">
        <x:v>论文名称</x:v>
      </x:c>
      <x:c r="C1" s="11" t="str">
        <x:v>简称</x:v>
      </x:c>
      <x:c r="D1" s="11" t="str">
        <x:v>年份</x:v>
      </x:c>
      <x:c r="E1" s="11" t="str">
        <x:v>论文链接</x:v>
      </x:c>
      <x:c r="F1" s="11" t="str">
        <x:v>单位</x:v>
      </x:c>
      <x:c r="G1" s="11" t="str">
        <x:v>条目类型</x:v>
      </x:c>
      <x:c r="H1" s="11" t="str">
        <x:v>主分类</x:v>
      </x:c>
      <x:c r="I1" s="11" t="str">
        <x:v>细分类</x:v>
      </x:c>
      <x:c r="J1" s="11" t="str">
        <x:v>能力标签</x:v>
      </x:c>
      <x:c r="K1" s="11" t="str">
        <x:v>优化类型</x:v>
      </x:c>
      <x:c r="L1" s="11" t="str">
        <x:v>Survey章节</x:v>
      </x:c>
      <x:c r="M1" s="11" t="str">
        <x:v>核心贡献</x:v>
      </x:c>
      <x:c r="N1" s="11" t="str">
        <x:v>代码链接</x:v>
      </x:c>
      <x:c r="O1" s="11" t="str">
        <x:v>数据链接</x:v>
      </x:c>
      <x:c r="P1" s="11" t="str">
        <x:v>核验状态</x:v>
      </x:c>
      <x:c r="Q1" s="11" t="str">
        <x:v>单位来源</x:v>
      </x:c>
      <x:c r="R1" s="11" t="str">
        <x:v>元数据来源</x:v>
      </x:c>
      <x:c r="S1" s="11" t="str">
        <x:v>草稿引用编号</x:v>
      </x:c>
      <x:c r="T1" s="11" t="str">
        <x:v>收录来源</x:v>
      </x:c>
      <x:c r="U1" s="11" t="str">
        <x:v>复核日期</x:v>
      </x:c>
      <x:c r="V1" s="11" t="str">
        <x:v>阅读状态</x:v>
      </x:c>
      <x:c r="W1" s="11" t="str">
        <x:v>负责人</x:v>
      </x:c>
      <x:c r="X1" s="11" t="str">
        <x:v>写作章节</x:v>
      </x:c>
      <x:c r="Y1" s="11" t="str">
        <x:v>写作备注</x:v>
      </x:c>
      <x:c r="Z1" s="11" t="str">
        <x:v>核验备注</x:v>
      </x:c>
    </x:row>
    <x:row r="2" ht="55" customHeight="1">
      <x:c r="A2" s="3" t="str">
        <x:v>WA-0001</x:v>
      </x:c>
      <x:c r="B2" s="3" t="str">
        <x:v>Toolformer: Language Models Can Teach Themselves to Use Tools</x:v>
      </x:c>
      <x:c r="C2" s="3" t="str">
        <x:v>Toolformer</x:v>
      </x:c>
      <x:c r="D2" s="4" t="n">
        <x:v>2023</x:v>
      </x:c>
      <x:c r="E2" s="7" t="str">
        <x:v>https://arxiv.org/abs/2302.04761</x:v>
      </x:c>
      <x:c r="F2" s="3" t="str">
        <x:v>Meta AI Research; Universitat Pompeu Fabra</x:v>
      </x:c>
      <x:c r="G2" s="3" t="str">
        <x:v>Method</x:v>
      </x:c>
      <x:c r="H2" s="3" t="str">
        <x:v>tool-enterprise</x:v>
      </x:c>
      <x:c r="I2" s="3" t="str">
        <x:v>self-supervised tool use</x:v>
      </x:c>
      <x:c r="J2" s="3" t="str">
        <x:v>reasoning;execution;learning</x:v>
      </x:c>
      <x:c r="K2" s="3" t="str">
        <x:v>mid-training-sft</x:v>
      </x:c>
      <x:c r="L2" s="3" t="str">
        <x:v>4.4;5.2</x:v>
      </x:c>
      <x:c r="M2" s="3" t="str">
        <x:v>通过自监督筛选 API 调用样本，让语言模型学习何时调用工具并使用返回结果。</x:v>
      </x:c>
      <x:c r="N2" s="3" t="str"/>
      <x:c r="O2" s="3" t="str"/>
      <x:c r="P2" s="3" t="str">
        <x:v>verified</x:v>
      </x:c>
      <x:c r="Q2" s="7" t="str">
        <x:v>https://arxiv.org/pdf/2302.04761</x:v>
      </x:c>
      <x:c r="R2" s="7" t="str">
        <x:v>https://arxiv.org/abs/2302.04761</x:v>
      </x:c>
      <x:c r="S2" s="3" t="str">
        <x:v>1</x:v>
      </x:c>
      <x:c r="T2" s="3" t="str">
        <x:v>survey bibliography</x:v>
      </x:c>
      <x:c r="U2" s="5" t="d">
        <x:v>2026-10-16T00:00:00.000Z</x:v>
      </x:c>
      <x:c r="V2" s="6" t="str">
        <x:v>未分配</x:v>
      </x:c>
      <x:c r="W2" s="6" t="str"/>
      <x:c r="X2" s="6" t="str"/>
      <x:c r="Y2" s="6" t="str"/>
      <x:c r="Z2" s="3" t="str"/>
    </x:row>
    <x:row r="3" ht="55" customHeight="1">
      <x:c r="A3" s="3" t="str">
        <x:v>WA-0002</x:v>
      </x:c>
      <x:c r="B3" s="3" t="str">
        <x:v>API-Bank: A Comprehensive Benchmark for Tool-Augmented LLMs</x:v>
      </x:c>
      <x:c r="C3" s="3" t="str">
        <x:v>API-Bank</x:v>
      </x:c>
      <x:c r="D3" s="4" t="n">
        <x:v>2023</x:v>
      </x:c>
      <x:c r="E3" s="7" t="str">
        <x:v>https://arxiv.org/abs/2304.08244</x:v>
      </x:c>
      <x:c r="F3" s="3" t="str">
        <x:v>Alibaba Group; Hong Kong University of Science and Technology; Peking University; Shenzhen Intelligent Strong Technology</x:v>
      </x:c>
      <x:c r="G3" s="3" t="str">
        <x:v>Benchmark</x:v>
      </x:c>
      <x:c r="H3" s="3" t="str">
        <x:v>tool-enterprise</x:v>
      </x:c>
      <x:c r="I3" s="3" t="str">
        <x:v>API calling and dialogue</x:v>
      </x:c>
      <x:c r="J3" s="3" t="str">
        <x:v>planning;execution;state-management</x:v>
      </x:c>
      <x:c r="K3" s="3" t="str"/>
      <x:c r="L3" s="3" t="str">
        <x:v>3.2;4.4;6.1</x:v>
      </x:c>
      <x:c r="M3" s="3" t="str">
        <x:v>提供可运行 API、工具对话及分级任务，区分工具调用、检索与规划能力。</x:v>
      </x:c>
      <x:c r="N3" s="7" t="str">
        <x:v>https://github.com/AlibabaResearch/DAMO-ConvAI/tree/main/api-bank</x:v>
      </x:c>
      <x:c r="O3" s="3" t="str"/>
      <x:c r="P3" s="3" t="str">
        <x:v>verified</x:v>
      </x:c>
      <x:c r="Q3" s="7" t="str">
        <x:v>https://arxiv.org/pdf/2304.08244</x:v>
      </x:c>
      <x:c r="R3" s="7" t="str">
        <x:v>https://arxiv.org/abs/2304.08244</x:v>
      </x:c>
      <x:c r="S3" s="3" t="str">
        <x:v>2</x:v>
      </x:c>
      <x:c r="T3" s="3" t="str">
        <x:v>survey bibliography</x:v>
      </x:c>
      <x:c r="U3" s="5" t="d">
        <x:v>2026-10-16T00:00:00.000Z</x:v>
      </x:c>
      <x:c r="V3" s="6" t="str">
        <x:v>未分配</x:v>
      </x:c>
      <x:c r="W3" s="6" t="str"/>
      <x:c r="X3" s="6" t="str"/>
      <x:c r="Y3" s="6" t="str"/>
      <x:c r="Z3" s="3" t="str"/>
    </x:row>
    <x:row r="4" ht="55" customHeight="1">
      <x:c r="A4" s="3" t="str">
        <x:v>WA-0003</x:v>
      </x:c>
      <x:c r="B4" s="3" t="str">
        <x:v>WebArena: A Realistic Web Environment for Building Autonomous Agents</x:v>
      </x:c>
      <x:c r="C4" s="3" t="str">
        <x:v>WebArena</x:v>
      </x:c>
      <x:c r="D4" s="4" t="n">
        <x:v>2023</x:v>
      </x:c>
      <x:c r="E4" s="7" t="str">
        <x:v>https://arxiv.org/abs/2307.13854</x:v>
      </x:c>
      <x:c r="F4" s="3" t="str">
        <x:v>Carnegie Mellon University</x:v>
      </x:c>
      <x:c r="G4" s="3" t="str">
        <x:v>Benchmark</x:v>
      </x:c>
      <x:c r="H4" s="3" t="str">
        <x:v>computer-use</x:v>
      </x:c>
      <x:c r="I4" s="3" t="str">
        <x:v>web environment</x:v>
      </x:c>
      <x:c r="J4" s="3" t="str">
        <x:v>perception;planning;execution;state-management</x:v>
      </x:c>
      <x:c r="K4" s="3" t="str"/>
      <x:c r="L4" s="3" t="str">
        <x:v>2.4;4.4;6.1</x:v>
      </x:c>
      <x:c r="M4" s="3" t="str">
        <x:v>在可复现的真实网站环境中，以功能结果检验多步网页任务是否完成。</x:v>
      </x:c>
      <x:c r="N4" s="3" t="str"/>
      <x:c r="O4" s="3" t="str"/>
      <x:c r="P4" s="3" t="str">
        <x:v>verified</x:v>
      </x:c>
      <x:c r="Q4" s="7" t="str">
        <x:v>https://arxiv.org/pdf/2307.13854</x:v>
      </x:c>
      <x:c r="R4" s="7" t="str">
        <x:v>https://arxiv.org/abs/2307.13854</x:v>
      </x:c>
      <x:c r="S4" s="3" t="str">
        <x:v>3</x:v>
      </x:c>
      <x:c r="T4" s="3" t="str">
        <x:v>survey bibliography</x:v>
      </x:c>
      <x:c r="U4" s="5" t="d">
        <x:v>2026-10-16T00:00:00.000Z</x:v>
      </x:c>
      <x:c r="V4" s="6" t="str">
        <x:v>未分配</x:v>
      </x:c>
      <x:c r="W4" s="6" t="str"/>
      <x:c r="X4" s="6" t="str"/>
      <x:c r="Y4" s="6" t="str"/>
      <x:c r="Z4" s="3" t="str"/>
    </x:row>
    <x:row r="5" ht="55" customHeight="1">
      <x:c r="A5" s="3" t="str">
        <x:v>WA-0004</x:v>
      </x:c>
      <x:c r="B5" s="3" t="str">
        <x:v>OSWorld: Benchmarking Multimodal Agents for Open-Ended Tasks in Real Computer Environments</x:v>
      </x:c>
      <x:c r="C5" s="3" t="str">
        <x:v>OSWorld</x:v>
      </x:c>
      <x:c r="D5" s="4" t="n">
        <x:v>2024</x:v>
      </x:c>
      <x:c r="E5" s="7" t="str">
        <x:v>https://arxiv.org/abs/2404.07972</x:v>
      </x:c>
      <x:c r="F5" s="3" t="str">
        <x:v>University of Hong Kong; Carnegie Mellon University; Salesforce Research; University of Waterloo</x:v>
      </x:c>
      <x:c r="G5" s="3" t="str">
        <x:v>Benchmark</x:v>
      </x:c>
      <x:c r="H5" s="3" t="str">
        <x:v>computer-use</x:v>
      </x:c>
      <x:c r="I5" s="3" t="str">
        <x:v>desktop environment</x:v>
      </x:c>
      <x:c r="J5" s="3" t="str">
        <x:v>perception;planning;execution;state-management;verification</x:v>
      </x:c>
      <x:c r="K5" s="3" t="str"/>
      <x:c r="L5" s="3" t="str">
        <x:v>2.4;4.4;6.1</x:v>
      </x:c>
      <x:c r="M5" s="3" t="str">
        <x:v>用真实桌面应用、跨应用任务和执行式评估检验通用计算机操作能力。</x:v>
      </x:c>
      <x:c r="N5" s="7" t="str">
        <x:v>https://github.com/xlang-ai/OSWorld</x:v>
      </x:c>
      <x:c r="O5" s="7" t="str">
        <x:v>https://github.com/xlang-ai/OSWorld/tree/main/evaluation_examples</x:v>
      </x:c>
      <x:c r="P5" s="3" t="str">
        <x:v>verified</x:v>
      </x:c>
      <x:c r="Q5" s="7" t="str">
        <x:v>https://arxiv.org/pdf/2404.07972</x:v>
      </x:c>
      <x:c r="R5" s="7" t="str">
        <x:v>https://arxiv.org/abs/2404.07972</x:v>
      </x:c>
      <x:c r="S5" s="3" t="str">
        <x:v>4</x:v>
      </x:c>
      <x:c r="T5" s="3" t="str">
        <x:v>survey bibliography</x:v>
      </x:c>
      <x:c r="U5" s="5" t="d">
        <x:v>2026-10-16T00:00:00.000Z</x:v>
      </x:c>
      <x:c r="V5" s="6" t="str">
        <x:v>未分配</x:v>
      </x:c>
      <x:c r="W5" s="6" t="str"/>
      <x:c r="X5" s="6" t="str"/>
      <x:c r="Y5" s="6" t="str"/>
      <x:c r="Z5" s="3" t="str"/>
    </x:row>
    <x:row r="6" ht="70" customHeight="1">
      <x:c r="A6" s="3" t="str">
        <x:v>WA-0005</x:v>
      </x:c>
      <x:c r="B6" s="3" t="str">
        <x:v>SheetCopilot: Bringing Software Productivity to the Next Level through Large Language Models</x:v>
      </x:c>
      <x:c r="C6" s="3" t="str">
        <x:v>SheetCopilot</x:v>
      </x:c>
      <x:c r="D6" s="4" t="n">
        <x:v>2023</x:v>
      </x:c>
      <x:c r="E6" s="7" t="str">
        <x:v>https://arxiv.org/abs/2305.19308</x:v>
      </x:c>
      <x:c r="F6" s="3" t="str">
        <x:v>University of Chinese Academy of Sciences; Institute of Automation, Chinese Academy of Sciences; HKISI, Chinese Academy of Sciences; Hong Kong Polytechnic University; Shanghai AI Laboratory</x:v>
      </x:c>
      <x:c r="G6" s="3" t="str">
        <x:v>Method;Benchmark</x:v>
      </x:c>
      <x:c r="H6" s="3" t="str">
        <x:v>artifact</x:v>
      </x:c>
      <x:c r="I6" s="3" t="str">
        <x:v>spreadsheet manipulation</x:v>
      </x:c>
      <x:c r="J6" s="3" t="str">
        <x:v>planning;execution;state-management</x:v>
      </x:c>
      <x:c r="K6" s="3" t="str"/>
      <x:c r="L6" s="3" t="str">
        <x:v>3.3;4.4</x:v>
      </x:c>
      <x:c r="M6" s="3" t="str">
        <x:v>将表格操作抽象为原子动作，以状态机规划完成自然语言电子表格任务。</x:v>
      </x:c>
      <x:c r="N6" s="7" t="str">
        <x:v>https://github.com/BraveGroup/SheetCopilot</x:v>
      </x:c>
      <x:c r="O6" s="3" t="str"/>
      <x:c r="P6" s="3" t="str">
        <x:v>verified</x:v>
      </x:c>
      <x:c r="Q6" s="7" t="str">
        <x:v>https://arxiv.org/pdf/2305.19308</x:v>
      </x:c>
      <x:c r="R6" s="7" t="str">
        <x:v>https://arxiv.org/abs/2305.19308</x:v>
      </x:c>
      <x:c r="S6" s="3" t="str">
        <x:v>5</x:v>
      </x:c>
      <x:c r="T6" s="3" t="str">
        <x:v>survey bibliography</x:v>
      </x:c>
      <x:c r="U6" s="5" t="d">
        <x:v>2026-10-16T00:00:00.000Z</x:v>
      </x:c>
      <x:c r="V6" s="6" t="str">
        <x:v>未分配</x:v>
      </x:c>
      <x:c r="W6" s="6" t="str"/>
      <x:c r="X6" s="6" t="str"/>
      <x:c r="Y6" s="6" t="str"/>
      <x:c r="Z6" s="3" t="str"/>
    </x:row>
    <x:row r="7" ht="55" customHeight="1">
      <x:c r="A7" s="3" t="str">
        <x:v>WA-0006</x:v>
      </x:c>
      <x:c r="B7" s="3" t="str">
        <x:v>PPTAgent: Generating and Evaluating Presentations Beyond Text-to-Slides</x:v>
      </x:c>
      <x:c r="C7" s="3" t="str">
        <x:v>PPTAgent</x:v>
      </x:c>
      <x:c r="D7" s="4" t="n">
        <x:v>2025</x:v>
      </x:c>
      <x:c r="E7" s="7" t="str">
        <x:v>https://arxiv.org/abs/2501.03936</x:v>
      </x:c>
      <x:c r="F7" s="3" t="str">
        <x:v>Institute of Software, Chinese Academy of Sciences; University of Chinese Academy of Sciences; Shanghai Jiexin Technology</x:v>
      </x:c>
      <x:c r="G7" s="3" t="str">
        <x:v>Method;Benchmark</x:v>
      </x:c>
      <x:c r="H7" s="3" t="str">
        <x:v>artifact</x:v>
      </x:c>
      <x:c r="I7" s="3" t="str">
        <x:v>slide generation</x:v>
      </x:c>
      <x:c r="J7" s="3" t="str">
        <x:v>perception;planning;execution;verification</x:v>
      </x:c>
      <x:c r="K7" s="3" t="str"/>
      <x:c r="L7" s="3" t="str">
        <x:v>3.3;4.4;4.5</x:v>
      </x:c>
      <x:c r="M7" s="3" t="str">
        <x:v>分析参考幻灯片后规划并编辑演示文稿，并从内容、设计与连贯性评估结果。</x:v>
      </x:c>
      <x:c r="N7" s="7" t="str">
        <x:v>https://github.com/icip-cas/PPTAgent</x:v>
      </x:c>
      <x:c r="O7" s="3" t="str"/>
      <x:c r="P7" s="3" t="str">
        <x:v>verified</x:v>
      </x:c>
      <x:c r="Q7" s="7" t="str">
        <x:v>https://arxiv.org/pdf/2501.03936</x:v>
      </x:c>
      <x:c r="R7" s="7" t="str">
        <x:v>https://arxiv.org/abs/2501.03936</x:v>
      </x:c>
      <x:c r="S7" s="3" t="str">
        <x:v>6</x:v>
      </x:c>
      <x:c r="T7" s="3" t="str">
        <x:v>survey bibliography</x:v>
      </x:c>
      <x:c r="U7" s="5" t="d">
        <x:v>2026-10-16T00:00:00.000Z</x:v>
      </x:c>
      <x:c r="V7" s="6" t="str">
        <x:v>未分配</x:v>
      </x:c>
      <x:c r="W7" s="6" t="str"/>
      <x:c r="X7" s="6" t="str"/>
      <x:c r="Y7" s="6" t="str"/>
      <x:c r="Z7" s="3" t="str"/>
    </x:row>
    <x:row r="8" ht="55" customHeight="1">
      <x:c r="A8" s="3" t="str">
        <x:v>WA-0007</x:v>
      </x:c>
      <x:c r="B8" s="3" t="str">
        <x:v>WorkArena: How Capable Are Web Agents at Solving Common Knowledge Work Tasks?</x:v>
      </x:c>
      <x:c r="C8" s="3" t="str">
        <x:v>WorkArena</x:v>
      </x:c>
      <x:c r="D8" s="4" t="n">
        <x:v>2024</x:v>
      </x:c>
      <x:c r="E8" s="7" t="str">
        <x:v>https://arxiv.org/abs/2403.07718</x:v>
      </x:c>
      <x:c r="F8" s="3" t="str">
        <x:v>ServiceNow Research; Mila; Polytechnique Montréal; McGill University; Université de Montréal</x:v>
      </x:c>
      <x:c r="G8" s="3" t="str">
        <x:v>Benchmark</x:v>
      </x:c>
      <x:c r="H8" s="3" t="str">
        <x:v>computer-use</x:v>
      </x:c>
      <x:c r="I8" s="3" t="str">
        <x:v>enterprise web workflow</x:v>
      </x:c>
      <x:c r="J8" s="3" t="str">
        <x:v>perception;reasoning;execution;state-management</x:v>
      </x:c>
      <x:c r="K8" s="3" t="str"/>
      <x:c r="L8" s="3" t="str">
        <x:v>3.3;6.1</x:v>
      </x:c>
      <x:c r="M8" s="3" t="str">
        <x:v>在 ServiceNow 上构建典型知识工作任务，并提供 BrowserGym 浏览器交互环境。</x:v>
      </x:c>
      <x:c r="N8" s="3" t="str"/>
      <x:c r="O8" s="3" t="str"/>
      <x:c r="P8" s="3" t="str">
        <x:v>verified</x:v>
      </x:c>
      <x:c r="Q8" s="7" t="str">
        <x:v>https://arxiv.org/pdf/2403.07718</x:v>
      </x:c>
      <x:c r="R8" s="7" t="str">
        <x:v>https://arxiv.org/abs/2403.07718</x:v>
      </x:c>
      <x:c r="S8" s="3" t="str">
        <x:v>7</x:v>
      </x:c>
      <x:c r="T8" s="3" t="str">
        <x:v>survey bibliography</x:v>
      </x:c>
      <x:c r="U8" s="5" t="d">
        <x:v>2026-10-16T00:00:00.000Z</x:v>
      </x:c>
      <x:c r="V8" s="6" t="str">
        <x:v>未分配</x:v>
      </x:c>
      <x:c r="W8" s="6" t="str"/>
      <x:c r="X8" s="6" t="str"/>
      <x:c r="Y8" s="6" t="str"/>
      <x:c r="Z8" s="3" t="str"/>
    </x:row>
    <x:row r="9" ht="55" customHeight="1">
      <x:c r="A9" s="3" t="str">
        <x:v>WA-0008</x:v>
      </x:c>
      <x:c r="B9" s="3" t="str">
        <x:v>SWE-agent: Agent-Computer Interfaces Enable Automated Software Engineering</x:v>
      </x:c>
      <x:c r="C9" s="3" t="str">
        <x:v>SWE-agent</x:v>
      </x:c>
      <x:c r="D9" s="4" t="n">
        <x:v>2024</x:v>
      </x:c>
      <x:c r="E9" s="7" t="str">
        <x:v>https://arxiv.org/abs/2405.15793</x:v>
      </x:c>
      <x:c r="F9" s="3" t="str">
        <x:v>Princeton University</x:v>
      </x:c>
      <x:c r="G9" s="3" t="str">
        <x:v>Method;Framework</x:v>
      </x:c>
      <x:c r="H9" s="3" t="str">
        <x:v>swe-science</x:v>
      </x:c>
      <x:c r="I9" s="3" t="str">
        <x:v>agent-computer interface</x:v>
      </x:c>
      <x:c r="J9" s="3" t="str">
        <x:v>perception;execution;state-management;recovery</x:v>
      </x:c>
      <x:c r="K9" s="3" t="str">
        <x:v>tool-interface</x:v>
      </x:c>
      <x:c r="L9" s="3" t="str">
        <x:v>4.4;5.3;6.4</x:v>
      </x:c>
      <x:c r="M9" s="3" t="str">
        <x:v>为软件工程代理设计文件检索、编辑及反馈接口，提升真实仓库问题修复能力。</x:v>
      </x:c>
      <x:c r="N9" s="3" t="str"/>
      <x:c r="O9" s="3" t="str"/>
      <x:c r="P9" s="3" t="str">
        <x:v>verified</x:v>
      </x:c>
      <x:c r="Q9" s="7" t="str">
        <x:v>https://arxiv.org/pdf/2405.15793</x:v>
      </x:c>
      <x:c r="R9" s="7" t="str">
        <x:v>https://arxiv.org/abs/2405.15793</x:v>
      </x:c>
      <x:c r="S9" s="3" t="str">
        <x:v>8</x:v>
      </x:c>
      <x:c r="T9" s="3" t="str">
        <x:v>survey bibliography</x:v>
      </x:c>
      <x:c r="U9" s="5" t="d">
        <x:v>2026-10-16T00:00:00.000Z</x:v>
      </x:c>
      <x:c r="V9" s="6" t="str">
        <x:v>未分配</x:v>
      </x:c>
      <x:c r="W9" s="6" t="str"/>
      <x:c r="X9" s="6" t="str"/>
      <x:c r="Y9" s="6" t="str"/>
      <x:c r="Z9" s="3" t="str"/>
    </x:row>
    <x:row r="10" ht="55" customHeight="1">
      <x:c r="A10" s="3" t="str">
        <x:v>WA-0009</x:v>
      </x:c>
      <x:c r="B10" s="3" t="str">
        <x:v>DocVQA: A Dataset for VQA on Document Images</x:v>
      </x:c>
      <x:c r="C10" s="3" t="str">
        <x:v>DocVQA</x:v>
      </x:c>
      <x:c r="D10" s="4" t="n">
        <x:v>2020</x:v>
      </x:c>
      <x:c r="E10" s="7" t="str">
        <x:v>https://arxiv.org/abs/2007.00398</x:v>
      </x:c>
      <x:c r="F10" s="3" t="str">
        <x:v>IIIT Hyderabad; Computer Vision Center, Universitat Autònoma de Barcelona</x:v>
      </x:c>
      <x:c r="G10" s="3" t="str">
        <x:v>Benchmark;Background</x:v>
      </x:c>
      <x:c r="H10" s="3" t="str">
        <x:v>related</x:v>
      </x:c>
      <x:c r="I10" s="3" t="str">
        <x:v>document visual question answering</x:v>
      </x:c>
      <x:c r="J10" s="3" t="str">
        <x:v>perception;reasoning</x:v>
      </x:c>
      <x:c r="K10" s="3" t="str"/>
      <x:c r="L10" s="3" t="str">
        <x:v>3.1;4.1</x:v>
      </x:c>
      <x:c r="M10" s="3" t="str">
        <x:v>以文档图像问答检验文本、版面和视觉信息的联合理解能力。</x:v>
      </x:c>
      <x:c r="N10" s="3" t="str"/>
      <x:c r="O10" s="3" t="str"/>
      <x:c r="P10" s="3" t="str">
        <x:v>verified</x:v>
      </x:c>
      <x:c r="Q10" s="7" t="str">
        <x:v>https://arxiv.org/pdf/2007.00398</x:v>
      </x:c>
      <x:c r="R10" s="7" t="str">
        <x:v>https://arxiv.org/abs/2007.00398</x:v>
      </x:c>
      <x:c r="S10" s="3" t="str">
        <x:v>9</x:v>
      </x:c>
      <x:c r="T10" s="3" t="str">
        <x:v>survey bibliography</x:v>
      </x:c>
      <x:c r="U10" s="5" t="d">
        <x:v>2026-10-16T00:00:00.000Z</x:v>
      </x:c>
      <x:c r="V10" s="6" t="str">
        <x:v>未分配</x:v>
      </x:c>
      <x:c r="W10" s="6" t="str"/>
      <x:c r="X10" s="6" t="str"/>
      <x:c r="Y10" s="6" t="str"/>
      <x:c r="Z10" s="3" t="str"/>
    </x:row>
    <x:row r="11" ht="55" customHeight="1">
      <x:c r="A11" s="3" t="str">
        <x:v>WA-0010</x:v>
      </x:c>
      <x:c r="B11" s="3" t="str">
        <x:v>FinQA: A Dataset of Numerical Reasoning over Financial Data</x:v>
      </x:c>
      <x:c r="C11" s="3" t="str">
        <x:v>FinQA</x:v>
      </x:c>
      <x:c r="D11" s="4" t="n">
        <x:v>2021</x:v>
      </x:c>
      <x:c r="E11" s="7" t="str">
        <x:v>https://arxiv.org/abs/2109.00122</x:v>
      </x:c>
      <x:c r="F11" s="3" t="str">
        <x:v>University of California, Santa Barbara; J.P. Morgan; Pennsylvania State University; Carnegie Mellon University</x:v>
      </x:c>
      <x:c r="G11" s="3" t="str">
        <x:v>Benchmark</x:v>
      </x:c>
      <x:c r="H11" s="3" t="str">
        <x:v>related</x:v>
      </x:c>
      <x:c r="I11" s="3" t="str">
        <x:v>financial numerical reasoning</x:v>
      </x:c>
      <x:c r="J11" s="3" t="str">
        <x:v>perception;reasoning</x:v>
      </x:c>
      <x:c r="K11" s="3" t="str"/>
      <x:c r="L11" s="3" t="str">
        <x:v>3.1;4.1;4.2</x:v>
      </x:c>
      <x:c r="M11" s="3" t="str">
        <x:v>提供专家标注财报问答及计算程序，评估跨文本与表格的数值推理。</x:v>
      </x:c>
      <x:c r="N11" s="7" t="str">
        <x:v>https://github.com/czyssrs/FinQA</x:v>
      </x:c>
      <x:c r="O11" s="3" t="str"/>
      <x:c r="P11" s="3" t="str">
        <x:v>verified</x:v>
      </x:c>
      <x:c r="Q11" s="7" t="str">
        <x:v>https://arxiv.org/pdf/2109.00122</x:v>
      </x:c>
      <x:c r="R11" s="7" t="str">
        <x:v>https://arxiv.org/abs/2109.00122</x:v>
      </x:c>
      <x:c r="S11" s="3" t="str">
        <x:v>10</x:v>
      </x:c>
      <x:c r="T11" s="3" t="str">
        <x:v>survey bibliography</x:v>
      </x:c>
      <x:c r="U11" s="5" t="d">
        <x:v>2026-10-16T00:00:00.000Z</x:v>
      </x:c>
      <x:c r="V11" s="6" t="str">
        <x:v>未分配</x:v>
      </x:c>
      <x:c r="W11" s="6" t="str"/>
      <x:c r="X11" s="6" t="str"/>
      <x:c r="Y11" s="6" t="str"/>
      <x:c r="Z11" s="3" t="str"/>
    </x:row>
    <x:row r="12" ht="55" customHeight="1">
      <x:c r="A12" s="3" t="str">
        <x:v>WA-0011</x:v>
      </x:c>
      <x:c r="B12" s="3" t="str">
        <x:v>TAT-QA: A Question Answering Benchmark on a Hybrid of Tabular and Textual Content in Finance</x:v>
      </x:c>
      <x:c r="C12" s="3" t="str">
        <x:v>TAT-QA</x:v>
      </x:c>
      <x:c r="D12" s="4" t="n">
        <x:v>2021</x:v>
      </x:c>
      <x:c r="E12" s="7" t="str">
        <x:v>https://arxiv.org/abs/2105.07624</x:v>
      </x:c>
      <x:c r="F12" s="3" t="str">
        <x:v>National University of Singapore; 6Estates; Sichuan University; Bloomberg</x:v>
      </x:c>
      <x:c r="G12" s="3" t="str">
        <x:v>Benchmark</x:v>
      </x:c>
      <x:c r="H12" s="3" t="str">
        <x:v>related</x:v>
      </x:c>
      <x:c r="I12" s="3" t="str">
        <x:v>hybrid table-text reasoning</x:v>
      </x:c>
      <x:c r="J12" s="3" t="str">
        <x:v>perception;reasoning</x:v>
      </x:c>
      <x:c r="K12" s="3" t="str"/>
      <x:c r="L12" s="3" t="str">
        <x:v>3.1;4.1;4.2</x:v>
      </x:c>
      <x:c r="M12" s="3" t="str">
        <x:v>围绕财务报告中的表格与文本，构建需要混合证据和算术推理的问答基准。</x:v>
      </x:c>
      <x:c r="N12" s="7" t="str">
        <x:v>https://github.com/NExTplusplus/tat-qa</x:v>
      </x:c>
      <x:c r="O12" s="3" t="str"/>
      <x:c r="P12" s="3" t="str">
        <x:v>verified</x:v>
      </x:c>
      <x:c r="Q12" s="7" t="str">
        <x:v>https://arxiv.org/pdf/2105.07624</x:v>
      </x:c>
      <x:c r="R12" s="7" t="str">
        <x:v>https://arxiv.org/abs/2105.07624</x:v>
      </x:c>
      <x:c r="S12" s="3" t="str">
        <x:v>11</x:v>
      </x:c>
      <x:c r="T12" s="3" t="str">
        <x:v>survey bibliography</x:v>
      </x:c>
      <x:c r="U12" s="5" t="d">
        <x:v>2026-10-16T00:00:00.000Z</x:v>
      </x:c>
      <x:c r="V12" s="6" t="str">
        <x:v>未分配</x:v>
      </x:c>
      <x:c r="W12" s="6" t="str"/>
      <x:c r="X12" s="6" t="str"/>
      <x:c r="Y12" s="6" t="str"/>
      <x:c r="Z12" s="3" t="str"/>
    </x:row>
    <x:row r="13" ht="55" customHeight="1">
      <x:c r="A13" s="3" t="str">
        <x:v>WA-0012</x:v>
      </x:c>
      <x:c r="B13" s="3" t="str">
        <x:v>ToolSandbox: A Stateful, Conversational, Interactive Evaluation Benchmark for LLM Tool Use Capabilities</x:v>
      </x:c>
      <x:c r="C13" s="3" t="str">
        <x:v>ToolSandbox</x:v>
      </x:c>
      <x:c r="D13" s="4" t="n">
        <x:v>2024</x:v>
      </x:c>
      <x:c r="E13" s="7" t="str">
        <x:v>https://arxiv.org/abs/2408.04682</x:v>
      </x:c>
      <x:c r="F13" s="3" t="str">
        <x:v>Apple</x:v>
      </x:c>
      <x:c r="G13" s="3" t="str">
        <x:v>Benchmark</x:v>
      </x:c>
      <x:c r="H13" s="3" t="str">
        <x:v>tool-enterprise</x:v>
      </x:c>
      <x:c r="I13" s="3" t="str">
        <x:v>stateful conversational tool use</x:v>
      </x:c>
      <x:c r="J13" s="3" t="str">
        <x:v>reasoning;execution;state-management</x:v>
      </x:c>
      <x:c r="K13" s="3" t="str"/>
      <x:c r="L13" s="3" t="str">
        <x:v>3.3;4.4;6.1</x:v>
      </x:c>
      <x:c r="M13" s="3" t="str">
        <x:v>以有状态工具、会话交互和轨迹检查评估依赖中间状态的工具使用能力。</x:v>
      </x:c>
      <x:c r="N13" s="7" t="str">
        <x:v>https://github.com/apple/ToolSandbox</x:v>
      </x:c>
      <x:c r="O13" s="3" t="str"/>
      <x:c r="P13" s="3" t="str">
        <x:v>verified</x:v>
      </x:c>
      <x:c r="Q13" s="7" t="str">
        <x:v>https://arxiv.org/pdf/2408.04682</x:v>
      </x:c>
      <x:c r="R13" s="7" t="str">
        <x:v>https://arxiv.org/abs/2408.04682</x:v>
      </x:c>
      <x:c r="S13" s="3" t="str">
        <x:v>12</x:v>
      </x:c>
      <x:c r="T13" s="3" t="str">
        <x:v>survey bibliography</x:v>
      </x:c>
      <x:c r="U13" s="5" t="d">
        <x:v>2026-10-16T00:00:00.000Z</x:v>
      </x:c>
      <x:c r="V13" s="6" t="str">
        <x:v>未分配</x:v>
      </x:c>
      <x:c r="W13" s="6" t="str"/>
      <x:c r="X13" s="6" t="str"/>
      <x:c r="Y13" s="6" t="str"/>
      <x:c r="Z13" s="3" t="str"/>
    </x:row>
    <x:row r="14" ht="55" customHeight="1">
      <x:c r="A14" s="3" t="str">
        <x:v>WA-0013</x:v>
      </x:c>
      <x:c r="B14" s="3" t="str">
        <x:v>AppWorld: A Controllable World of Apps and People for Benchmarking Interactive Coding Agents</x:v>
      </x:c>
      <x:c r="C14" s="3" t="str">
        <x:v>AppWorld</x:v>
      </x:c>
      <x:c r="D14" s="4" t="n">
        <x:v>2024</x:v>
      </x:c>
      <x:c r="E14" s="7" t="str">
        <x:v>https://arxiv.org/abs/2407.18901</x:v>
      </x:c>
      <x:c r="F14" s="3" t="str">
        <x:v>Stony Brook University; Allen Institute for AI; Saarland University</x:v>
      </x:c>
      <x:c r="G14" s="3" t="str">
        <x:v>Benchmark</x:v>
      </x:c>
      <x:c r="H14" s="3" t="str">
        <x:v>tool-enterprise</x:v>
      </x:c>
      <x:c r="I14" s="3" t="str">
        <x:v>interactive app API world</x:v>
      </x:c>
      <x:c r="J14" s="3" t="str">
        <x:v>planning;execution;state-management;verification</x:v>
      </x:c>
      <x:c r="K14" s="3" t="str"/>
      <x:c r="L14" s="3" t="str">
        <x:v>3.4;4.4;6.1</x:v>
      </x:c>
      <x:c r="M14" s="3" t="str">
        <x:v>模拟人员与多个应用，通过代码调用 API 完成任务并检查最终状态与副作用。</x:v>
      </x:c>
      <x:c r="N14" s="7" t="str">
        <x:v>https://github.com/stonybrooknlp/appworld</x:v>
      </x:c>
      <x:c r="O14" s="3" t="str"/>
      <x:c r="P14" s="3" t="str">
        <x:v>verified</x:v>
      </x:c>
      <x:c r="Q14" s="7" t="str">
        <x:v>https://arxiv.org/pdf/2407.18901</x:v>
      </x:c>
      <x:c r="R14" s="7" t="str">
        <x:v>https://arxiv.org/abs/2407.18901</x:v>
      </x:c>
      <x:c r="S14" s="3" t="str">
        <x:v>13</x:v>
      </x:c>
      <x:c r="T14" s="3" t="str">
        <x:v>survey bibliography</x:v>
      </x:c>
      <x:c r="U14" s="5" t="d">
        <x:v>2026-10-16T00:00:00.000Z</x:v>
      </x:c>
      <x:c r="V14" s="6" t="str">
        <x:v>未分配</x:v>
      </x:c>
      <x:c r="W14" s="6" t="str"/>
      <x:c r="X14" s="6" t="str"/>
      <x:c r="Y14" s="6" t="str"/>
      <x:c r="Z14" s="3" t="str"/>
    </x:row>
    <x:row r="15" ht="55" customHeight="1">
      <x:c r="A15" s="3" t="str">
        <x:v>WA-0014</x:v>
      </x:c>
      <x:c r="B15" s="3" t="str">
        <x:v>MINT: Evaluating LLMs in Multi-turn Interaction with Tools and Language Feedback</x:v>
      </x:c>
      <x:c r="C15" s="3" t="str">
        <x:v>MINT</x:v>
      </x:c>
      <x:c r="D15" s="4" t="n">
        <x:v>2023</x:v>
      </x:c>
      <x:c r="E15" s="7" t="str">
        <x:v>https://arxiv.org/abs/2309.10691</x:v>
      </x:c>
      <x:c r="F15" s="3" t="str">
        <x:v>University of Illinois Urbana-Champaign; Renmin University of China</x:v>
      </x:c>
      <x:c r="G15" s="3" t="str">
        <x:v>Benchmark</x:v>
      </x:c>
      <x:c r="H15" s="3" t="str">
        <x:v>tool-enterprise</x:v>
      </x:c>
      <x:c r="I15" s="3" t="str">
        <x:v>multi-turn tool and language feedback</x:v>
      </x:c>
      <x:c r="J15" s="3" t="str">
        <x:v>reasoning;execution;recovery</x:v>
      </x:c>
      <x:c r="K15" s="3" t="str"/>
      <x:c r="L15" s="3" t="str">
        <x:v>3.3;4.5;6.1</x:v>
      </x:c>
      <x:c r="M15" s="3" t="str">
        <x:v>在多轮任务中结合工具执行与自然语言反馈，测量代理利用反馈修正过程的能力。</x:v>
      </x:c>
      <x:c r="N15" s="7" t="str">
        <x:v>https://github.com/xingyaoww/mint-bench</x:v>
      </x:c>
      <x:c r="O15" s="7" t="str">
        <x:v>https://github.com/xingyaoww/mint-bench/blob/main/docs/DATA.md</x:v>
      </x:c>
      <x:c r="P15" s="3" t="str">
        <x:v>verified</x:v>
      </x:c>
      <x:c r="Q15" s="7" t="str">
        <x:v>https://arxiv.org/pdf/2309.10691</x:v>
      </x:c>
      <x:c r="R15" s="7" t="str">
        <x:v>https://arxiv.org/abs/2309.10691</x:v>
      </x:c>
      <x:c r="S15" s="3" t="str">
        <x:v>14</x:v>
      </x:c>
      <x:c r="T15" s="3" t="str">
        <x:v>survey bibliography</x:v>
      </x:c>
      <x:c r="U15" s="5" t="d">
        <x:v>2026-10-16T00:00:00.000Z</x:v>
      </x:c>
      <x:c r="V15" s="6" t="str">
        <x:v>未分配</x:v>
      </x:c>
      <x:c r="W15" s="6" t="str"/>
      <x:c r="X15" s="6" t="str"/>
      <x:c r="Y15" s="6" t="str"/>
      <x:c r="Z15" s="3" t="str"/>
    </x:row>
    <x:row r="16" ht="55" customHeight="1">
      <x:c r="A16" s="3" t="str">
        <x:v>WA-0015</x:v>
      </x:c>
      <x:c r="B16" s="3" t="str">
        <x:v>τ-bench: A Benchmark for Tool-Agent-User Interaction in Real-World Domains</x:v>
      </x:c>
      <x:c r="C16" s="3" t="str">
        <x:v>τ-bench</x:v>
      </x:c>
      <x:c r="D16" s="4" t="n">
        <x:v>2024</x:v>
      </x:c>
      <x:c r="E16" s="7" t="str">
        <x:v>https://arxiv.org/abs/2406.12045</x:v>
      </x:c>
      <x:c r="F16" s="3" t="str">
        <x:v>Sierra</x:v>
      </x:c>
      <x:c r="G16" s="3" t="str">
        <x:v>Benchmark</x:v>
      </x:c>
      <x:c r="H16" s="3" t="str">
        <x:v>tool-enterprise</x:v>
      </x:c>
      <x:c r="I16" s="3" t="str">
        <x:v>customer service tool-agent-user interaction</x:v>
      </x:c>
      <x:c r="J16" s="3" t="str">
        <x:v>reasoning;execution;state-management</x:v>
      </x:c>
      <x:c r="K16" s="3" t="str"/>
      <x:c r="L16" s="3" t="str">
        <x:v>3.4;4.4;6.1</x:v>
      </x:c>
      <x:c r="M16" s="3" t="str">
        <x:v>将用户模拟、业务规则和数据库工具结合，评估客服代理持续遵循政策并完成操作的能力。</x:v>
      </x:c>
      <x:c r="N16" s="7" t="str">
        <x:v>https://github.com/sierra-research/tau-bench</x:v>
      </x:c>
      <x:c r="O16" s="3" t="str"/>
      <x:c r="P16" s="3" t="str">
        <x:v>verified</x:v>
      </x:c>
      <x:c r="Q16" s="7" t="str">
        <x:v>https://arxiv.org/pdf/2406.12045</x:v>
      </x:c>
      <x:c r="R16" s="7" t="str">
        <x:v>https://arxiv.org/abs/2406.12045</x:v>
      </x:c>
      <x:c r="S16" s="3" t="str">
        <x:v>15</x:v>
      </x:c>
      <x:c r="T16" s="3" t="str">
        <x:v>survey bibliography</x:v>
      </x:c>
      <x:c r="U16" s="5" t="d">
        <x:v>2026-10-16T00:00:00.000Z</x:v>
      </x:c>
      <x:c r="V16" s="6" t="str">
        <x:v>未分配</x:v>
      </x:c>
      <x:c r="W16" s="6" t="str"/>
      <x:c r="X16" s="6" t="str"/>
      <x:c r="Y16" s="6" t="str"/>
      <x:c r="Z16" s="3" t="str"/>
    </x:row>
    <x:row r="17" ht="55" customHeight="1">
      <x:c r="A17" s="3" t="str">
        <x:v>WA-0016</x:v>
      </x:c>
      <x:c r="B17" s="3" t="str">
        <x:v>τ²-Bench: Evaluating Conversational Agents in a Dual-Control Environment</x:v>
      </x:c>
      <x:c r="C17" s="3" t="str">
        <x:v>τ²-Bench</x:v>
      </x:c>
      <x:c r="D17" s="4" t="n">
        <x:v>2025</x:v>
      </x:c>
      <x:c r="E17" s="7" t="str">
        <x:v>https://arxiv.org/abs/2506.07982</x:v>
      </x:c>
      <x:c r="F17" s="3" t="str">
        <x:v>Sierra; University of Toronto; Vector Institute</x:v>
      </x:c>
      <x:c r="G17" s="3" t="str">
        <x:v>Benchmark</x:v>
      </x:c>
      <x:c r="H17" s="3" t="str">
        <x:v>tool-enterprise</x:v>
      </x:c>
      <x:c r="I17" s="3" t="str">
        <x:v>dual-control customer service</x:v>
      </x:c>
      <x:c r="J17" s="3" t="str">
        <x:v>coordination;execution;state-management</x:v>
      </x:c>
      <x:c r="K17" s="3" t="str"/>
      <x:c r="L17" s="3" t="str">
        <x:v>3.4;4.3;6.1</x:v>
      </x:c>
      <x:c r="M17" s="3" t="str">
        <x:v>让用户与代理共同改变环境状态，检验双控制场景下的协作式客服任务。</x:v>
      </x:c>
      <x:c r="N17" s="7" t="str">
        <x:v>https://github.com/sierra-research/tau2-bench</x:v>
      </x:c>
      <x:c r="O17" s="3" t="str"/>
      <x:c r="P17" s="3" t="str">
        <x:v>verified</x:v>
      </x:c>
      <x:c r="Q17" s="7" t="str">
        <x:v>https://arxiv.org/pdf/2506.07982</x:v>
      </x:c>
      <x:c r="R17" s="7" t="str">
        <x:v>https://arxiv.org/abs/2506.07982</x:v>
      </x:c>
      <x:c r="S17" s="3" t="str">
        <x:v>16</x:v>
      </x:c>
      <x:c r="T17" s="3" t="str">
        <x:v>survey bibliography;previous README</x:v>
      </x:c>
      <x:c r="U17" s="5" t="d">
        <x:v>2026-10-16T00:00:00.000Z</x:v>
      </x:c>
      <x:c r="V17" s="6" t="str">
        <x:v>未分配</x:v>
      </x:c>
      <x:c r="W17" s="6" t="str"/>
      <x:c r="X17" s="6" t="str"/>
      <x:c r="Y17" s="6" t="str"/>
      <x:c r="Z17" s="3" t="str"/>
    </x:row>
    <x:row r="18" ht="55" customHeight="1">
      <x:c r="A18" s="3" t="str">
        <x:v>WA-0017</x:v>
      </x:c>
      <x:c r="B18" s="3" t="str">
        <x:v>Measuring AI Ability to Complete Long Software Tasks</x:v>
      </x:c>
      <x:c r="C18" s="3" t="str">
        <x:v>METR time horizon</x:v>
      </x:c>
      <x:c r="D18" s="4" t="n">
        <x:v>2025</x:v>
      </x:c>
      <x:c r="E18" s="7" t="str">
        <x:v>https://arxiv.org/abs/2503.14499</x:v>
      </x:c>
      <x:c r="F18" s="3" t="str">
        <x:v>Model Evaluation and Threat Research (METR)</x:v>
      </x:c>
      <x:c r="G18" s="3" t="str">
        <x:v>Benchmark</x:v>
      </x:c>
      <x:c r="H18" s="3" t="str">
        <x:v>persistent</x:v>
      </x:c>
      <x:c r="I18" s="3" t="str">
        <x:v>human-calibrated software task horizon</x:v>
      </x:c>
      <x:c r="J18" s="3" t="str">
        <x:v>planning;execution;verification</x:v>
      </x:c>
      <x:c r="K18" s="3" t="str"/>
      <x:c r="L18" s="3" t="str">
        <x:v>2.4;6.3;7.2</x:v>
      </x:c>
      <x:c r="M18" s="3" t="str">
        <x:v>用人类完成任务所需时间标定 AI 软件任务的可完成时长与可靠性。</x:v>
      </x:c>
      <x:c r="N18" s="3" t="str"/>
      <x:c r="O18" s="3" t="str"/>
      <x:c r="P18" s="3" t="str">
        <x:v>verified</x:v>
      </x:c>
      <x:c r="Q18" s="7" t="str">
        <x:v>https://arxiv.org/pdf/2503.14499</x:v>
      </x:c>
      <x:c r="R18" s="7" t="str">
        <x:v>https://arxiv.org/abs/2503.14499</x:v>
      </x:c>
      <x:c r="S18" s="3" t="str">
        <x:v>17</x:v>
      </x:c>
      <x:c r="T18" s="3" t="str">
        <x:v>survey bibliography</x:v>
      </x:c>
      <x:c r="U18" s="5" t="d">
        <x:v>2026-10-16T00:00:00.000Z</x:v>
      </x:c>
      <x:c r="V18" s="6" t="str">
        <x:v>未分配</x:v>
      </x:c>
      <x:c r="W18" s="6" t="str"/>
      <x:c r="X18" s="6" t="str"/>
      <x:c r="Y18" s="6" t="str"/>
      <x:c r="Z18" s="3" t="str">
        <x:v>单位按完成工作时的 METR 归属记录；首页注记中的后续任职不作为论文单位。</x:v>
      </x:c>
    </x:row>
    <x:row r="19" ht="55" customHeight="1">
      <x:c r="A19" s="3" t="str">
        <x:v>WA-0018</x:v>
      </x:c>
      <x:c r="B19" s="3" t="str">
        <x:v>RE-Bench: Evaluating frontier AI R&amp;D capabilities of language model agents against human experts</x:v>
      </x:c>
      <x:c r="C19" s="3" t="str">
        <x:v>RE-Bench</x:v>
      </x:c>
      <x:c r="D19" s="4" t="n">
        <x:v>2024</x:v>
      </x:c>
      <x:c r="E19" s="7" t="str">
        <x:v>https://arxiv.org/abs/2411.15114</x:v>
      </x:c>
      <x:c r="F19" s="3" t="str">
        <x:v>Model Evaluation and Threat Research (METR)</x:v>
      </x:c>
      <x:c r="G19" s="3" t="str">
        <x:v>Benchmark</x:v>
      </x:c>
      <x:c r="H19" s="3" t="str">
        <x:v>swe-science</x:v>
      </x:c>
      <x:c r="I19" s="3" t="str">
        <x:v>AI research engineering</x:v>
      </x:c>
      <x:c r="J19" s="3" t="str">
        <x:v>reasoning;planning;execution</x:v>
      </x:c>
      <x:c r="K19" s="3" t="str"/>
      <x:c r="L19" s="3" t="str">
        <x:v>2.4;6.1;6.3</x:v>
      </x:c>
      <x:c r="M19" s="3" t="str">
        <x:v>在开放式机器学习研发环境中，以相同时间预算比较代理与人类专家的表现。</x:v>
      </x:c>
      <x:c r="N19" s="7" t="str">
        <x:v>https://github.com/METR/ai-rd-tasks</x:v>
      </x:c>
      <x:c r="O19" s="3" t="str"/>
      <x:c r="P19" s="3" t="str">
        <x:v>verified</x:v>
      </x:c>
      <x:c r="Q19" s="7" t="str">
        <x:v>https://arxiv.org/pdf/2411.15114</x:v>
      </x:c>
      <x:c r="R19" s="7" t="str">
        <x:v>https://arxiv.org/abs/2411.15114</x:v>
      </x:c>
      <x:c r="S19" s="3" t="str">
        <x:v>18</x:v>
      </x:c>
      <x:c r="T19" s="3" t="str">
        <x:v>survey bibliography</x:v>
      </x:c>
      <x:c r="U19" s="5" t="d">
        <x:v>2026-10-16T00:00:00.000Z</x:v>
      </x:c>
      <x:c r="V19" s="6" t="str">
        <x:v>未分配</x:v>
      </x:c>
      <x:c r="W19" s="6" t="str"/>
      <x:c r="X19" s="6" t="str"/>
      <x:c r="Y19" s="6" t="str"/>
      <x:c r="Z19" s="3" t="str">
        <x:v>仅列牵头机构 METR；作者注记还说明若干合作和工作时归属。</x:v>
      </x:c>
    </x:row>
    <x:row r="20" ht="55" customHeight="1">
      <x:c r="A20" s="3" t="str">
        <x:v>WA-0019</x:v>
      </x:c>
      <x:c r="B20" s="3" t="str">
        <x:v>Workspace-Bench 1.0: Benchmarking AI Agents on Workspace Tasks with Large-Scale File Dependencies</x:v>
      </x:c>
      <x:c r="C20" s="3" t="str">
        <x:v>Workspace-Bench</x:v>
      </x:c>
      <x:c r="D20" s="4" t="n">
        <x:v>2026</x:v>
      </x:c>
      <x:c r="E20" s="7" t="str">
        <x:v>https://arxiv.org/abs/2605.03596</x:v>
      </x:c>
      <x:c r="F20" s="3" t="str">
        <x:v>Shanghai Jiao Tong University; ByteDance; Massachusetts Institute of Technology; Tsinghua University</x:v>
      </x:c>
      <x:c r="G20" s="3" t="str">
        <x:v>Benchmark</x:v>
      </x:c>
      <x:c r="H20" s="3" t="str">
        <x:v>workspace</x:v>
      </x:c>
      <x:c r="I20" s="3" t="str">
        <x:v>large-scale file dependencies</x:v>
      </x:c>
      <x:c r="J20" s="3" t="str">
        <x:v>perception;reasoning;planning;state-management</x:v>
      </x:c>
      <x:c r="K20" s="3" t="str"/>
      <x:c r="L20" s="3" t="str">
        <x:v>3.5;4.1;6.1</x:v>
      </x:c>
      <x:c r="M20" s="3" t="str">
        <x:v>构建具有大规模异构文件及依赖图的工作区，评估跨文件理解与任务完成能力。</x:v>
      </x:c>
      <x:c r="N20" s="7" t="str">
        <x:v>https://github.com/OpenDataBox/Workspace-Bench</x:v>
      </x:c>
      <x:c r="O20" s="3" t="str"/>
      <x:c r="P20" s="3" t="str">
        <x:v>verified</x:v>
      </x:c>
      <x:c r="Q20" s="7" t="str">
        <x:v>https://arxiv.org/pdf/2605.03596</x:v>
      </x:c>
      <x:c r="R20" s="7" t="str">
        <x:v>https://arxiv.org/abs/2605.03596</x:v>
      </x:c>
      <x:c r="S20" s="3" t="str">
        <x:v>19</x:v>
      </x:c>
      <x:c r="T20" s="3" t="str">
        <x:v>survey bibliography</x:v>
      </x:c>
      <x:c r="U20" s="5" t="d">
        <x:v>2026-10-16T00:00:00.000Z</x:v>
      </x:c>
      <x:c r="V20" s="6" t="str">
        <x:v>未分配</x:v>
      </x:c>
      <x:c r="W20" s="6" t="str"/>
      <x:c r="X20" s="6" t="str"/>
      <x:c r="Y20" s="6" t="str"/>
      <x:c r="Z20" s="3" t="str"/>
    </x:row>
    <x:row r="21" ht="55" customHeight="1">
      <x:c r="A21" s="3" t="str">
        <x:v>WA-0020</x:v>
      </x:c>
      <x:c r="B21" s="3" t="str">
        <x:v>TheAgentCompany: Benchmarking LLM Agents on Consequential Real World Tasks</x:v>
      </x:c>
      <x:c r="C21" s="3" t="str">
        <x:v>TheAgentCompany</x:v>
      </x:c>
      <x:c r="D21" s="4" t="n">
        <x:v>2024</x:v>
      </x:c>
      <x:c r="E21" s="7" t="str">
        <x:v>https://arxiv.org/abs/2412.14161</x:v>
      </x:c>
      <x:c r="F21" s="3" t="str">
        <x:v>Carnegie Mellon University; Duke University</x:v>
      </x:c>
      <x:c r="G21" s="3" t="str">
        <x:v>Benchmark</x:v>
      </x:c>
      <x:c r="H21" s="3" t="str">
        <x:v>tool-enterprise</x:v>
      </x:c>
      <x:c r="I21" s="3" t="str">
        <x:v>simulated company workflow</x:v>
      </x:c>
      <x:c r="J21" s="3" t="str">
        <x:v>planning;coordination;execution;state-management</x:v>
      </x:c>
      <x:c r="K21" s="3" t="str"/>
      <x:c r="L21" s="3" t="str">
        <x:v>3.4;3.5;6.1</x:v>
      </x:c>
      <x:c r="M21" s="3" t="str">
        <x:v>用公司内部网站、文件和同事交互构建真实职业任务，检验端到端数字工作表现。</x:v>
      </x:c>
      <x:c r="N21" s="7" t="str">
        <x:v>https://github.com/TheAgentCompany/TheAgentCompany</x:v>
      </x:c>
      <x:c r="O21" s="3" t="str"/>
      <x:c r="P21" s="3" t="str">
        <x:v>verified</x:v>
      </x:c>
      <x:c r="Q21" s="7" t="str">
        <x:v>https://arxiv.org/pdf/2412.14161</x:v>
      </x:c>
      <x:c r="R21" s="7" t="str">
        <x:v>https://arxiv.org/abs/2412.14161</x:v>
      </x:c>
      <x:c r="S21" s="3" t="str">
        <x:v>20</x:v>
      </x:c>
      <x:c r="T21" s="3" t="str">
        <x:v>survey bibliography</x:v>
      </x:c>
      <x:c r="U21" s="5" t="d">
        <x:v>2026-10-16T00:00:00.000Z</x:v>
      </x:c>
      <x:c r="V21" s="6" t="str">
        <x:v>未分配</x:v>
      </x:c>
      <x:c r="W21" s="6" t="str"/>
      <x:c r="X21" s="6" t="str"/>
      <x:c r="Y21" s="6" t="str"/>
      <x:c r="Z21" s="3" t="str">
        <x:v>另有 Independent 作者；不将独立研究者计为机构。</x:v>
      </x:c>
    </x:row>
    <x:row r="22" ht="55" customHeight="1">
      <x:c r="A22" s="3" t="str">
        <x:v>WA-0021</x:v>
      </x:c>
      <x:c r="B22" s="3" t="str">
        <x:v>WorkArena++: Towards Compositional Planning and Reasoning-based Common Knowledge Work Tasks</x:v>
      </x:c>
      <x:c r="C22" s="3" t="str">
        <x:v>WorkArena++</x:v>
      </x:c>
      <x:c r="D22" s="4" t="n">
        <x:v>2024</x:v>
      </x:c>
      <x:c r="E22" s="7" t="str">
        <x:v>https://arxiv.org/abs/2407.05291</x:v>
      </x:c>
      <x:c r="F22" s="3" t="str">
        <x:v>ServiceNow Research; Mila; Polytechnique Montréal; Chandar Research Lab</x:v>
      </x:c>
      <x:c r="G22" s="3" t="str">
        <x:v>Benchmark</x:v>
      </x:c>
      <x:c r="H22" s="3" t="str">
        <x:v>computer-use</x:v>
      </x:c>
      <x:c r="I22" s="3" t="str">
        <x:v>compositional enterprise web planning</x:v>
      </x:c>
      <x:c r="J22" s="3" t="str">
        <x:v>reasoning;planning;execution</x:v>
      </x:c>
      <x:c r="K22" s="3" t="str"/>
      <x:c r="L22" s="3" t="str">
        <x:v>3.4;4.3;6.1</x:v>
      </x:c>
      <x:c r="M22" s="3" t="str">
        <x:v>将企业网页操作组合为复杂知识工作流程，检验规划、推理与上下文理解。</x:v>
      </x:c>
      <x:c r="N22" s="7" t="str">
        <x:v>https://github.com/ServiceNow/WorkArena</x:v>
      </x:c>
      <x:c r="O22" s="3" t="str"/>
      <x:c r="P22" s="3" t="str">
        <x:v>verified</x:v>
      </x:c>
      <x:c r="Q22" s="7" t="str">
        <x:v>https://arxiv.org/pdf/2407.05291</x:v>
      </x:c>
      <x:c r="R22" s="7" t="str">
        <x:v>https://arxiv.org/abs/2407.05291</x:v>
      </x:c>
      <x:c r="S22" s="3" t="str">
        <x:v>21</x:v>
      </x:c>
      <x:c r="T22" s="3" t="str">
        <x:v>survey bibliography</x:v>
      </x:c>
      <x:c r="U22" s="5" t="d">
        <x:v>2026-10-16T00:00:00.000Z</x:v>
      </x:c>
      <x:c r="V22" s="6" t="str">
        <x:v>未分配</x:v>
      </x:c>
      <x:c r="W22" s="6" t="str"/>
      <x:c r="X22" s="6" t="str"/>
      <x:c r="Y22" s="6" t="str"/>
      <x:c r="Z22" s="3" t="str"/>
    </x:row>
    <x:row r="23" ht="55" customHeight="1">
      <x:c r="A23" s="3" t="str">
        <x:v>WA-0022</x:v>
      </x:c>
      <x:c r="B23" s="3" t="str">
        <x:v>SpreadsheetLLM: Encoding Spreadsheets for Large Language Models</x:v>
      </x:c>
      <x:c r="C23" s="3" t="str">
        <x:v>SpreadsheetLLM</x:v>
      </x:c>
      <x:c r="D23" s="4" t="n">
        <x:v>2024</x:v>
      </x:c>
      <x:c r="E23" s="7" t="str">
        <x:v>https://arxiv.org/abs/2407.09025</x:v>
      </x:c>
      <x:c r="F23" s="3" t="str">
        <x:v>Microsoft</x:v>
      </x:c>
      <x:c r="G23" s="3" t="str">
        <x:v>Method</x:v>
      </x:c>
      <x:c r="H23" s="3" t="str">
        <x:v>related</x:v>
      </x:c>
      <x:c r="I23" s="3" t="str">
        <x:v>spreadsheet representation and compression</x:v>
      </x:c>
      <x:c r="J23" s="3" t="str">
        <x:v>perception;reasoning</x:v>
      </x:c>
      <x:c r="K23" s="3" t="str"/>
      <x:c r="L23" s="3" t="str">
        <x:v>4.1;5.3</x:v>
      </x:c>
      <x:c r="M23" s="3" t="str">
        <x:v>用结构锚点、索引和格式聚合压缩电子表格，使 LLM 能处理更大范围的表格信息。</x:v>
      </x:c>
      <x:c r="N23" s="3" t="str"/>
      <x:c r="O23" s="3" t="str"/>
      <x:c r="P23" s="3" t="str">
        <x:v>verified</x:v>
      </x:c>
      <x:c r="Q23" s="7" t="str">
        <x:v>https://arxiv.org/pdf/2407.09025</x:v>
      </x:c>
      <x:c r="R23" s="7" t="str">
        <x:v>https://arxiv.org/abs/2407.09025</x:v>
      </x:c>
      <x:c r="S23" s="3" t="str">
        <x:v>22</x:v>
      </x:c>
      <x:c r="T23" s="3" t="str">
        <x:v>survey bibliography</x:v>
      </x:c>
      <x:c r="U23" s="5" t="d">
        <x:v>2026-10-16T00:00:00.000Z</x:v>
      </x:c>
      <x:c r="V23" s="6" t="str">
        <x:v>未分配</x:v>
      </x:c>
      <x:c r="W23" s="6" t="str"/>
      <x:c r="X23" s="6" t="str"/>
      <x:c r="Y23" s="6" t="str"/>
      <x:c r="Z23" s="3" t="str"/>
    </x:row>
    <x:row r="24" ht="55" customHeight="1">
      <x:c r="A24" s="3" t="str">
        <x:v>WA-0023</x:v>
      </x:c>
      <x:c r="B24" s="3" t="str">
        <x:v>OmniDocBench: Benchmarking Diverse PDF Document Parsing with Comprehensive Annotations</x:v>
      </x:c>
      <x:c r="C24" s="3" t="str">
        <x:v>OmniDocBench</x:v>
      </x:c>
      <x:c r="D24" s="4" t="n">
        <x:v>2024</x:v>
      </x:c>
      <x:c r="E24" s="7" t="str">
        <x:v>https://arxiv.org/abs/2412.07626</x:v>
      </x:c>
      <x:c r="F24" s="3" t="str">
        <x:v>Shanghai AI Laboratory; Abaka AI; 2077AI</x:v>
      </x:c>
      <x:c r="G24" s="3" t="str">
        <x:v>Benchmark</x:v>
      </x:c>
      <x:c r="H24" s="3" t="str">
        <x:v>related</x:v>
      </x:c>
      <x:c r="I24" s="3" t="str">
        <x:v>PDF document parsing</x:v>
      </x:c>
      <x:c r="J24" s="3" t="str">
        <x:v>perception</x:v>
      </x:c>
      <x:c r="K24" s="3" t="str"/>
      <x:c r="L24" s="3" t="str">
        <x:v>4.1;6.1</x:v>
      </x:c>
      <x:c r="M24" s="3" t="str">
        <x:v>通过多来源文档、细粒度版面标签与多层评估，系统检验 PDF 内容解析质量。</x:v>
      </x:c>
      <x:c r="N24" s="7" t="str">
        <x:v>https://github.com/opendatalab/OmniDocBench</x:v>
      </x:c>
      <x:c r="O24" s="3" t="str"/>
      <x:c r="P24" s="3" t="str">
        <x:v>verified</x:v>
      </x:c>
      <x:c r="Q24" s="7" t="str">
        <x:v>https://arxiv.org/pdf/2412.07626</x:v>
      </x:c>
      <x:c r="R24" s="7" t="str">
        <x:v>https://arxiv.org/abs/2412.07626</x:v>
      </x:c>
      <x:c r="S24" s="3" t="str">
        <x:v>23</x:v>
      </x:c>
      <x:c r="T24" s="3" t="str">
        <x:v>survey bibliography</x:v>
      </x:c>
      <x:c r="U24" s="5" t="d">
        <x:v>2026-10-16T00:00:00.000Z</x:v>
      </x:c>
      <x:c r="V24" s="6" t="str">
        <x:v>未分配</x:v>
      </x:c>
      <x:c r="W24" s="6" t="str"/>
      <x:c r="X24" s="6" t="str"/>
      <x:c r="Y24" s="6" t="str"/>
      <x:c r="Z24" s="3" t="str"/>
    </x:row>
    <x:row r="25" ht="85" customHeight="1">
      <x:c r="A25" s="3" t="str">
        <x:v>WA-0024</x:v>
      </x:c>
      <x:c r="B25" s="3" t="str">
        <x:v>MMLongBench-Doc: Benchmarking Long-context Document Understanding with Visualizations</x:v>
      </x:c>
      <x:c r="C25" s="3" t="str">
        <x:v>MMLongBench-Doc</x:v>
      </x:c>
      <x:c r="D25" s="4" t="n">
        <x:v>2024</x:v>
      </x:c>
      <x:c r="E25" s="7" t="str">
        <x:v>https://arxiv.org/abs/2407.01523</x:v>
      </x:c>
      <x:c r="F25" s="3" t="str">
        <x:v>Nanyang Technological University; Shanghai AI Laboratory; Peking University; University of Illinois Urbana-Champaign; National University of Singapore; Wuhan University; Singapore Management University; University of Arizona; Fudan University</x:v>
      </x:c>
      <x:c r="G25" s="3" t="str">
        <x:v>Benchmark</x:v>
      </x:c>
      <x:c r="H25" s="3" t="str">
        <x:v>related</x:v>
      </x:c>
      <x:c r="I25" s="3" t="str">
        <x:v>long multimodal document understanding</x:v>
      </x:c>
      <x:c r="J25" s="3" t="str">
        <x:v>perception;reasoning</x:v>
      </x:c>
      <x:c r="K25" s="3" t="str"/>
      <x:c r="L25" s="3" t="str">
        <x:v>4.1;6.1</x:v>
      </x:c>
      <x:c r="M25" s="3" t="str">
        <x:v>用跨页面、多模态证据与不可回答问题评估长文档理解和证据整合能力。</x:v>
      </x:c>
      <x:c r="N25" s="7" t="str">
        <x:v>https://github.com/mayubo2333/MMLongBench-Doc</x:v>
      </x:c>
      <x:c r="O25" s="7" t="str">
        <x:v>https://huggingface.co/datasets/yubo2333/MMLongBench-Doc</x:v>
      </x:c>
      <x:c r="P25" s="3" t="str">
        <x:v>verified</x:v>
      </x:c>
      <x:c r="Q25" s="7" t="str">
        <x:v>https://arxiv.org/pdf/2407.01523</x:v>
      </x:c>
      <x:c r="R25" s="7" t="str">
        <x:v>https://arxiv.org/abs/2407.01523</x:v>
      </x:c>
      <x:c r="S25" s="3" t="str">
        <x:v>24</x:v>
      </x:c>
      <x:c r="T25" s="3" t="str">
        <x:v>survey bibliography</x:v>
      </x:c>
      <x:c r="U25" s="5" t="d">
        <x:v>2026-10-16T00:00:00.000Z</x:v>
      </x:c>
      <x:c r="V25" s="6" t="str">
        <x:v>未分配</x:v>
      </x:c>
      <x:c r="W25" s="6" t="str"/>
      <x:c r="X25" s="6" t="str"/>
      <x:c r="Y25" s="6" t="str"/>
      <x:c r="Z25" s="3" t="str"/>
    </x:row>
    <x:row r="26" ht="55" customHeight="1">
      <x:c r="A26" s="3" t="str">
        <x:v>WA-0025</x:v>
      </x:c>
      <x:c r="B26" s="3" t="str">
        <x:v>SpreadsheetBench: Towards Challenging Real World Spreadsheet Manipulation</x:v>
      </x:c>
      <x:c r="C26" s="3" t="str">
        <x:v>SpreadsheetBench</x:v>
      </x:c>
      <x:c r="D26" s="4" t="n">
        <x:v>2024</x:v>
      </x:c>
      <x:c r="E26" s="7" t="str">
        <x:v>https://arxiv.org/abs/2406.14991</x:v>
      </x:c>
      <x:c r="F26" s="3" t="str">
        <x:v>Renmin University of China; Tsinghua University; Zhipu AI</x:v>
      </x:c>
      <x:c r="G26" s="3" t="str">
        <x:v>Benchmark</x:v>
      </x:c>
      <x:c r="H26" s="3" t="str">
        <x:v>artifact</x:v>
      </x:c>
      <x:c r="I26" s="3" t="str">
        <x:v>real-world spreadsheet manipulation</x:v>
      </x:c>
      <x:c r="J26" s="3" t="str">
        <x:v>reasoning;execution;verification</x:v>
      </x:c>
      <x:c r="K26" s="3" t="str"/>
      <x:c r="L26" s="3" t="str">
        <x:v>3.3;4.4;6.1</x:v>
      </x:c>
      <x:c r="M26" s="3" t="str">
        <x:v>基于真实 Excel 论坛问题与复杂工作簿，用多个测试文件检验表格操作的正确性与稳健性。</x:v>
      </x:c>
      <x:c r="N26" s="7" t="str">
        <x:v>https://github.com/RUCKBReasoning/SpreadsheetBench</x:v>
      </x:c>
      <x:c r="O26" s="7" t="str">
        <x:v>https://huggingface.co/datasets/KAKA22/SpreadsheetBench</x:v>
      </x:c>
      <x:c r="P26" s="3" t="str">
        <x:v>verified</x:v>
      </x:c>
      <x:c r="Q26" s="7" t="str">
        <x:v>https://arxiv.org/pdf/2406.14991</x:v>
      </x:c>
      <x:c r="R26" s="7" t="str">
        <x:v>https://arxiv.org/abs/2406.14991</x:v>
      </x:c>
      <x:c r="S26" s="3" t="str">
        <x:v>25</x:v>
      </x:c>
      <x:c r="T26" s="3" t="str">
        <x:v>survey bibliography</x:v>
      </x:c>
      <x:c r="U26" s="5" t="d">
        <x:v>2026-10-16T00:00:00.000Z</x:v>
      </x:c>
      <x:c r="V26" s="6" t="str">
        <x:v>未分配</x:v>
      </x:c>
      <x:c r="W26" s="6" t="str"/>
      <x:c r="X26" s="6" t="str"/>
      <x:c r="Y26" s="6" t="str"/>
      <x:c r="Z26" s="3" t="str"/>
    </x:row>
    <x:row r="27" ht="55" customHeight="1">
      <x:c r="A27" s="3" t="str">
        <x:v>WA-0026</x:v>
      </x:c>
      <x:c r="B27" s="3" t="str">
        <x:v>PPTC Benchmark: Evaluating Large Language Models for PowerPoint Task Completion</x:v>
      </x:c>
      <x:c r="C27" s="3" t="str">
        <x:v>PPTC</x:v>
      </x:c>
      <x:c r="D27" s="4" t="n">
        <x:v>2023</x:v>
      </x:c>
      <x:c r="E27" s="7" t="str">
        <x:v>https://arxiv.org/abs/2311.01767</x:v>
      </x:c>
      <x:c r="F27" s="3" t="str">
        <x:v>Peking University; Microsoft Research Asia</x:v>
      </x:c>
      <x:c r="G27" s="3" t="str">
        <x:v>Benchmark</x:v>
      </x:c>
      <x:c r="H27" s="3" t="str">
        <x:v>artifact</x:v>
      </x:c>
      <x:c r="I27" s="3" t="str">
        <x:v>PowerPoint task completion</x:v>
      </x:c>
      <x:c r="J27" s="3" t="str">
        <x:v>perception;execution</x:v>
      </x:c>
      <x:c r="K27" s="3" t="str"/>
      <x:c r="L27" s="3" t="str">
        <x:v>3.3;4.4;6.1</x:v>
      </x:c>
      <x:c r="M27" s="3" t="str">
        <x:v>将自然语言 PowerPoint 指令转成可执行操作任务，评估幻灯片创建与修改能力。</x:v>
      </x:c>
      <x:c r="N27" s="7" t="str">
        <x:v>https://github.com/gydpku/PPTC</x:v>
      </x:c>
      <x:c r="O27" s="3" t="str"/>
      <x:c r="P27" s="3" t="str">
        <x:v>verified</x:v>
      </x:c>
      <x:c r="Q27" s="7" t="str">
        <x:v>https://arxiv.org/pdf/2311.01767</x:v>
      </x:c>
      <x:c r="R27" s="7" t="str">
        <x:v>https://arxiv.org/abs/2311.01767</x:v>
      </x:c>
      <x:c r="S27" s="3" t="str">
        <x:v>26</x:v>
      </x:c>
      <x:c r="T27" s="3" t="str">
        <x:v>survey bibliography</x:v>
      </x:c>
      <x:c r="U27" s="5" t="d">
        <x:v>2026-10-16T00:00:00.000Z</x:v>
      </x:c>
      <x:c r="V27" s="6" t="str">
        <x:v>未分配</x:v>
      </x:c>
      <x:c r="W27" s="6" t="str"/>
      <x:c r="X27" s="6" t="str"/>
      <x:c r="Y27" s="6" t="str"/>
      <x:c r="Z27" s="3" t="str"/>
    </x:row>
    <x:row r="28" ht="55" customHeight="1">
      <x:c r="A28" s="3" t="str">
        <x:v>WA-0027</x:v>
      </x:c>
      <x:c r="B28" s="3" t="str">
        <x:v>PresentBench: A Fine-Grained Rubric-Based Benchmark for Slide Generation</x:v>
      </x:c>
      <x:c r="C28" s="3" t="str">
        <x:v>PresentBench</x:v>
      </x:c>
      <x:c r="D28" s="4" t="n">
        <x:v>2026</x:v>
      </x:c>
      <x:c r="E28" s="7" t="str">
        <x:v>https://arxiv.org/abs/2603.07244</x:v>
      </x:c>
      <x:c r="F28" s="3" t="str">
        <x:v>Tsinghua University</x:v>
      </x:c>
      <x:c r="G28" s="3" t="str">
        <x:v>Benchmark</x:v>
      </x:c>
      <x:c r="H28" s="3" t="str">
        <x:v>artifact</x:v>
      </x:c>
      <x:c r="I28" s="3" t="str">
        <x:v>rubric-based slide generation</x:v>
      </x:c>
      <x:c r="J28" s="3" t="str">
        <x:v>planning;execution;verification</x:v>
      </x:c>
      <x:c r="K28" s="3" t="str"/>
      <x:c r="L28" s="3" t="str">
        <x:v>3.3;4.5;6.2</x:v>
      </x:c>
      <x:c r="M28" s="3" t="str">
        <x:v>通过细粒度评分规则检查幻灯片生成的多方面要求和最终质量。</x:v>
      </x:c>
      <x:c r="N28" s="7" t="str">
        <x:v>https://github.com/PresentBench/PresentBench</x:v>
      </x:c>
      <x:c r="O28" s="7" t="str">
        <x:v>https://huggingface.co/datasets/PresentBench/PresentBench</x:v>
      </x:c>
      <x:c r="P28" s="3" t="str">
        <x:v>verified</x:v>
      </x:c>
      <x:c r="Q28" s="7" t="str">
        <x:v>https://arxiv.org/pdf/2603.07244</x:v>
      </x:c>
      <x:c r="R28" s="7" t="str">
        <x:v>https://arxiv.org/abs/2603.07244</x:v>
      </x:c>
      <x:c r="S28" s="3" t="str">
        <x:v>27</x:v>
      </x:c>
      <x:c r="T28" s="3" t="str">
        <x:v>survey bibliography</x:v>
      </x:c>
      <x:c r="U28" s="5" t="d">
        <x:v>2026-10-16T00:00:00.000Z</x:v>
      </x:c>
      <x:c r="V28" s="6" t="str">
        <x:v>未分配</x:v>
      </x:c>
      <x:c r="W28" s="6" t="str"/>
      <x:c r="X28" s="6" t="str"/>
      <x:c r="Y28" s="6" t="str"/>
      <x:c r="Z28" s="3" t="str"/>
    </x:row>
    <x:row r="29" ht="55" customHeight="1">
      <x:c r="A29" s="3" t="str">
        <x:v>WA-0028</x:v>
      </x:c>
      <x:c r="B29" s="3" t="str">
        <x:v>SWE-bench: Can Language Models Resolve Real-World GitHub Issues?</x:v>
      </x:c>
      <x:c r="C29" s="3" t="str">
        <x:v>SWE-bench</x:v>
      </x:c>
      <x:c r="D29" s="4" t="n">
        <x:v>2023</x:v>
      </x:c>
      <x:c r="E29" s="7" t="str">
        <x:v>https://arxiv.org/abs/2310.06770</x:v>
      </x:c>
      <x:c r="F29" s="3" t="str">
        <x:v>Princeton University; University of Chicago</x:v>
      </x:c>
      <x:c r="G29" s="3" t="str">
        <x:v>Benchmark</x:v>
      </x:c>
      <x:c r="H29" s="3" t="str">
        <x:v>swe-science</x:v>
      </x:c>
      <x:c r="I29" s="3" t="str">
        <x:v>repository issue resolution</x:v>
      </x:c>
      <x:c r="J29" s="3" t="str">
        <x:v>reasoning;execution;verification</x:v>
      </x:c>
      <x:c r="K29" s="3" t="str"/>
      <x:c r="L29" s="3" t="str">
        <x:v>3.3;4.4;6.1</x:v>
      </x:c>
      <x:c r="M29" s="3" t="str">
        <x:v>以真实 GitHub issue 和仓库测试评估模型修复软件问题的能力。</x:v>
      </x:c>
      <x:c r="N29" s="3" t="str"/>
      <x:c r="O29" s="3" t="str"/>
      <x:c r="P29" s="3" t="str">
        <x:v>verified</x:v>
      </x:c>
      <x:c r="Q29" s="7" t="str">
        <x:v>https://arxiv.org/pdf/2310.06770</x:v>
      </x:c>
      <x:c r="R29" s="7" t="str">
        <x:v>https://arxiv.org/abs/2310.06770</x:v>
      </x:c>
      <x:c r="S29" s="3" t="str">
        <x:v>28</x:v>
      </x:c>
      <x:c r="T29" s="3" t="str">
        <x:v>survey bibliography</x:v>
      </x:c>
      <x:c r="U29" s="5" t="d">
        <x:v>2026-10-16T00:00:00.000Z</x:v>
      </x:c>
      <x:c r="V29" s="6" t="str">
        <x:v>未分配</x:v>
      </x:c>
      <x:c r="W29" s="6" t="str"/>
      <x:c r="X29" s="6" t="str"/>
      <x:c r="Y29" s="6" t="str"/>
      <x:c r="Z29" s="3" t="str"/>
    </x:row>
    <x:row r="30" ht="55" customHeight="1">
      <x:c r="A30" s="3" t="str">
        <x:v>WA-0029</x:v>
      </x:c>
      <x:c r="B30" s="3" t="str">
        <x:v>RepoBench: Benchmarking Repository-Level Code Auto-Completion Systems</x:v>
      </x:c>
      <x:c r="C30" s="3" t="str">
        <x:v>RepoBench</x:v>
      </x:c>
      <x:c r="D30" s="4" t="n">
        <x:v>2023</x:v>
      </x:c>
      <x:c r="E30" s="7" t="str">
        <x:v>https://arxiv.org/abs/2306.03091</x:v>
      </x:c>
      <x:c r="F30" s="3" t="str">
        <x:v>University of California, San Diego</x:v>
      </x:c>
      <x:c r="G30" s="3" t="str">
        <x:v>Benchmark</x:v>
      </x:c>
      <x:c r="H30" s="3" t="str">
        <x:v>swe-science</x:v>
      </x:c>
      <x:c r="I30" s="3" t="str">
        <x:v>repository-level code completion</x:v>
      </x:c>
      <x:c r="J30" s="3" t="str">
        <x:v>perception;reasoning</x:v>
      </x:c>
      <x:c r="K30" s="3" t="str"/>
      <x:c r="L30" s="3" t="str">
        <x:v>4.1;6.1</x:v>
      </x:c>
      <x:c r="M30" s="3" t="str">
        <x:v>将跨文件检索与代码补全联合评估，检验模型利用仓库上下文的能力。</x:v>
      </x:c>
      <x:c r="N30" s="7" t="str">
        <x:v>https://github.com/Leolty/repobench</x:v>
      </x:c>
      <x:c r="O30" s="3" t="str"/>
      <x:c r="P30" s="3" t="str">
        <x:v>verified</x:v>
      </x:c>
      <x:c r="Q30" s="7" t="str">
        <x:v>https://arxiv.org/pdf/2306.03091</x:v>
      </x:c>
      <x:c r="R30" s="7" t="str">
        <x:v>https://arxiv.org/abs/2306.03091</x:v>
      </x:c>
      <x:c r="S30" s="3" t="str">
        <x:v>29</x:v>
      </x:c>
      <x:c r="T30" s="3" t="str">
        <x:v>survey bibliography</x:v>
      </x:c>
      <x:c r="U30" s="5" t="d">
        <x:v>2026-10-16T00:00:00.000Z</x:v>
      </x:c>
      <x:c r="V30" s="6" t="str">
        <x:v>未分配</x:v>
      </x:c>
      <x:c r="W30" s="6" t="str"/>
      <x:c r="X30" s="6" t="str"/>
      <x:c r="Y30" s="6" t="str"/>
      <x:c r="Z30" s="3" t="str"/>
    </x:row>
    <x:row r="31" ht="55" customHeight="1">
      <x:c r="A31" s="3" t="str">
        <x:v>WA-0030</x:v>
      </x:c>
      <x:c r="B31" s="3" t="str">
        <x:v>CRMArena-Pro: Holistic Assessment of LLM Agents Across Diverse Business Scenarios and Interactions</x:v>
      </x:c>
      <x:c r="C31" s="3" t="str">
        <x:v>CRMArena-Pro</x:v>
      </x:c>
      <x:c r="D31" s="4" t="n">
        <x:v>2025</x:v>
      </x:c>
      <x:c r="E31" s="7" t="str">
        <x:v>https://arxiv.org/abs/2505.18878</x:v>
      </x:c>
      <x:c r="F31" s="3" t="str">
        <x:v>Salesforce AI Research</x:v>
      </x:c>
      <x:c r="G31" s="3" t="str">
        <x:v>Benchmark</x:v>
      </x:c>
      <x:c r="H31" s="3" t="str">
        <x:v>tool-enterprise</x:v>
      </x:c>
      <x:c r="I31" s="3" t="str">
        <x:v>business CRM workflow</x:v>
      </x:c>
      <x:c r="J31" s="3" t="str">
        <x:v>reasoning;coordination;execution;state-management</x:v>
      </x:c>
      <x:c r="K31" s="3" t="str"/>
      <x:c r="L31" s="3" t="str">
        <x:v>3.4;6.1</x:v>
      </x:c>
      <x:c r="M31" s="3" t="str">
        <x:v>扩展客户关系管理任务到多业务场景与多种交互，评估专业代理的工作覆盖面。</x:v>
      </x:c>
      <x:c r="N31" s="7" t="str">
        <x:v>https://github.com/SalesforceAIResearch/CRMArena</x:v>
      </x:c>
      <x:c r="O31" s="7" t="str">
        <x:v>https://huggingface.co/datasets/Salesforce/CRMArenaPro</x:v>
      </x:c>
      <x:c r="P31" s="3" t="str">
        <x:v>verified</x:v>
      </x:c>
      <x:c r="Q31" s="7" t="str">
        <x:v>https://arxiv.org/pdf/2505.18878</x:v>
      </x:c>
      <x:c r="R31" s="7" t="str">
        <x:v>https://arxiv.org/abs/2505.18878</x:v>
      </x:c>
      <x:c r="S31" s="3" t="str">
        <x:v>30</x:v>
      </x:c>
      <x:c r="T31" s="3" t="str">
        <x:v>survey bibliography</x:v>
      </x:c>
      <x:c r="U31" s="5" t="d">
        <x:v>2026-10-16T00:00:00.000Z</x:v>
      </x:c>
      <x:c r="V31" s="6" t="str">
        <x:v>未分配</x:v>
      </x:c>
      <x:c r="W31" s="6" t="str"/>
      <x:c r="X31" s="6" t="str"/>
      <x:c r="Y31" s="6" t="str"/>
      <x:c r="Z31" s="3" t="str"/>
    </x:row>
    <x:row r="32" ht="55" customHeight="1">
      <x:c r="A32" s="3" t="str">
        <x:v>WA-0031</x:v>
      </x:c>
      <x:c r="B32" s="3" t="str">
        <x:v>MedAgentBench: A Realistic Virtual EHR Environment to Benchmark Medical LLM Agents</x:v>
      </x:c>
      <x:c r="C32" s="3" t="str">
        <x:v>MedAgentBench</x:v>
      </x:c>
      <x:c r="D32" s="4" t="n">
        <x:v>2025</x:v>
      </x:c>
      <x:c r="E32" s="7" t="str">
        <x:v>https://arxiv.org/abs/2501.14654</x:v>
      </x:c>
      <x:c r="F32" s="3" t="str">
        <x:v>Stanford University</x:v>
      </x:c>
      <x:c r="G32" s="3" t="str">
        <x:v>Benchmark</x:v>
      </x:c>
      <x:c r="H32" s="3" t="str">
        <x:v>tool-enterprise</x:v>
      </x:c>
      <x:c r="I32" s="3" t="str">
        <x:v>electronic health record workflow</x:v>
      </x:c>
      <x:c r="J32" s="3" t="str">
        <x:v>reasoning;execution;state-management</x:v>
      </x:c>
      <x:c r="K32" s="3" t="str"/>
      <x:c r="L32" s="3" t="str">
        <x:v>3.4;6.1</x:v>
      </x:c>
      <x:c r="M32" s="3" t="str">
        <x:v>在虚拟电子健康记录环境中评估代理查询患者信息和执行临床系统操作的能力。</x:v>
      </x:c>
      <x:c r="N32" s="7" t="str">
        <x:v>https://github.com/stanfordmlgroup/MedAgentBench</x:v>
      </x:c>
      <x:c r="O32" s="3" t="str"/>
      <x:c r="P32" s="3" t="str">
        <x:v>verified</x:v>
      </x:c>
      <x:c r="Q32" s="7" t="str">
        <x:v>https://arxiv.org/pdf/2501.14654</x:v>
      </x:c>
      <x:c r="R32" s="7" t="str">
        <x:v>https://arxiv.org/abs/2501.14654</x:v>
      </x:c>
      <x:c r="S32" s="3" t="str">
        <x:v>31</x:v>
      </x:c>
      <x:c r="T32" s="3" t="str">
        <x:v>survey bibliography</x:v>
      </x:c>
      <x:c r="U32" s="5" t="d">
        <x:v>2026-10-16T00:00:00.000Z</x:v>
      </x:c>
      <x:c r="V32" s="6" t="str">
        <x:v>未分配</x:v>
      </x:c>
      <x:c r="W32" s="6" t="str"/>
      <x:c r="X32" s="6" t="str"/>
      <x:c r="Y32" s="6" t="str"/>
      <x:c r="Z32" s="3" t="str"/>
    </x:row>
    <x:row r="33" ht="55" customHeight="1">
      <x:c r="A33" s="3" t="str">
        <x:v>WA-0032</x:v>
      </x:c>
      <x:c r="B33" s="3" t="str">
        <x:v>CRMArena: Understanding the Capacity of LLM Agents to Perform Professional CRM Tasks in Realistic Environments</x:v>
      </x:c>
      <x:c r="C33" s="3" t="str">
        <x:v>CRMArena</x:v>
      </x:c>
      <x:c r="D33" s="4" t="n">
        <x:v>2024</x:v>
      </x:c>
      <x:c r="E33" s="7" t="str">
        <x:v>https://arxiv.org/abs/2411.02305</x:v>
      </x:c>
      <x:c r="F33" s="3" t="str">
        <x:v>Salesforce AI Research</x:v>
      </x:c>
      <x:c r="G33" s="3" t="str">
        <x:v>Benchmark</x:v>
      </x:c>
      <x:c r="H33" s="3" t="str">
        <x:v>tool-enterprise</x:v>
      </x:c>
      <x:c r="I33" s="3" t="str">
        <x:v>professional CRM operations</x:v>
      </x:c>
      <x:c r="J33" s="3" t="str">
        <x:v>reasoning;execution;state-management</x:v>
      </x:c>
      <x:c r="K33" s="3" t="str"/>
      <x:c r="L33" s="3" t="str">
        <x:v>3.4;6.1</x:v>
      </x:c>
      <x:c r="M33" s="3" t="str">
        <x:v>以真实感 CRM 对象、数据和专业角色任务评估业务系统操作代理。</x:v>
      </x:c>
      <x:c r="N33" s="7" t="str">
        <x:v>https://github.com/SalesforceAIResearch/CRMArena</x:v>
      </x:c>
      <x:c r="O33" s="3" t="str"/>
      <x:c r="P33" s="3" t="str">
        <x:v>verified</x:v>
      </x:c>
      <x:c r="Q33" s="7" t="str">
        <x:v>https://arxiv.org/pdf/2411.02305</x:v>
      </x:c>
      <x:c r="R33" s="7" t="str">
        <x:v>https://arxiv.org/abs/2411.02305</x:v>
      </x:c>
      <x:c r="S33" s="3" t="str">
        <x:v>32</x:v>
      </x:c>
      <x:c r="T33" s="3" t="str">
        <x:v>survey bibliography</x:v>
      </x:c>
      <x:c r="U33" s="5" t="d">
        <x:v>2026-10-16T00:00:00.000Z</x:v>
      </x:c>
      <x:c r="V33" s="6" t="str">
        <x:v>未分配</x:v>
      </x:c>
      <x:c r="W33" s="6" t="str"/>
      <x:c r="X33" s="6" t="str"/>
      <x:c r="Y33" s="6" t="str"/>
      <x:c r="Z33" s="3" t="str"/>
    </x:row>
    <x:row r="34" ht="55" customHeight="1">
      <x:c r="A34" s="3" t="str">
        <x:v>WA-0033</x:v>
      </x:c>
      <x:c r="B34" s="3" t="str">
        <x:v>SheetAgent: Towards A Generalist Agent for Spreadsheet Reasoning and Manipulation via Large Language Models</x:v>
      </x:c>
      <x:c r="C34" s="3" t="str">
        <x:v>SheetAgent</x:v>
      </x:c>
      <x:c r="D34" s="4" t="n">
        <x:v>2024</x:v>
      </x:c>
      <x:c r="E34" s="7" t="str">
        <x:v>https://arxiv.org/abs/2403.03636</x:v>
      </x:c>
      <x:c r="F34" s="3" t="str">
        <x:v>Tianjin University</x:v>
      </x:c>
      <x:c r="G34" s="3" t="str">
        <x:v>Method</x:v>
      </x:c>
      <x:c r="H34" s="3" t="str">
        <x:v>artifact</x:v>
      </x:c>
      <x:c r="I34" s="3" t="str">
        <x:v>spreadsheet reasoning and manipulation</x:v>
      </x:c>
      <x:c r="J34" s="3" t="str">
        <x:v>reasoning;planning;execution;recovery</x:v>
      </x:c>
      <x:c r="K34" s="3" t="str"/>
      <x:c r="L34" s="3" t="str">
        <x:v>4.2;4.4;5.3</x:v>
      </x:c>
      <x:c r="M34" s="3" t="str">
        <x:v>将规划、查询与执行模块结合，完成复杂电子表格推理和操作并迭代纠错。</x:v>
      </x:c>
      <x:c r="N34" s="3" t="str"/>
      <x:c r="O34" s="3" t="str"/>
      <x:c r="P34" s="3" t="str">
        <x:v>verified</x:v>
      </x:c>
      <x:c r="Q34" s="7" t="str">
        <x:v>https://arxiv.org/pdf/2403.03636</x:v>
      </x:c>
      <x:c r="R34" s="7" t="str">
        <x:v>https://arxiv.org/abs/2403.03636</x:v>
      </x:c>
      <x:c r="S34" s="3" t="str">
        <x:v>33</x:v>
      </x:c>
      <x:c r="T34" s="3" t="str">
        <x:v>survey bibliography</x:v>
      </x:c>
      <x:c r="U34" s="5" t="d">
        <x:v>2026-10-16T00:00:00.000Z</x:v>
      </x:c>
      <x:c r="V34" s="6" t="str">
        <x:v>未分配</x:v>
      </x:c>
      <x:c r="W34" s="6" t="str"/>
      <x:c r="X34" s="6" t="str"/>
      <x:c r="Y34" s="6" t="str"/>
      <x:c r="Z34" s="3" t="str">
        <x:v>PDF 参考文献写作 2025；首次 arXiv 提交为 2024-03-06，年份统一为首次预印本年。另有独立研究者。</x:v>
      </x:c>
    </x:row>
    <x:row r="35" ht="55" customHeight="1">
      <x:c r="A35" s="3" t="str">
        <x:v>WA-0034</x:v>
      </x:c>
      <x:c r="B35" s="3" t="str">
        <x:v>PlanBench: An Extensible Benchmark for Evaluating Large Language Models on Planning and Reasoning about Change</x:v>
      </x:c>
      <x:c r="C35" s="3" t="str">
        <x:v>PlanBench</x:v>
      </x:c>
      <x:c r="D35" s="4" t="n">
        <x:v>2022</x:v>
      </x:c>
      <x:c r="E35" s="7" t="str">
        <x:v>https://arxiv.org/abs/2206.10498</x:v>
      </x:c>
      <x:c r="F35" s="3" t="str">
        <x:v>Arizona State University; Colorado State University</x:v>
      </x:c>
      <x:c r="G35" s="3" t="str">
        <x:v>Benchmark;Background</x:v>
      </x:c>
      <x:c r="H35" s="3" t="str">
        <x:v>related</x:v>
      </x:c>
      <x:c r="I35" s="3" t="str">
        <x:v>formal planning</x:v>
      </x:c>
      <x:c r="J35" s="3" t="str">
        <x:v>reasoning;planning</x:v>
      </x:c>
      <x:c r="K35" s="3" t="str"/>
      <x:c r="L35" s="3" t="str">
        <x:v>4.3;6.1</x:v>
      </x:c>
      <x:c r="M35" s="3" t="str">
        <x:v>利用可扩展规划任务及扰动设定检验 LLM 的计划生成与状态变化推理。</x:v>
      </x:c>
      <x:c r="N35" s="7" t="str">
        <x:v>https://github.com/karthikv792/LLMs-Planning</x:v>
      </x:c>
      <x:c r="O35" s="3" t="str"/>
      <x:c r="P35" s="3" t="str">
        <x:v>verified</x:v>
      </x:c>
      <x:c r="Q35" s="7" t="str">
        <x:v>https://arxiv.org/pdf/2206.10498</x:v>
      </x:c>
      <x:c r="R35" s="7" t="str">
        <x:v>https://arxiv.org/abs/2206.10498</x:v>
      </x:c>
      <x:c r="S35" s="3" t="str">
        <x:v>34</x:v>
      </x:c>
      <x:c r="T35" s="3" t="str">
        <x:v>survey bibliography</x:v>
      </x:c>
      <x:c r="U35" s="5" t="d">
        <x:v>2026-10-16T00:00:00.000Z</x:v>
      </x:c>
      <x:c r="V35" s="6" t="str">
        <x:v>未分配</x:v>
      </x:c>
      <x:c r="W35" s="6" t="str"/>
      <x:c r="X35" s="6" t="str"/>
      <x:c r="Y35" s="6" t="str"/>
      <x:c r="Z35" s="3" t="str"/>
    </x:row>
    <x:row r="36" ht="55" customHeight="1">
      <x:c r="A36" s="3" t="str">
        <x:v>WA-0035</x:v>
      </x:c>
      <x:c r="B36" s="3" t="str">
        <x:v>TravelPlanner: A Benchmark for Real-World Planning with Language Agents</x:v>
      </x:c>
      <x:c r="C36" s="3" t="str">
        <x:v>TravelPlanner</x:v>
      </x:c>
      <x:c r="D36" s="4" t="n">
        <x:v>2024</x:v>
      </x:c>
      <x:c r="E36" s="7" t="str">
        <x:v>https://arxiv.org/abs/2402.01622</x:v>
      </x:c>
      <x:c r="F36" s="3" t="str">
        <x:v>Fudan University; Ohio State University; Pennsylvania State University; Meta AI</x:v>
      </x:c>
      <x:c r="G36" s="3" t="str">
        <x:v>Benchmark</x:v>
      </x:c>
      <x:c r="H36" s="3" t="str">
        <x:v>tool-enterprise</x:v>
      </x:c>
      <x:c r="I36" s="3" t="str">
        <x:v>constraint-based travel planning</x:v>
      </x:c>
      <x:c r="J36" s="3" t="str">
        <x:v>reasoning;planning;execution</x:v>
      </x:c>
      <x:c r="K36" s="3" t="str"/>
      <x:c r="L36" s="3" t="str">
        <x:v>3.4;4.3;6.1</x:v>
      </x:c>
      <x:c r="M36" s="3" t="str">
        <x:v>在工具支持的旅行环境中检查多日行程能否同时满足预算、偏好等全局约束。</x:v>
      </x:c>
      <x:c r="N36" s="7" t="str">
        <x:v>https://github.com/OSU-NLP-Group/TravelPlanner</x:v>
      </x:c>
      <x:c r="O36" s="7" t="str">
        <x:v>https://huggingface.co/datasets/osunlp/TravelPlanner</x:v>
      </x:c>
      <x:c r="P36" s="3" t="str">
        <x:v>verified</x:v>
      </x:c>
      <x:c r="Q36" s="7" t="str">
        <x:v>https://arxiv.org/pdf/2402.01622</x:v>
      </x:c>
      <x:c r="R36" s="7" t="str">
        <x:v>https://arxiv.org/abs/2402.01622</x:v>
      </x:c>
      <x:c r="S36" s="3" t="str">
        <x:v>35</x:v>
      </x:c>
      <x:c r="T36" s="3" t="str">
        <x:v>survey bibliography</x:v>
      </x:c>
      <x:c r="U36" s="5" t="d">
        <x:v>2026-10-16T00:00:00.000Z</x:v>
      </x:c>
      <x:c r="V36" s="6" t="str">
        <x:v>未分配</x:v>
      </x:c>
      <x:c r="W36" s="6" t="str"/>
      <x:c r="X36" s="6" t="str"/>
      <x:c r="Y36" s="6" t="str"/>
      <x:c r="Z36" s="3" t="str"/>
    </x:row>
    <x:row r="37" ht="55" customHeight="1">
      <x:c r="A37" s="3" t="str">
        <x:v>WA-0036</x:v>
      </x:c>
      <x:c r="B37" s="3" t="str">
        <x:v>AutoGen: Enabling Next-Gen LLM Applications via Multi-Agent Conversation</x:v>
      </x:c>
      <x:c r="C37" s="3" t="str">
        <x:v>AutoGen</x:v>
      </x:c>
      <x:c r="D37" s="4" t="n">
        <x:v>2023</x:v>
      </x:c>
      <x:c r="E37" s="7" t="str">
        <x:v>https://arxiv.org/abs/2308.08155</x:v>
      </x:c>
      <x:c r="F37" s="3" t="str">
        <x:v>Microsoft Research; Pennsylvania State University; University of Washington; Xidian University</x:v>
      </x:c>
      <x:c r="G37" s="3" t="str">
        <x:v>Framework</x:v>
      </x:c>
      <x:c r="H37" s="3" t="str">
        <x:v>harness</x:v>
      </x:c>
      <x:c r="I37" s="3" t="str">
        <x:v>multi-agent conversation</x:v>
      </x:c>
      <x:c r="J37" s="3" t="str">
        <x:v>coordination;execution;recovery</x:v>
      </x:c>
      <x:c r="K37" s="3" t="str"/>
      <x:c r="L37" s="3" t="str">
        <x:v>4.3;5.3;6.4</x:v>
      </x:c>
      <x:c r="M37" s="3" t="str">
        <x:v>通过可配置的多代理对话组织模型、工具与人类协作，支持多种任务执行模式。</x:v>
      </x:c>
      <x:c r="N37" s="7" t="str">
        <x:v>https://github.com/microsoft/autogen</x:v>
      </x:c>
      <x:c r="O37" s="3" t="str"/>
      <x:c r="P37" s="3" t="str">
        <x:v>verified</x:v>
      </x:c>
      <x:c r="Q37" s="7" t="str">
        <x:v>https://arxiv.org/pdf/2308.08155</x:v>
      </x:c>
      <x:c r="R37" s="7" t="str">
        <x:v>https://arxiv.org/abs/2308.08155</x:v>
      </x:c>
      <x:c r="S37" s="3" t="str">
        <x:v>36</x:v>
      </x:c>
      <x:c r="T37" s="3" t="str">
        <x:v>survey bibliography</x:v>
      </x:c>
      <x:c r="U37" s="5" t="d">
        <x:v>2026-10-16T00:00:00.000Z</x:v>
      </x:c>
      <x:c r="V37" s="6" t="str">
        <x:v>未分配</x:v>
      </x:c>
      <x:c r="W37" s="6" t="str"/>
      <x:c r="X37" s="6" t="str"/>
      <x:c r="Y37" s="6" t="str"/>
      <x:c r="Z37" s="3" t="str"/>
    </x:row>
    <x:row r="38" ht="85" customHeight="1">
      <x:c r="A38" s="3" t="str">
        <x:v>WA-0037</x:v>
      </x:c>
      <x:c r="B38" s="3" t="str">
        <x:v>MetaGPT: Meta Programming for A Multi-Agent Collaborative Framework</x:v>
      </x:c>
      <x:c r="C38" s="3" t="str">
        <x:v>MetaGPT</x:v>
      </x:c>
      <x:c r="D38" s="4" t="n">
        <x:v>2023</x:v>
      </x:c>
      <x:c r="E38" s="7" t="str">
        <x:v>https://arxiv.org/abs/2308.00352</x:v>
      </x:c>
      <x:c r="F38" s="3" t="str">
        <x:v>DeepWisdom; King Abdullah University of Science and Technology; Xiamen University; Chinese University of Hong Kong, Shenzhen; Nanjing University; University of Pennsylvania; University of California, Berkeley; IDSIA/USI/SUPSI</x:v>
      </x:c>
      <x:c r="G38" s="3" t="str">
        <x:v>Framework;Method</x:v>
      </x:c>
      <x:c r="H38" s="3" t="str">
        <x:v>swe-science</x:v>
      </x:c>
      <x:c r="I38" s="3" t="str">
        <x:v>role-based multi-agent workflow</x:v>
      </x:c>
      <x:c r="J38" s="3" t="str">
        <x:v>planning;coordination;execution</x:v>
      </x:c>
      <x:c r="K38" s="3" t="str"/>
      <x:c r="L38" s="3" t="str">
        <x:v>4.3;5.3;6.4</x:v>
      </x:c>
      <x:c r="M38" s="3" t="str">
        <x:v>将标准作业流程与分工角色编码进多代理协作过程，以结构化中间产物减少沟通混乱。</x:v>
      </x:c>
      <x:c r="N38" s="7" t="str">
        <x:v>https://github.com/geekan/MetaGPT</x:v>
      </x:c>
      <x:c r="O38" s="3" t="str"/>
      <x:c r="P38" s="3" t="str">
        <x:v>verified</x:v>
      </x:c>
      <x:c r="Q38" s="7" t="str">
        <x:v>https://arxiv.org/pdf/2308.00352</x:v>
      </x:c>
      <x:c r="R38" s="7" t="str">
        <x:v>https://arxiv.org/abs/2308.00352</x:v>
      </x:c>
      <x:c r="S38" s="3" t="str">
        <x:v>37</x:v>
      </x:c>
      <x:c r="T38" s="3" t="str">
        <x:v>survey bibliography</x:v>
      </x:c>
      <x:c r="U38" s="5" t="d">
        <x:v>2026-10-16T00:00:00.000Z</x:v>
      </x:c>
      <x:c r="V38" s="6" t="str">
        <x:v>未分配</x:v>
      </x:c>
      <x:c r="W38" s="6" t="str"/>
      <x:c r="X38" s="6" t="str"/>
      <x:c r="Y38" s="6" t="str"/>
      <x:c r="Z38" s="3" t="str"/>
    </x:row>
    <x:row r="39" ht="55" customHeight="1">
      <x:c r="A39" s="3" t="str">
        <x:v>WA-0038</x:v>
      </x:c>
      <x:c r="B39" s="3" t="str">
        <x:v>AgentDojo: A Dynamic Environment to Evaluate Prompt Injection Attacks and Defenses for LLM Agents</x:v>
      </x:c>
      <x:c r="C39" s="3" t="str">
        <x:v>AgentDojo</x:v>
      </x:c>
      <x:c r="D39" s="4" t="n">
        <x:v>2024</x:v>
      </x:c>
      <x:c r="E39" s="7" t="str">
        <x:v>https://arxiv.org/abs/2406.13352</x:v>
      </x:c>
      <x:c r="F39" s="3" t="str">
        <x:v>ETH Zurich; Invariant Labs</x:v>
      </x:c>
      <x:c r="G39" s="3" t="str">
        <x:v>Benchmark</x:v>
      </x:c>
      <x:c r="H39" s="3" t="str">
        <x:v>safety</x:v>
      </x:c>
      <x:c r="I39" s="3" t="str">
        <x:v>prompt injection evaluation</x:v>
      </x:c>
      <x:c r="J39" s="3" t="str">
        <x:v>execution;state-management;verification</x:v>
      </x:c>
      <x:c r="K39" s="3" t="str"/>
      <x:c r="L39" s="3" t="str">
        <x:v>4.4;6.1;7.1</x:v>
      </x:c>
      <x:c r="M39" s="3" t="str">
        <x:v>在动态工具环境中联合评估合法任务完成及间接提示注入攻击与防御。</x:v>
      </x:c>
      <x:c r="N39" s="7" t="str">
        <x:v>https://github.com/ethz-spylab/agentdojo</x:v>
      </x:c>
      <x:c r="O39" s="3" t="str"/>
      <x:c r="P39" s="3" t="str">
        <x:v>verified</x:v>
      </x:c>
      <x:c r="Q39" s="7" t="str">
        <x:v>https://arxiv.org/pdf/2406.13352</x:v>
      </x:c>
      <x:c r="R39" s="7" t="str">
        <x:v>https://arxiv.org/abs/2406.13352</x:v>
      </x:c>
      <x:c r="S39" s="3" t="str">
        <x:v>38</x:v>
      </x:c>
      <x:c r="T39" s="3" t="str">
        <x:v>survey bibliography</x:v>
      </x:c>
      <x:c r="U39" s="5" t="d">
        <x:v>2026-10-16T00:00:00.000Z</x:v>
      </x:c>
      <x:c r="V39" s="6" t="str">
        <x:v>未分配</x:v>
      </x:c>
      <x:c r="W39" s="6" t="str"/>
      <x:c r="X39" s="6" t="str"/>
      <x:c r="Y39" s="6" t="str"/>
      <x:c r="Z39" s="3" t="str"/>
    </x:row>
    <x:row r="40" ht="55" customHeight="1">
      <x:c r="A40" s="3" t="str">
        <x:v>WA-0039</x:v>
      </x:c>
      <x:c r="B40" s="3" t="str">
        <x:v>DeepPresenter: Environment-Grounded Reflection for Agentic Presentation Generation</x:v>
      </x:c>
      <x:c r="C40" s="3" t="str">
        <x:v>DeepPresenter</x:v>
      </x:c>
      <x:c r="D40" s="4" t="n">
        <x:v>2026</x:v>
      </x:c>
      <x:c r="E40" s="7" t="str">
        <x:v>https://arxiv.org/abs/2602.22839</x:v>
      </x:c>
      <x:c r="F40" s="3" t="str">
        <x:v>Institute of Software, Chinese Academy of Sciences; University of Chinese Academy of Sciences</x:v>
      </x:c>
      <x:c r="G40" s="3" t="str">
        <x:v>Method</x:v>
      </x:c>
      <x:c r="H40" s="3" t="str">
        <x:v>artifact</x:v>
      </x:c>
      <x:c r="I40" s="3" t="str">
        <x:v>environment-grounded slide reflection</x:v>
      </x:c>
      <x:c r="J40" s="3" t="str">
        <x:v>planning;execution;verification;recovery</x:v>
      </x:c>
      <x:c r="K40" s="3" t="str"/>
      <x:c r="L40" s="3" t="str">
        <x:v>4.4;4.5;5.3</x:v>
      </x:c>
      <x:c r="M40" s="3" t="str">
        <x:v>通过与演示环境交互获取真实反馈，驱动幻灯片生成过程中的反思与修订。</x:v>
      </x:c>
      <x:c r="N40" s="7" t="str">
        <x:v>https://github.com/icip-cas/PPTAgent</x:v>
      </x:c>
      <x:c r="O40" s="3" t="str"/>
      <x:c r="P40" s="3" t="str">
        <x:v>verified</x:v>
      </x:c>
      <x:c r="Q40" s="7" t="str">
        <x:v>https://arxiv.org/pdf/2602.22839</x:v>
      </x:c>
      <x:c r="R40" s="7" t="str">
        <x:v>https://arxiv.org/abs/2602.22839</x:v>
      </x:c>
      <x:c r="S40" s="3" t="str">
        <x:v>39</x:v>
      </x:c>
      <x:c r="T40" s="3" t="str">
        <x:v>survey bibliography</x:v>
      </x:c>
      <x:c r="U40" s="5" t="d">
        <x:v>2026-10-16T00:00:00.000Z</x:v>
      </x:c>
      <x:c r="V40" s="6" t="str">
        <x:v>未分配</x:v>
      </x:c>
      <x:c r="W40" s="6" t="str"/>
      <x:c r="X40" s="6" t="str"/>
      <x:c r="Y40" s="6" t="str"/>
      <x:c r="Z40" s="3" t="str"/>
    </x:row>
    <x:row r="41" ht="55" customHeight="1">
      <x:c r="A41" s="3" t="str">
        <x:v>WA-0040</x:v>
      </x:c>
      <x:c r="B41" s="3" t="str">
        <x:v>SQuAD: 100,000+ Questions for Machine Comprehension of Text</x:v>
      </x:c>
      <x:c r="C41" s="3" t="str">
        <x:v>SQuAD</x:v>
      </x:c>
      <x:c r="D41" s="4" t="n">
        <x:v>2016</x:v>
      </x:c>
      <x:c r="E41" s="7" t="str">
        <x:v>https://arxiv.org/abs/1606.05250</x:v>
      </x:c>
      <x:c r="F41" s="3" t="str">
        <x:v>Stanford University</x:v>
      </x:c>
      <x:c r="G41" s="3" t="str">
        <x:v>Benchmark;Background</x:v>
      </x:c>
      <x:c r="H41" s="3" t="str">
        <x:v>related</x:v>
      </x:c>
      <x:c r="I41" s="3" t="str">
        <x:v>reading comprehension</x:v>
      </x:c>
      <x:c r="J41" s="3" t="str">
        <x:v>perception;reasoning</x:v>
      </x:c>
      <x:c r="K41" s="3" t="str"/>
      <x:c r="L41" s="3" t="str">
        <x:v>3.1</x:v>
      </x:c>
      <x:c r="M41" s="3" t="str">
        <x:v>通过基于段落的抽取式问答提供阅读理解基础评测。</x:v>
      </x:c>
      <x:c r="N41" s="3" t="str"/>
      <x:c r="O41" s="3" t="str"/>
      <x:c r="P41" s="3" t="str">
        <x:v>verified</x:v>
      </x:c>
      <x:c r="Q41" s="7" t="str">
        <x:v>https://arxiv.org/pdf/1606.05250</x:v>
      </x:c>
      <x:c r="R41" s="7" t="str">
        <x:v>https://arxiv.org/abs/1606.05250</x:v>
      </x:c>
      <x:c r="S41" s="3" t="str">
        <x:v>40</x:v>
      </x:c>
      <x:c r="T41" s="3" t="str">
        <x:v>survey bibliography</x:v>
      </x:c>
      <x:c r="U41" s="5" t="d">
        <x:v>2026-10-16T00:00:00.000Z</x:v>
      </x:c>
      <x:c r="V41" s="6" t="str">
        <x:v>未分配</x:v>
      </x:c>
      <x:c r="W41" s="6" t="str"/>
      <x:c r="X41" s="6" t="str"/>
      <x:c r="Y41" s="6" t="str"/>
      <x:c r="Z41" s="3" t="str"/>
    </x:row>
    <x:row r="42" ht="55" customHeight="1">
      <x:c r="A42" s="3" t="str">
        <x:v>WA-0041</x:v>
      </x:c>
      <x:c r="B42" s="3" t="str">
        <x:v>HotpotQA: A Dataset for Diverse, Explainable Multi-hop Question Answering</x:v>
      </x:c>
      <x:c r="C42" s="3" t="str">
        <x:v>HotpotQA</x:v>
      </x:c>
      <x:c r="D42" s="4" t="n">
        <x:v>2018</x:v>
      </x:c>
      <x:c r="E42" s="7" t="str">
        <x:v>https://arxiv.org/abs/1809.09600</x:v>
      </x:c>
      <x:c r="F42" s="3" t="str">
        <x:v>Carnegie Mellon University; Stanford University; Mila, Université de Montréal; Google AI</x:v>
      </x:c>
      <x:c r="G42" s="3" t="str">
        <x:v>Benchmark;Background</x:v>
      </x:c>
      <x:c r="H42" s="3" t="str">
        <x:v>related</x:v>
      </x:c>
      <x:c r="I42" s="3" t="str">
        <x:v>multi-hop question answering</x:v>
      </x:c>
      <x:c r="J42" s="3" t="str">
        <x:v>reasoning</x:v>
      </x:c>
      <x:c r="K42" s="3" t="str"/>
      <x:c r="L42" s="3" t="str">
        <x:v>3.1;4.2</x:v>
      </x:c>
      <x:c r="M42" s="3" t="str">
        <x:v>构建需要跨文档多跳推理并标注支持事实的问答数据集。</x:v>
      </x:c>
      <x:c r="N42" s="7" t="str">
        <x:v>https://github.com/hotpotqa/hotpot</x:v>
      </x:c>
      <x:c r="O42" s="3" t="str"/>
      <x:c r="P42" s="3" t="str">
        <x:v>verified</x:v>
      </x:c>
      <x:c r="Q42" s="7" t="str">
        <x:v>https://arxiv.org/pdf/1809.09600</x:v>
      </x:c>
      <x:c r="R42" s="7" t="str">
        <x:v>https://arxiv.org/abs/1809.09600</x:v>
      </x:c>
      <x:c r="S42" s="3" t="str">
        <x:v>41</x:v>
      </x:c>
      <x:c r="T42" s="3" t="str">
        <x:v>survey bibliography</x:v>
      </x:c>
      <x:c r="U42" s="5" t="d">
        <x:v>2026-10-16T00:00:00.000Z</x:v>
      </x:c>
      <x:c r="V42" s="6" t="str">
        <x:v>未分配</x:v>
      </x:c>
      <x:c r="W42" s="6" t="str"/>
      <x:c r="X42" s="6" t="str"/>
      <x:c r="Y42" s="6" t="str"/>
      <x:c r="Z42" s="3" t="str"/>
    </x:row>
    <x:row r="43" ht="55" customHeight="1">
      <x:c r="A43" s="3" t="str">
        <x:v>WA-0042</x:v>
      </x:c>
      <x:c r="B43" s="3" t="str">
        <x:v>ChartQA: A Benchmark for Question Answering about Charts with Visual and Logical Reasoning</x:v>
      </x:c>
      <x:c r="C43" s="3" t="str">
        <x:v>ChartQA</x:v>
      </x:c>
      <x:c r="D43" s="4" t="n">
        <x:v>2022</x:v>
      </x:c>
      <x:c r="E43" s="7" t="str">
        <x:v>https://arxiv.org/abs/2203.10244</x:v>
      </x:c>
      <x:c r="F43" s="3" t="str">
        <x:v>York University; Nanyang Technological University; Salesforce Research</x:v>
      </x:c>
      <x:c r="G43" s="3" t="str">
        <x:v>Benchmark</x:v>
      </x:c>
      <x:c r="H43" s="3" t="str">
        <x:v>related</x:v>
      </x:c>
      <x:c r="I43" s="3" t="str">
        <x:v>chart question answering</x:v>
      </x:c>
      <x:c r="J43" s="3" t="str">
        <x:v>perception;reasoning</x:v>
      </x:c>
      <x:c r="K43" s="3" t="str"/>
      <x:c r="L43" s="3" t="str">
        <x:v>3.1;4.1</x:v>
      </x:c>
      <x:c r="M43" s="3" t="str">
        <x:v>结合图表视觉信息与逻辑运算，评估图表问答中的视觉和数值推理。</x:v>
      </x:c>
      <x:c r="N43" s="7" t="str">
        <x:v>https://github.com/vis-nlp/ChartQA</x:v>
      </x:c>
      <x:c r="O43" s="3" t="str"/>
      <x:c r="P43" s="3" t="str">
        <x:v>verified</x:v>
      </x:c>
      <x:c r="Q43" s="7" t="str">
        <x:v>https://arxiv.org/pdf/2203.10244</x:v>
      </x:c>
      <x:c r="R43" s="7" t="str">
        <x:v>https://arxiv.org/abs/2203.10244</x:v>
      </x:c>
      <x:c r="S43" s="3" t="str">
        <x:v>42</x:v>
      </x:c>
      <x:c r="T43" s="3" t="str">
        <x:v>survey bibliography</x:v>
      </x:c>
      <x:c r="U43" s="5" t="d">
        <x:v>2026-10-16T00:00:00.000Z</x:v>
      </x:c>
      <x:c r="V43" s="6" t="str">
        <x:v>未分配</x:v>
      </x:c>
      <x:c r="W43" s="6" t="str"/>
      <x:c r="X43" s="6" t="str"/>
      <x:c r="Y43" s="6" t="str"/>
      <x:c r="Z43" s="3" t="str"/>
    </x:row>
    <x:row r="44" ht="130" customHeight="1">
      <x:c r="A44" s="3" t="str">
        <x:v>WA-0043</x:v>
      </x:c>
      <x:c r="B44" s="3" t="str">
        <x:v>LegalBench: A Collaboratively Built Benchmark for Measuring Legal Reasoning in Large Language Models</x:v>
      </x:c>
      <x:c r="C44" s="3" t="str">
        <x:v>LegalBench</x:v>
      </x:c>
      <x:c r="D44" s="4" t="n">
        <x:v>2023</x:v>
      </x:c>
      <x:c r="E44" s="7" t="str">
        <x:v>https://arxiv.org/abs/2308.11462</x:v>
      </x:c>
      <x:c r="F44" s="3" t="str">
        <x:v>Stanford University; University of Chicago; Maxime Tools; Dartmouth College; LawBeta; South Texas College of Law Houston; University of Toronto; St. Thomas University; Harvard Law School; Stanford CodeX; University of Southern California; Georgetown University Law Center; University of Virginia; Télécom Paris; York University; Harvard Kennedy School; Golden Gate University; Indiana University Bloomington; Casetext</x:v>
      </x:c>
      <x:c r="G44" s="3" t="str">
        <x:v>Benchmark</x:v>
      </x:c>
      <x:c r="H44" s="3" t="str">
        <x:v>related</x:v>
      </x:c>
      <x:c r="I44" s="3" t="str">
        <x:v>legal reasoning</x:v>
      </x:c>
      <x:c r="J44" s="3" t="str">
        <x:v>reasoning</x:v>
      </x:c>
      <x:c r="K44" s="3" t="str"/>
      <x:c r="L44" s="3" t="str">
        <x:v>3.1;6.1</x:v>
      </x:c>
      <x:c r="M44" s="3" t="str">
        <x:v>汇集多类法律推理任务，覆盖法律规则识别、解释及应用等能力。</x:v>
      </x:c>
      <x:c r="N44" s="3" t="str"/>
      <x:c r="O44" s="3" t="str"/>
      <x:c r="P44" s="3" t="str">
        <x:v>verified</x:v>
      </x:c>
      <x:c r="Q44" s="7" t="str">
        <x:v>https://arxiv.org/pdf/2308.11462</x:v>
      </x:c>
      <x:c r="R44" s="7" t="str">
        <x:v>https://arxiv.org/abs/2308.11462</x:v>
      </x:c>
      <x:c r="S44" s="3" t="str">
        <x:v>43</x:v>
      </x:c>
      <x:c r="T44" s="3" t="str">
        <x:v>survey bibliography</x:v>
      </x:c>
      <x:c r="U44" s="5" t="d">
        <x:v>2026-10-16T00:00:00.000Z</x:v>
      </x:c>
      <x:c r="V44" s="6" t="str">
        <x:v>未分配</x:v>
      </x:c>
      <x:c r="W44" s="6" t="str"/>
      <x:c r="X44" s="6" t="str"/>
      <x:c r="Y44" s="6" t="str"/>
      <x:c r="Z44" s="3" t="str">
        <x:v>单位按论文首页列示；合并了同一大学的院系与中心。</x:v>
      </x:c>
    </x:row>
    <x:row r="45" ht="55" customHeight="1">
      <x:c r="A45" s="3" t="str">
        <x:v>WA-0044</x:v>
      </x:c>
      <x:c r="B45" s="3" t="str">
        <x:v>PubMedQA: A Dataset for Biomedical Research Question Answering</x:v>
      </x:c>
      <x:c r="C45" s="3" t="str">
        <x:v>PubMedQA</x:v>
      </x:c>
      <x:c r="D45" s="4" t="n">
        <x:v>2019</x:v>
      </x:c>
      <x:c r="E45" s="7" t="str">
        <x:v>https://arxiv.org/abs/1909.06146</x:v>
      </x:c>
      <x:c r="F45" s="3" t="str">
        <x:v>University of Pittsburgh; Carnegie Mellon University; Google AI</x:v>
      </x:c>
      <x:c r="G45" s="3" t="str">
        <x:v>Benchmark;Background</x:v>
      </x:c>
      <x:c r="H45" s="3" t="str">
        <x:v>related</x:v>
      </x:c>
      <x:c r="I45" s="3" t="str">
        <x:v>biomedical research question answering</x:v>
      </x:c>
      <x:c r="J45" s="3" t="str">
        <x:v>reasoning</x:v>
      </x:c>
      <x:c r="K45" s="3" t="str"/>
      <x:c r="L45" s="3" t="str">
        <x:v>3.1</x:v>
      </x:c>
      <x:c r="M45" s="3" t="str">
        <x:v>以 PubMed 摘要构建生物医学研究问答，检验基于研究内容作出结论的能力。</x:v>
      </x:c>
      <x:c r="N45" s="7" t="str">
        <x:v>https://github.com/pubmedqa/pubmedqa</x:v>
      </x:c>
      <x:c r="O45" s="3" t="str"/>
      <x:c r="P45" s="3" t="str">
        <x:v>verified</x:v>
      </x:c>
      <x:c r="Q45" s="7" t="str">
        <x:v>https://arxiv.org/pdf/1909.06146</x:v>
      </x:c>
      <x:c r="R45" s="7" t="str">
        <x:v>https://arxiv.org/abs/1909.06146</x:v>
      </x:c>
      <x:c r="S45" s="3" t="str">
        <x:v>44</x:v>
      </x:c>
      <x:c r="T45" s="3" t="str">
        <x:v>survey bibliography</x:v>
      </x:c>
      <x:c r="U45" s="5" t="d">
        <x:v>2026-10-16T00:00:00.000Z</x:v>
      </x:c>
      <x:c r="V45" s="6" t="str">
        <x:v>未分配</x:v>
      </x:c>
      <x:c r="W45" s="6" t="str"/>
      <x:c r="X45" s="6" t="str"/>
      <x:c r="Y45" s="6" t="str"/>
      <x:c r="Z45" s="3" t="str"/>
    </x:row>
    <x:row r="46" ht="55" customHeight="1">
      <x:c r="A46" s="3" t="str">
        <x:v>WA-0045</x:v>
      </x:c>
      <x:c r="B46" s="3" t="str">
        <x:v>Learn to Explain: Multimodal Reasoning via Thought Chains for Science Question Answering</x:v>
      </x:c>
      <x:c r="C46" s="3" t="str">
        <x:v>ScienceQA</x:v>
      </x:c>
      <x:c r="D46" s="4" t="n">
        <x:v>2022</x:v>
      </x:c>
      <x:c r="E46" s="7" t="str">
        <x:v>https://arxiv.org/abs/2209.09513</x:v>
      </x:c>
      <x:c r="F46" s="3" t="str">
        <x:v>University of California, Los Angeles; Arizona State University; Allen Institute for AI</x:v>
      </x:c>
      <x:c r="G46" s="3" t="str">
        <x:v>Benchmark;Background</x:v>
      </x:c>
      <x:c r="H46" s="3" t="str">
        <x:v>related</x:v>
      </x:c>
      <x:c r="I46" s="3" t="str">
        <x:v>multimodal science reasoning</x:v>
      </x:c>
      <x:c r="J46" s="3" t="str">
        <x:v>perception;reasoning</x:v>
      </x:c>
      <x:c r="K46" s="3" t="str"/>
      <x:c r="L46" s="3" t="str">
        <x:v>3.1;4.2</x:v>
      </x:c>
      <x:c r="M46" s="3" t="str">
        <x:v>为科学问答提供多模态上下文及解释，用思维链研究可解释的科学推理。</x:v>
      </x:c>
      <x:c r="N46" s="7" t="str">
        <x:v>https://github.com/lupantech/ScienceQA</x:v>
      </x:c>
      <x:c r="O46" s="7" t="str">
        <x:v>https://huggingface.co/datasets/derek-thomas/ScienceQA</x:v>
      </x:c>
      <x:c r="P46" s="3" t="str">
        <x:v>verified</x:v>
      </x:c>
      <x:c r="Q46" s="7" t="str">
        <x:v>https://arxiv.org/pdf/2209.09513</x:v>
      </x:c>
      <x:c r="R46" s="7" t="str">
        <x:v>https://arxiv.org/abs/2209.09513</x:v>
      </x:c>
      <x:c r="S46" s="3" t="str">
        <x:v>45</x:v>
      </x:c>
      <x:c r="T46" s="3" t="str">
        <x:v>survey bibliography</x:v>
      </x:c>
      <x:c r="U46" s="5" t="d">
        <x:v>2026-10-16T00:00:00.000Z</x:v>
      </x:c>
      <x:c r="V46" s="6" t="str">
        <x:v>未分配</x:v>
      </x:c>
      <x:c r="W46" s="6" t="str"/>
      <x:c r="X46" s="6" t="str"/>
      <x:c r="Y46" s="6" t="str"/>
      <x:c r="Z46" s="3" t="str"/>
    </x:row>
    <x:row r="47" ht="55" customHeight="1">
      <x:c r="A47" s="3" t="str">
        <x:v>WA-0046</x:v>
      </x:c>
      <x:c r="B47" s="3" t="str">
        <x:v>InstructExcel: A Benchmark for Natural Language Instruction in Excel</x:v>
      </x:c>
      <x:c r="C47" s="3" t="str">
        <x:v>InstructExcel</x:v>
      </x:c>
      <x:c r="D47" s="4" t="n">
        <x:v>2023</x:v>
      </x:c>
      <x:c r="E47" s="7" t="str">
        <x:v>https://aclanthology.org/2023.findings-emnlp.265/</x:v>
      </x:c>
      <x:c r="F47" s="3" t="str">
        <x:v>Microsoft; University of Massachusetts Amherst; Arizona State University</x:v>
      </x:c>
      <x:c r="G47" s="3" t="str">
        <x:v>Benchmark</x:v>
      </x:c>
      <x:c r="H47" s="3" t="str">
        <x:v>artifact</x:v>
      </x:c>
      <x:c r="I47" s="3" t="str">
        <x:v>Excel Office Scripts instruction following</x:v>
      </x:c>
      <x:c r="J47" s="3" t="str">
        <x:v>execution</x:v>
      </x:c>
      <x:c r="K47" s="3" t="str"/>
      <x:c r="L47" s="3" t="str">
        <x:v>3.2;4.4;6.1</x:v>
      </x:c>
      <x:c r="M47" s="3" t="str">
        <x:v>将自然语言电子表格任务与 Office Scripts 配对，评估 Excel 指令执行与代码生成。</x:v>
      </x:c>
      <x:c r="N47" s="7" t="str">
        <x:v>https://github.com/microsoft/InstructExcel</x:v>
      </x:c>
      <x:c r="O47" s="3" t="str"/>
      <x:c r="P47" s="3" t="str">
        <x:v>verified</x:v>
      </x:c>
      <x:c r="Q47" s="7" t="str">
        <x:v>https://aclanthology.org/2023.findings-emnlp.265.pdf</x:v>
      </x:c>
      <x:c r="R47" s="7" t="str">
        <x:v>https://aclanthology.org/2023.findings-emnlp.265/</x:v>
      </x:c>
      <x:c r="S47" s="3" t="str">
        <x:v>46</x:v>
      </x:c>
      <x:c r="T47" s="3" t="str">
        <x:v>survey bibliography</x:v>
      </x:c>
      <x:c r="U47" s="5" t="d">
        <x:v>2026-10-16T00:00:00.000Z</x:v>
      </x:c>
      <x:c r="V47" s="6" t="str">
        <x:v>未分配</x:v>
      </x:c>
      <x:c r="W47" s="6" t="str"/>
      <x:c r="X47" s="6" t="str"/>
      <x:c r="Y47" s="6" t="str"/>
      <x:c r="Z47" s="3" t="str"/>
    </x:row>
    <x:row r="48" ht="55" customHeight="1">
      <x:c r="A48" s="3" t="str">
        <x:v>WA-0047</x:v>
      </x:c>
      <x:c r="B48" s="3" t="str">
        <x:v>The Berkeley Function Calling Leaderboard (BFCL): From Tool Use to Agentic Evaluation of Large Language Models</x:v>
      </x:c>
      <x:c r="C48" s="3" t="str">
        <x:v>BFCL</x:v>
      </x:c>
      <x:c r="D48" s="4" t="n">
        <x:v>2025</x:v>
      </x:c>
      <x:c r="E48" s="7" t="str">
        <x:v>https://proceedings.mlr.press/v267/patil25a.html</x:v>
      </x:c>
      <x:c r="F48" s="3" t="str">
        <x:v>University of California, Berkeley</x:v>
      </x:c>
      <x:c r="G48" s="3" t="str">
        <x:v>Benchmark</x:v>
      </x:c>
      <x:c r="H48" s="3" t="str">
        <x:v>tool-enterprise</x:v>
      </x:c>
      <x:c r="I48" s="3" t="str">
        <x:v>function calling evaluation</x:v>
      </x:c>
      <x:c r="J48" s="3" t="str">
        <x:v>reasoning;execution;state-management</x:v>
      </x:c>
      <x:c r="K48" s="3" t="str"/>
      <x:c r="L48" s="3" t="str">
        <x:v>3.2;4.4;6.1</x:v>
      </x:c>
      <x:c r="M48" s="3" t="str">
        <x:v>用 AST 与执行评估覆盖串行、并行及多轮有状态函数调用。</x:v>
      </x:c>
      <x:c r="N48" s="7" t="str">
        <x:v>https://github.com/ShishirPatil/gorilla/tree/main/berkeley-function-call-leaderboard</x:v>
      </x:c>
      <x:c r="O48" s="3" t="str"/>
      <x:c r="P48" s="3" t="str">
        <x:v>verified</x:v>
      </x:c>
      <x:c r="Q48" s="7" t="str">
        <x:v>https://raw.githubusercontent.com/mlresearch/v267/main/assets/patil25a/patil25a.pdf</x:v>
      </x:c>
      <x:c r="R48" s="7" t="str">
        <x:v>https://proceedings.mlr.press/v267/patil25a.html</x:v>
      </x:c>
      <x:c r="S48" s="3" t="str">
        <x:v>47</x:v>
      </x:c>
      <x:c r="T48" s="3" t="str">
        <x:v>survey bibliography</x:v>
      </x:c>
      <x:c r="U48" s="5" t="d">
        <x:v>2026-10-16T00:00:00.000Z</x:v>
      </x:c>
      <x:c r="V48" s="6" t="str">
        <x:v>未分配</x:v>
      </x:c>
      <x:c r="W48" s="6" t="str"/>
      <x:c r="X48" s="6" t="str"/>
      <x:c r="Y48" s="6" t="str"/>
      <x:c r="Z48" s="3" t="str">
        <x:v>采用 ICML 2025/PMLR 正式页面；BFCL 项目早于论文公开。</x:v>
      </x:c>
    </x:row>
    <x:row r="49" ht="55" customHeight="1">
      <x:c r="A49" s="3" t="str">
        <x:v>WA-0048</x:v>
      </x:c>
      <x:c r="B49" s="3" t="str">
        <x:v>SeeClick: Harnessing GUI Grounding for Advanced Visual GUI Agents</x:v>
      </x:c>
      <x:c r="C49" s="3" t="str">
        <x:v>SeeClick</x:v>
      </x:c>
      <x:c r="D49" s="4" t="n">
        <x:v>2024</x:v>
      </x:c>
      <x:c r="E49" s="7" t="str">
        <x:v>https://aclanthology.org/2024.acl-long.505/</x:v>
      </x:c>
      <x:c r="F49" s="3" t="str">
        <x:v>Nanjing University; Shanghai AI Laboratory</x:v>
      </x:c>
      <x:c r="G49" s="3" t="str">
        <x:v>Method;Benchmark</x:v>
      </x:c>
      <x:c r="H49" s="3" t="str">
        <x:v>computer-use</x:v>
      </x:c>
      <x:c r="I49" s="3" t="str">
        <x:v>GUI grounding</x:v>
      </x:c>
      <x:c r="J49" s="3" t="str">
        <x:v>perception;execution;learning</x:v>
      </x:c>
      <x:c r="K49" s="3" t="str"/>
      <x:c r="L49" s="3" t="str">
        <x:v>4.1;5.2</x:v>
      </x:c>
      <x:c r="M49" s="3" t="str">
        <x:v>通过 GUI 元素定位训练增强视觉操作代理，并提供 ScreenSpot 定位评测。</x:v>
      </x:c>
      <x:c r="N49" s="7" t="str">
        <x:v>https://github.com/njucckevin/SeeClick</x:v>
      </x:c>
      <x:c r="O49" s="3" t="str"/>
      <x:c r="P49" s="3" t="str">
        <x:v>verified</x:v>
      </x:c>
      <x:c r="Q49" s="7" t="str">
        <x:v>https://aclanthology.org/2024.acl-long.505.pdf</x:v>
      </x:c>
      <x:c r="R49" s="7" t="str">
        <x:v>https://aclanthology.org/2024.acl-long.505/</x:v>
      </x:c>
      <x:c r="S49" s="3" t="str">
        <x:v>48</x:v>
      </x:c>
      <x:c r="T49" s="3" t="str">
        <x:v>survey bibliography</x:v>
      </x:c>
      <x:c r="U49" s="5" t="d">
        <x:v>2026-10-16T00:00:00.000Z</x:v>
      </x:c>
      <x:c r="V49" s="6" t="str">
        <x:v>未分配</x:v>
      </x:c>
      <x:c r="W49" s="6" t="str"/>
      <x:c r="X49" s="6" t="str"/>
      <x:c r="Y49" s="6" t="str"/>
      <x:c r="Z49" s="3" t="str">
        <x:v>论文也发布于 arXiv:2401.10935；此处采用 ACL 正式版本。</x:v>
      </x:c>
    </x:row>
    <x:row r="50" ht="55" customHeight="1">
      <x:c r="A50" s="3" t="str">
        <x:v>WA-0049</x:v>
      </x:c>
      <x:c r="B50" s="3" t="str">
        <x:v>ScreenSpot-Pro: GUI Grounding for Professional High-Resolution Computer Use</x:v>
      </x:c>
      <x:c r="C50" s="3" t="str">
        <x:v>ScreenSpot-Pro</x:v>
      </x:c>
      <x:c r="D50" s="4" t="n">
        <x:v>2025</x:v>
      </x:c>
      <x:c r="E50" s="7" t="str">
        <x:v>https://arxiv.org/abs/2504.07981</x:v>
      </x:c>
      <x:c r="F50" s="3" t="str">
        <x:v>National University of Singapore; East China Normal University; Hong Kong Baptist University</x:v>
      </x:c>
      <x:c r="G50" s="3" t="str">
        <x:v>Benchmark</x:v>
      </x:c>
      <x:c r="H50" s="3" t="str">
        <x:v>computer-use</x:v>
      </x:c>
      <x:c r="I50" s="3" t="str">
        <x:v>professional high-resolution GUI grounding</x:v>
      </x:c>
      <x:c r="J50" s="3" t="str">
        <x:v>perception</x:v>
      </x:c>
      <x:c r="K50" s="3" t="str"/>
      <x:c r="L50" s="3" t="str">
        <x:v>4.1;6.1</x:v>
      </x:c>
      <x:c r="M50" s="3" t="str">
        <x:v>使用高分辨率专业软件界面评估细粒度 GUI 目标定位能力。</x:v>
      </x:c>
      <x:c r="N50" s="7" t="str">
        <x:v>https://github.com/likaixin2000/ScreenSpot-Pro-GUI-Grounding</x:v>
      </x:c>
      <x:c r="O50" s="7" t="str">
        <x:v>https://huggingface.co/datasets/likaixin/ScreenSpot-Pro</x:v>
      </x:c>
      <x:c r="P50" s="3" t="str">
        <x:v>verified</x:v>
      </x:c>
      <x:c r="Q50" s="7" t="str">
        <x:v>https://arxiv.org/pdf/2504.07981</x:v>
      </x:c>
      <x:c r="R50" s="7" t="str">
        <x:v>https://arxiv.org/abs/2504.07981</x:v>
      </x:c>
      <x:c r="S50" s="3" t="str">
        <x:v>49</x:v>
      </x:c>
      <x:c r="T50" s="3" t="str">
        <x:v>survey bibliography</x:v>
      </x:c>
      <x:c r="U50" s="5" t="d">
        <x:v>2026-10-16T00:00:00.000Z</x:v>
      </x:c>
      <x:c r="V50" s="6" t="str">
        <x:v>未分配</x:v>
      </x:c>
      <x:c r="W50" s="6" t="str"/>
      <x:c r="X50" s="6" t="str"/>
      <x:c r="Y50" s="6" t="str"/>
      <x:c r="Z50" s="3" t="str"/>
    </x:row>
    <x:row r="51" ht="55" customHeight="1">
      <x:c r="A51" s="3" t="str">
        <x:v>WA-0050</x:v>
      </x:c>
      <x:c r="B51" s="3" t="str">
        <x:v>GUI-Actor: Coordinate-Free Visual Grounding for GUI Agents</x:v>
      </x:c>
      <x:c r="C51" s="3" t="str">
        <x:v>GUI-Actor</x:v>
      </x:c>
      <x:c r="D51" s="4" t="n">
        <x:v>2025</x:v>
      </x:c>
      <x:c r="E51" s="7" t="str">
        <x:v>https://arxiv.org/abs/2506.03143</x:v>
      </x:c>
      <x:c r="F51" s="3" t="str">
        <x:v>Microsoft; Nanjing University; University of Illinois Urbana-Champaign</x:v>
      </x:c>
      <x:c r="G51" s="3" t="str">
        <x:v>Method</x:v>
      </x:c>
      <x:c r="H51" s="3" t="str">
        <x:v>computer-use</x:v>
      </x:c>
      <x:c r="I51" s="3" t="str">
        <x:v>coordinate-free GUI grounding</x:v>
      </x:c>
      <x:c r="J51" s="3" t="str">
        <x:v>perception;execution;learning</x:v>
      </x:c>
      <x:c r="K51" s="3" t="str"/>
      <x:c r="L51" s="3" t="str">
        <x:v>4.1;5.2</x:v>
      </x:c>
      <x:c r="M51" s="3" t="str">
        <x:v>通过注意力式视觉定位替代坐标文本生成，改进 GUI 元素定位及操作。</x:v>
      </x:c>
      <x:c r="N51" s="7" t="str">
        <x:v>https://github.com/microsoft/GUI-Actor</x:v>
      </x:c>
      <x:c r="O51" s="3" t="str"/>
      <x:c r="P51" s="3" t="str">
        <x:v>verified</x:v>
      </x:c>
      <x:c r="Q51" s="7" t="str">
        <x:v>https://arxiv.org/pdf/2506.03143</x:v>
      </x:c>
      <x:c r="R51" s="7" t="str">
        <x:v>https://arxiv.org/abs/2506.03143</x:v>
      </x:c>
      <x:c r="S51" s="3" t="str">
        <x:v>50</x:v>
      </x:c>
      <x:c r="T51" s="3" t="str">
        <x:v>survey bibliography</x:v>
      </x:c>
      <x:c r="U51" s="5" t="d">
        <x:v>2026-10-16T00:00:00.000Z</x:v>
      </x:c>
      <x:c r="V51" s="6" t="str">
        <x:v>未分配</x:v>
      </x:c>
      <x:c r="W51" s="6" t="str"/>
      <x:c r="X51" s="6" t="str"/>
      <x:c r="Y51" s="6" t="str"/>
      <x:c r="Z51" s="3" t="str"/>
    </x:row>
    <x:row r="52" ht="55" customHeight="1">
      <x:c r="A52" s="3" t="str">
        <x:v>WA-0051</x:v>
      </x:c>
      <x:c r="B52" s="3" t="str">
        <x:v>DABstep: Data Agent Benchmark for Multi-step Reasoning</x:v>
      </x:c>
      <x:c r="C52" s="3" t="str">
        <x:v>DABstep</x:v>
      </x:c>
      <x:c r="D52" s="4" t="n">
        <x:v>2025</x:v>
      </x:c>
      <x:c r="E52" s="7" t="str">
        <x:v>https://arxiv.org/abs/2506.23719</x:v>
      </x:c>
      <x:c r="F52" s="3" t="str">
        <x:v>Adyen; Hugging Face</x:v>
      </x:c>
      <x:c r="G52" s="3" t="str">
        <x:v>Benchmark</x:v>
      </x:c>
      <x:c r="H52" s="3" t="str">
        <x:v>swe-science</x:v>
      </x:c>
      <x:c r="I52" s="3" t="str">
        <x:v>industrial multi-step data analysis</x:v>
      </x:c>
      <x:c r="J52" s="3" t="str">
        <x:v>perception;reasoning;execution</x:v>
      </x:c>
      <x:c r="K52" s="3" t="str"/>
      <x:c r="L52" s="3" t="str">
        <x:v>4.1;4.2;6.1</x:v>
      </x:c>
      <x:c r="M52" s="3" t="str">
        <x:v>基于真实支付业务数据构建多步分析任务，要求联合使用结构化数据和说明文档。</x:v>
      </x:c>
      <x:c r="N52" s="3" t="str"/>
      <x:c r="O52" s="3" t="str"/>
      <x:c r="P52" s="3" t="str">
        <x:v>verified</x:v>
      </x:c>
      <x:c r="Q52" s="7" t="str">
        <x:v>https://arxiv.org/pdf/2506.23719</x:v>
      </x:c>
      <x:c r="R52" s="7" t="str">
        <x:v>https://arxiv.org/abs/2506.23719</x:v>
      </x:c>
      <x:c r="S52" s="3" t="str">
        <x:v>51</x:v>
      </x:c>
      <x:c r="T52" s="3" t="str">
        <x:v>survey bibliography</x:v>
      </x:c>
      <x:c r="U52" s="5" t="d">
        <x:v>2026-10-16T00:00:00.000Z</x:v>
      </x:c>
      <x:c r="V52" s="6" t="str">
        <x:v>未分配</x:v>
      </x:c>
      <x:c r="W52" s="6" t="str"/>
      <x:c r="X52" s="6" t="str"/>
      <x:c r="Y52" s="6" t="str"/>
      <x:c r="Z52" s="3" t="str"/>
    </x:row>
    <x:row r="53" ht="55" customHeight="1">
      <x:c r="A53" s="3" t="str">
        <x:v>WA-0052</x:v>
      </x:c>
      <x:c r="B53" s="3" t="str">
        <x:v>MCP-Bench: Benchmarking Tool-Using LLM Agents with Complex Real-World Tasks via MCP Servers</x:v>
      </x:c>
      <x:c r="C53" s="3" t="str">
        <x:v>MCP-Bench</x:v>
      </x:c>
      <x:c r="D53" s="4" t="n">
        <x:v>2025</x:v>
      </x:c>
      <x:c r="E53" s="7" t="str">
        <x:v>https://arxiv.org/abs/2508.20453</x:v>
      </x:c>
      <x:c r="F53" s="3" t="str">
        <x:v>Accenture; University of California, Berkeley</x:v>
      </x:c>
      <x:c r="G53" s="3" t="str">
        <x:v>Benchmark</x:v>
      </x:c>
      <x:c r="H53" s="3" t="str">
        <x:v>tool-enterprise</x:v>
      </x:c>
      <x:c r="I53" s="3" t="str">
        <x:v>MCP cross-tool workflow</x:v>
      </x:c>
      <x:c r="J53" s="3" t="str">
        <x:v>reasoning;planning;execution;coordination</x:v>
      </x:c>
      <x:c r="K53" s="3" t="str"/>
      <x:c r="L53" s="3" t="str">
        <x:v>4.4;6.1</x:v>
      </x:c>
      <x:c r="M53" s="3" t="str">
        <x:v>通过真实 MCP 服务组合多步任务，检验工具发现、参数控制及跨工具协调。</x:v>
      </x:c>
      <x:c r="N53" s="7" t="str">
        <x:v>https://github.com/Accenture/mcp-bench</x:v>
      </x:c>
      <x:c r="O53" s="3" t="str"/>
      <x:c r="P53" s="3" t="str">
        <x:v>verified</x:v>
      </x:c>
      <x:c r="Q53" s="7" t="str">
        <x:v>https://arxiv.org/pdf/2508.20453</x:v>
      </x:c>
      <x:c r="R53" s="7" t="str">
        <x:v>https://arxiv.org/abs/2508.20453</x:v>
      </x:c>
      <x:c r="S53" s="3" t="str">
        <x:v>52</x:v>
      </x:c>
      <x:c r="T53" s="3" t="str">
        <x:v>survey bibliography</x:v>
      </x:c>
      <x:c r="U53" s="5" t="d">
        <x:v>2026-10-16T00:00:00.000Z</x:v>
      </x:c>
      <x:c r="V53" s="6" t="str">
        <x:v>未分配</x:v>
      </x:c>
      <x:c r="W53" s="6" t="str"/>
      <x:c r="X53" s="6" t="str"/>
      <x:c r="Y53" s="6" t="str"/>
      <x:c r="Z53" s="3" t="str"/>
    </x:row>
    <x:row r="54" ht="55" customHeight="1">
      <x:c r="A54" s="3" t="str">
        <x:v>WA-0053</x:v>
      </x:c>
      <x:c r="B54" s="3" t="str">
        <x:v>DSBench: How Far Are Data Science Agents from Becoming Data Science Experts?</x:v>
      </x:c>
      <x:c r="C54" s="3" t="str">
        <x:v>DSBench</x:v>
      </x:c>
      <x:c r="D54" s="4" t="n">
        <x:v>2024</x:v>
      </x:c>
      <x:c r="E54" s="7" t="str">
        <x:v>https://arxiv.org/abs/2409.07703</x:v>
      </x:c>
      <x:c r="F54" s="3" t="str">
        <x:v>University of Texas at Dallas; Tencent AI Lab, Seattle; University of Southern California</x:v>
      </x:c>
      <x:c r="G54" s="3" t="str">
        <x:v>Benchmark</x:v>
      </x:c>
      <x:c r="H54" s="3" t="str">
        <x:v>swe-science</x:v>
      </x:c>
      <x:c r="I54" s="3" t="str">
        <x:v>data science analysis and modeling</x:v>
      </x:c>
      <x:c r="J54" s="3" t="str">
        <x:v>reasoning;planning;execution</x:v>
      </x:c>
      <x:c r="K54" s="3" t="str"/>
      <x:c r="L54" s="3" t="str">
        <x:v>4.2;6.1</x:v>
      </x:c>
      <x:c r="M54" s="3" t="str">
        <x:v>以真实分析与建模任务检验数据科学代理的端到端工作能力。</x:v>
      </x:c>
      <x:c r="N54" s="7" t="str">
        <x:v>https://github.com/LiqiangJing/DSBench</x:v>
      </x:c>
      <x:c r="O54" s="3" t="str"/>
      <x:c r="P54" s="3" t="str">
        <x:v>verified</x:v>
      </x:c>
      <x:c r="Q54" s="7" t="str">
        <x:v>https://arxiv.org/pdf/2409.07703</x:v>
      </x:c>
      <x:c r="R54" s="7" t="str">
        <x:v>https://arxiv.org/abs/2409.07703</x:v>
      </x:c>
      <x:c r="S54" s="3" t="str">
        <x:v>53</x:v>
      </x:c>
      <x:c r="T54" s="3" t="str">
        <x:v>survey bibliography</x:v>
      </x:c>
      <x:c r="U54" s="5" t="d">
        <x:v>2026-10-16T00:00:00.000Z</x:v>
      </x:c>
      <x:c r="V54" s="6" t="str">
        <x:v>未分配</x:v>
      </x:c>
      <x:c r="W54" s="6" t="str"/>
      <x:c r="X54" s="6" t="str"/>
      <x:c r="Y54" s="6" t="str"/>
      <x:c r="Z54" s="3" t="str"/>
    </x:row>
    <x:row r="55" ht="55" customHeight="1">
      <x:c r="A55" s="3" t="str">
        <x:v>WA-0054</x:v>
      </x:c>
      <x:c r="B55" s="3" t="str">
        <x:v>DataSciBench: An LLM Agent Benchmark for Data Science</x:v>
      </x:c>
      <x:c r="C55" s="3" t="str">
        <x:v>DataSciBench</x:v>
      </x:c>
      <x:c r="D55" s="4" t="n">
        <x:v>2025</x:v>
      </x:c>
      <x:c r="E55" s="7" t="str">
        <x:v>https://arxiv.org/abs/2502.13897</x:v>
      </x:c>
      <x:c r="F55" s="3" t="str">
        <x:v>Tsinghua University; Zhipu AI; University of California, Berkeley; California Institute of Technology</x:v>
      </x:c>
      <x:c r="G55" s="3" t="str">
        <x:v>Benchmark</x:v>
      </x:c>
      <x:c r="H55" s="3" t="str">
        <x:v>swe-science</x:v>
      </x:c>
      <x:c r="I55" s="3" t="str">
        <x:v>data science execution</x:v>
      </x:c>
      <x:c r="J55" s="3" t="str">
        <x:v>reasoning;execution;verification</x:v>
      </x:c>
      <x:c r="K55" s="3" t="str"/>
      <x:c r="L55" s="3" t="str">
        <x:v>4.2;6.1</x:v>
      </x:c>
      <x:c r="M55" s="3" t="str">
        <x:v>用多样化数据科学需求和任务特定评估检查代理生成并执行分析代码的能力。</x:v>
      </x:c>
      <x:c r="N55" s="7" t="str">
        <x:v>https://github.com/THUDM/DataSciBench</x:v>
      </x:c>
      <x:c r="O55" s="3" t="str"/>
      <x:c r="P55" s="3" t="str">
        <x:v>verified</x:v>
      </x:c>
      <x:c r="Q55" s="7" t="str">
        <x:v>https://arxiv.org/pdf/2502.13897</x:v>
      </x:c>
      <x:c r="R55" s="7" t="str">
        <x:v>https://arxiv.org/abs/2502.13897</x:v>
      </x:c>
      <x:c r="S55" s="3" t="str">
        <x:v>54</x:v>
      </x:c>
      <x:c r="T55" s="3" t="str">
        <x:v>survey bibliography</x:v>
      </x:c>
      <x:c r="U55" s="5" t="d">
        <x:v>2026-10-16T00:00:00.000Z</x:v>
      </x:c>
      <x:c r="V55" s="6" t="str">
        <x:v>未分配</x:v>
      </x:c>
      <x:c r="W55" s="6" t="str"/>
      <x:c r="X55" s="6" t="str"/>
      <x:c r="Y55" s="6" t="str"/>
      <x:c r="Z55" s="3" t="str"/>
    </x:row>
    <x:row r="56" ht="55" customHeight="1">
      <x:c r="A56" s="3" t="str">
        <x:v>WA-0055</x:v>
      </x:c>
      <x:c r="B56" s="3" t="str">
        <x:v>ScienceAgentBench: Toward Rigorous Assessment of Language Agents for Data-Driven Scientific Discovery</x:v>
      </x:c>
      <x:c r="C56" s="3" t="str">
        <x:v>ScienceAgentBench</x:v>
      </x:c>
      <x:c r="D56" s="4" t="n">
        <x:v>2024</x:v>
      </x:c>
      <x:c r="E56" s="7" t="str">
        <x:v>https://arxiv.org/abs/2410.05080</x:v>
      </x:c>
      <x:c r="F56" s="3" t="str">
        <x:v>Ohio State University; University of Wisconsin-Madison</x:v>
      </x:c>
      <x:c r="G56" s="3" t="str">
        <x:v>Benchmark</x:v>
      </x:c>
      <x:c r="H56" s="3" t="str">
        <x:v>swe-science</x:v>
      </x:c>
      <x:c r="I56" s="3" t="str">
        <x:v>data-driven scientific discovery</x:v>
      </x:c>
      <x:c r="J56" s="3" t="str">
        <x:v>reasoning;planning;execution;verification</x:v>
      </x:c>
      <x:c r="K56" s="3" t="str"/>
      <x:c r="L56" s="3" t="str">
        <x:v>4.2;6.1</x:v>
      </x:c>
      <x:c r="M56" s="3" t="str">
        <x:v>从真实科研工作流程构建可执行任务，评估代理以代码完成数据驱动科学分析的能力。</x:v>
      </x:c>
      <x:c r="N56" s="7" t="str">
        <x:v>https://github.com/OSU-NLP-Group/ScienceAgentBench</x:v>
      </x:c>
      <x:c r="O56" s="7" t="str">
        <x:v>https://huggingface.co/datasets/osunlp/ScienceAgentBench</x:v>
      </x:c>
      <x:c r="P56" s="3" t="str">
        <x:v>verified</x:v>
      </x:c>
      <x:c r="Q56" s="7" t="str">
        <x:v>https://arxiv.org/pdf/2410.05080</x:v>
      </x:c>
      <x:c r="R56" s="7" t="str">
        <x:v>https://arxiv.org/abs/2410.05080</x:v>
      </x:c>
      <x:c r="S56" s="3" t="str">
        <x:v>55</x:v>
      </x:c>
      <x:c r="T56" s="3" t="str">
        <x:v>survey bibliography</x:v>
      </x:c>
      <x:c r="U56" s="5" t="d">
        <x:v>2026-10-16T00:00:00.000Z</x:v>
      </x:c>
      <x:c r="V56" s="6" t="str">
        <x:v>未分配</x:v>
      </x:c>
      <x:c r="W56" s="6" t="str"/>
      <x:c r="X56" s="6" t="str"/>
      <x:c r="Y56" s="6" t="str"/>
      <x:c r="Z56" s="3" t="str"/>
    </x:row>
    <x:row r="57" ht="55" customHeight="1">
      <x:c r="A57" s="3" t="str">
        <x:v>WA-0056</x:v>
      </x:c>
      <x:c r="B57" s="3" t="str">
        <x:v>Routine: A Structural Planning Framework for LLM Agent System in Enterprise</x:v>
      </x:c>
      <x:c r="C57" s="3" t="str">
        <x:v>Routine</x:v>
      </x:c>
      <x:c r="D57" s="4" t="n">
        <x:v>2025</x:v>
      </x:c>
      <x:c r="E57" s="7" t="str">
        <x:v>https://arxiv.org/abs/2507.14447</x:v>
      </x:c>
      <x:c r="F57" s="3" t="str">
        <x:v>Digital China AI Research</x:v>
      </x:c>
      <x:c r="G57" s="3" t="str">
        <x:v>Framework;Method</x:v>
      </x:c>
      <x:c r="H57" s="3" t="str">
        <x:v>tool-enterprise</x:v>
      </x:c>
      <x:c r="I57" s="3" t="str">
        <x:v>structural enterprise planning</x:v>
      </x:c>
      <x:c r="J57" s="3" t="str">
        <x:v>reasoning;planning;execution</x:v>
      </x:c>
      <x:c r="K57" s="3" t="str"/>
      <x:c r="L57" s="3" t="str">
        <x:v>4.3;5.3</x:v>
      </x:c>
      <x:c r="M57" s="3" t="str">
        <x:v>通过结构化任务例程组织企业代理规划与执行，使流程约束可被明确表达和复用。</x:v>
      </x:c>
      <x:c r="N57" s="3" t="str"/>
      <x:c r="O57" s="3" t="str"/>
      <x:c r="P57" s="3" t="str">
        <x:v>verified</x:v>
      </x:c>
      <x:c r="Q57" s="7" t="str">
        <x:v>https://arxiv.org/pdf/2507.14447</x:v>
      </x:c>
      <x:c r="R57" s="7" t="str">
        <x:v>https://arxiv.org/abs/2507.14447</x:v>
      </x:c>
      <x:c r="S57" s="3" t="str">
        <x:v>56</x:v>
      </x:c>
      <x:c r="T57" s="3" t="str">
        <x:v>survey bibliography</x:v>
      </x:c>
      <x:c r="U57" s="5" t="d">
        <x:v>2026-10-16T00:00:00.000Z</x:v>
      </x:c>
      <x:c r="V57" s="6" t="str">
        <x:v>未分配</x:v>
      </x:c>
      <x:c r="W57" s="6" t="str"/>
      <x:c r="X57" s="6" t="str"/>
      <x:c r="Y57" s="6" t="str"/>
      <x:c r="Z57" s="3" t="str"/>
    </x:row>
    <x:row r="58" ht="55" customHeight="1">
      <x:c r="A58" s="3" t="str">
        <x:v>WA-0057</x:v>
      </x:c>
      <x:c r="B58" s="3" t="str">
        <x:v>OfficeBench: Benchmarking Language Agents across Multiple Applications for Office Automation</x:v>
      </x:c>
      <x:c r="C58" s="3" t="str">
        <x:v>OfficeBench</x:v>
      </x:c>
      <x:c r="D58" s="4" t="n">
        <x:v>2024</x:v>
      </x:c>
      <x:c r="E58" s="7" t="str">
        <x:v>https://arxiv.org/abs/2407.19056</x:v>
      </x:c>
      <x:c r="F58" s="3" t="str">
        <x:v>University of California, San Diego; University of California, Los Angeles; Allen Institute for AI</x:v>
      </x:c>
      <x:c r="G58" s="3" t="str">
        <x:v>Benchmark</x:v>
      </x:c>
      <x:c r="H58" s="3" t="str">
        <x:v>workspace</x:v>
      </x:c>
      <x:c r="I58" s="3" t="str">
        <x:v>cross-application office automation</x:v>
      </x:c>
      <x:c r="J58" s="3" t="str">
        <x:v>perception;planning;execution;state-management</x:v>
      </x:c>
      <x:c r="K58" s="3" t="str"/>
      <x:c r="L58" s="3" t="str">
        <x:v>3.4;4.4;6.1</x:v>
      </x:c>
      <x:c r="M58" s="3" t="str">
        <x:v>围绕多种办公应用和跨应用依赖任务，评估代理完成综合办公流程的能力。</x:v>
      </x:c>
      <x:c r="N58" s="7" t="str">
        <x:v>https://github.com/zlwang-cs/OfficeBench</x:v>
      </x:c>
      <x:c r="O58" s="3" t="str"/>
      <x:c r="P58" s="3" t="str">
        <x:v>verified</x:v>
      </x:c>
      <x:c r="Q58" s="7" t="str">
        <x:v>https://arxiv.org/pdf/2407.19056</x:v>
      </x:c>
      <x:c r="R58" s="7" t="str">
        <x:v>https://arxiv.org/abs/2407.19056</x:v>
      </x:c>
      <x:c r="S58" s="3" t="str">
        <x:v>57</x:v>
      </x:c>
      <x:c r="T58" s="3" t="str">
        <x:v>survey bibliography</x:v>
      </x:c>
      <x:c r="U58" s="5" t="d">
        <x:v>2026-10-16T00:00:00.000Z</x:v>
      </x:c>
      <x:c r="V58" s="6" t="str">
        <x:v>未分配</x:v>
      </x:c>
      <x:c r="W58" s="6" t="str"/>
      <x:c r="X58" s="6" t="str"/>
      <x:c r="Y58" s="6" t="str"/>
      <x:c r="Z58" s="3" t="str"/>
    </x:row>
    <x:row r="59" ht="55" customHeight="1">
      <x:c r="A59" s="3" t="str">
        <x:v>WA-0058</x:v>
      </x:c>
      <x:c r="B59" s="3" t="str">
        <x:v>SpreadsheetBench 2: Evaluating Agents on End-to-End Business Spreadsheet Workflows</x:v>
      </x:c>
      <x:c r="C59" s="3" t="str">
        <x:v>SpreadsheetBench 2</x:v>
      </x:c>
      <x:c r="D59" s="4" t="n">
        <x:v>2026</x:v>
      </x:c>
      <x:c r="E59" s="7" t="str">
        <x:v>https://arxiv.org/abs/2606.29955</x:v>
      </x:c>
      <x:c r="F59" s="3" t="str">
        <x:v>Renmin University of China; Aptura AI; Shortcut AI; AfterQuery</x:v>
      </x:c>
      <x:c r="G59" s="3" t="str">
        <x:v>Benchmark</x:v>
      </x:c>
      <x:c r="H59" s="3" t="str">
        <x:v>artifact</x:v>
      </x:c>
      <x:c r="I59" s="3" t="str">
        <x:v>end-to-end business spreadsheet workflow</x:v>
      </x:c>
      <x:c r="J59" s="3" t="str">
        <x:v>reasoning;planning;execution;verification</x:v>
      </x:c>
      <x:c r="K59" s="3" t="str"/>
      <x:c r="L59" s="3" t="str">
        <x:v>3.4;4.4;6.1</x:v>
      </x:c>
      <x:c r="M59" s="3" t="str">
        <x:v>将电子表格评估扩展到端到端业务流程与可交付工作簿。</x:v>
      </x:c>
      <x:c r="N59" s="7" t="str">
        <x:v>https://github.com/RUCKBReasoning/SpreadsheetBench-2</x:v>
      </x:c>
      <x:c r="O59" s="7" t="str">
        <x:v>https://huggingface.co/datasets/KAKA22/SpreadsheetBench-v2</x:v>
      </x:c>
      <x:c r="P59" s="3" t="str">
        <x:v>verified</x:v>
      </x:c>
      <x:c r="Q59" s="7" t="str">
        <x:v>https://arxiv.org/pdf/2606.29955</x:v>
      </x:c>
      <x:c r="R59" s="7" t="str">
        <x:v>https://arxiv.org/abs/2606.29955</x:v>
      </x:c>
      <x:c r="S59" s="3" t="str">
        <x:v>58</x:v>
      </x:c>
      <x:c r="T59" s="3" t="str">
        <x:v>survey bibliography</x:v>
      </x:c>
      <x:c r="U59" s="5" t="d">
        <x:v>2026-10-16T00:00:00.000Z</x:v>
      </x:c>
      <x:c r="V59" s="6" t="str">
        <x:v>未分配</x:v>
      </x:c>
      <x:c r="W59" s="6" t="str"/>
      <x:c r="X59" s="6" t="str"/>
      <x:c r="Y59" s="6" t="str"/>
      <x:c r="Z59" s="3" t="str"/>
    </x:row>
    <x:row r="60" ht="100" customHeight="1">
      <x:c r="A60" s="3" t="str">
        <x:v>WA-0059</x:v>
      </x:c>
      <x:c r="B60" s="3" t="str">
        <x:v>AFlow: Automating Agentic Workflow Generation</x:v>
      </x:c>
      <x:c r="C60" s="3" t="str">
        <x:v>AFlow</x:v>
      </x:c>
      <x:c r="D60" s="4" t="n">
        <x:v>2024</x:v>
      </x:c>
      <x:c r="E60" s="7" t="str">
        <x:v>https://arxiv.org/abs/2410.10762</x:v>
      </x:c>
      <x:c r="F60" s="3" t="str">
        <x:v>DeepWisdom; Hong Kong University of Science and Technology (Guangzhou); Renmin University of China; Nanjing University; Fudan University; King Abdullah University of Science and Technology; Université de Montréal; Mila; Hong Kong University of Science and Technology</x:v>
      </x:c>
      <x:c r="G60" s="3" t="str">
        <x:v>Method;Framework</x:v>
      </x:c>
      <x:c r="H60" s="3" t="str">
        <x:v>harness</x:v>
      </x:c>
      <x:c r="I60" s="3" t="str">
        <x:v>automated workflow search</x:v>
      </x:c>
      <x:c r="J60" s="3" t="str">
        <x:v>planning;coordination;learning</x:v>
      </x:c>
      <x:c r="K60" s="3" t="str">
        <x:v>model-harness-coupling;prompt-workflow</x:v>
      </x:c>
      <x:c r="L60" s="3" t="str">
        <x:v>5.3;5.4</x:v>
      </x:c>
      <x:c r="M60" s="3" t="str">
        <x:v>在代码表示的工作流空间中自动搜索与优化代理流程。</x:v>
      </x:c>
      <x:c r="N60" s="7" t="str">
        <x:v>https://github.com/FoundationAgents/AFlow</x:v>
      </x:c>
      <x:c r="O60" s="3" t="str"/>
      <x:c r="P60" s="3" t="str">
        <x:v>verified</x:v>
      </x:c>
      <x:c r="Q60" s="7" t="str">
        <x:v>https://arxiv.org/pdf/2410.10762</x:v>
      </x:c>
      <x:c r="R60" s="7" t="str">
        <x:v>https://arxiv.org/abs/2410.10762</x:v>
      </x:c>
      <x:c r="S60" s="3" t="str">
        <x:v>59</x:v>
      </x:c>
      <x:c r="T60" s="3" t="str">
        <x:v>survey bibliography</x:v>
      </x:c>
      <x:c r="U60" s="5" t="d">
        <x:v>2026-10-16T00:00:00.000Z</x:v>
      </x:c>
      <x:c r="V60" s="6" t="str">
        <x:v>未分配</x:v>
      </x:c>
      <x:c r="W60" s="6" t="str"/>
      <x:c r="X60" s="6" t="str"/>
      <x:c r="Y60" s="6" t="str"/>
      <x:c r="Z60" s="3" t="str"/>
    </x:row>
    <x:row r="61" ht="55" customHeight="1">
      <x:c r="A61" s="3" t="str">
        <x:v>WA-0060</x:v>
      </x:c>
      <x:c r="B61" s="3" t="str">
        <x:v>WorkTeam: Constructing Workflows from Natural Language with Multi-Agents</x:v>
      </x:c>
      <x:c r="C61" s="3" t="str">
        <x:v>WorkTeam</x:v>
      </x:c>
      <x:c r="D61" s="4" t="n">
        <x:v>2025</x:v>
      </x:c>
      <x:c r="E61" s="7" t="str">
        <x:v>https://arxiv.org/abs/2503.22473</x:v>
      </x:c>
      <x:c r="F61" s="3" t="str">
        <x:v>Huawei Technologies; Peking University</x:v>
      </x:c>
      <x:c r="G61" s="3" t="str">
        <x:v>Method;Framework</x:v>
      </x:c>
      <x:c r="H61" s="3" t="str">
        <x:v>harness</x:v>
      </x:c>
      <x:c r="I61" s="3" t="str">
        <x:v>natural language workflow construction</x:v>
      </x:c>
      <x:c r="J61" s="3" t="str">
        <x:v>reasoning;planning;coordination</x:v>
      </x:c>
      <x:c r="K61" s="3" t="str"/>
      <x:c r="L61" s="3" t="str">
        <x:v>4.3;5.3</x:v>
      </x:c>
      <x:c r="M61" s="3" t="str">
        <x:v>用多代理从自然语言需求构造可执行工作流，并检查与修正流程设计。</x:v>
      </x:c>
      <x:c r="N61" s="3" t="str"/>
      <x:c r="O61" s="3" t="str"/>
      <x:c r="P61" s="3" t="str">
        <x:v>verified</x:v>
      </x:c>
      <x:c r="Q61" s="7" t="str">
        <x:v>https://arxiv.org/pdf/2503.22473</x:v>
      </x:c>
      <x:c r="R61" s="7" t="str">
        <x:v>https://arxiv.org/abs/2503.22473</x:v>
      </x:c>
      <x:c r="S61" s="3" t="str">
        <x:v>60</x:v>
      </x:c>
      <x:c r="T61" s="3" t="str">
        <x:v>survey bibliography</x:v>
      </x:c>
      <x:c r="U61" s="5" t="d">
        <x:v>2026-10-16T00:00:00.000Z</x:v>
      </x:c>
      <x:c r="V61" s="6" t="str">
        <x:v>未分配</x:v>
      </x:c>
      <x:c r="W61" s="6" t="str"/>
      <x:c r="X61" s="6" t="str"/>
      <x:c r="Y61" s="6" t="str"/>
      <x:c r="Z61" s="3" t="str"/>
    </x:row>
    <x:row r="62" ht="55" customHeight="1">
      <x:c r="A62" s="3" t="str">
        <x:v>WA-0061</x:v>
      </x:c>
      <x:c r="B62" s="3" t="str">
        <x:v>Towards Robust Real-World Spreadsheet Understanding with Multi-Agent Multi-Format Reasoning</x:v>
      </x:c>
      <x:c r="C62" s="3" t="str">
        <x:v>SpreadsheetAgent</x:v>
      </x:c>
      <x:c r="D62" s="4" t="n">
        <x:v>2026</x:v>
      </x:c>
      <x:c r="E62" s="7" t="str">
        <x:v>https://arxiv.org/abs/2604.12282</x:v>
      </x:c>
      <x:c r="F62" s="3" t="str">
        <x:v>Chinese University of Hong Kong; SenseTime Research; Shenzhen Loop Area Institute; CPII under InnoHK</x:v>
      </x:c>
      <x:c r="G62" s="3" t="str">
        <x:v>Method</x:v>
      </x:c>
      <x:c r="H62" s="3" t="str">
        <x:v>related</x:v>
      </x:c>
      <x:c r="I62" s="3" t="str">
        <x:v>multi-format spreadsheet understanding</x:v>
      </x:c>
      <x:c r="J62" s="3" t="str">
        <x:v>perception;reasoning;coordination</x:v>
      </x:c>
      <x:c r="K62" s="3" t="str"/>
      <x:c r="L62" s="3" t="str">
        <x:v>4.1;4.2</x:v>
      </x:c>
      <x:c r="M62" s="3" t="str">
        <x:v>结合多代理和多格式表格表示，增强真实电子表格的理解与推理稳健性。</x:v>
      </x:c>
      <x:c r="N62" s="7" t="str">
        <x:v>https://github.com/renhouxing/SpreadsheetAgent</x:v>
      </x:c>
      <x:c r="O62" s="3" t="str"/>
      <x:c r="P62" s="3" t="str">
        <x:v>verified</x:v>
      </x:c>
      <x:c r="Q62" s="7" t="str">
        <x:v>https://arxiv.org/pdf/2604.12282</x:v>
      </x:c>
      <x:c r="R62" s="7" t="str">
        <x:v>https://arxiv.org/abs/2604.12282</x:v>
      </x:c>
      <x:c r="S62" s="3" t="str">
        <x:v>61</x:v>
      </x:c>
      <x:c r="T62" s="3" t="str">
        <x:v>survey bibliography</x:v>
      </x:c>
      <x:c r="U62" s="5" t="d">
        <x:v>2026-10-16T00:00:00.000Z</x:v>
      </x:c>
      <x:c r="V62" s="6" t="str">
        <x:v>未分配</x:v>
      </x:c>
      <x:c r="W62" s="6" t="str"/>
      <x:c r="X62" s="6" t="str"/>
      <x:c r="Y62" s="6" t="str"/>
      <x:c r="Z62" s="3" t="str">
        <x:v>SpreadsheetAgent 为论文给出的官方仓库名称。</x:v>
      </x:c>
    </x:row>
    <x:row r="63" ht="55" customHeight="1">
      <x:c r="A63" s="3" t="str">
        <x:v>WA-0062</x:v>
      </x:c>
      <x:c r="B63" s="3" t="str">
        <x:v>InfiAgent: An Infinite-Horizon Framework for General-Purpose Autonomous Agents</x:v>
      </x:c>
      <x:c r="C63" s="3" t="str">
        <x:v>InfiAgent</x:v>
      </x:c>
      <x:c r="D63" s="4" t="n">
        <x:v>2026</x:v>
      </x:c>
      <x:c r="E63" s="7" t="str">
        <x:v>https://arxiv.org/abs/2601.03204</x:v>
      </x:c>
      <x:c r="F63" s="3" t="str">
        <x:v>University of Hong Kong; Hong Kong Polytechnic University</x:v>
      </x:c>
      <x:c r="G63" s="3" t="str">
        <x:v>Framework;Method</x:v>
      </x:c>
      <x:c r="H63" s="3" t="str">
        <x:v>persistent</x:v>
      </x:c>
      <x:c r="I63" s="3" t="str">
        <x:v>infinite-horizon workspace state</x:v>
      </x:c>
      <x:c r="J63" s="3" t="str">
        <x:v>planning;execution;state-management;memory</x:v>
      </x:c>
      <x:c r="K63" s="3" t="str"/>
      <x:c r="L63" s="3" t="str">
        <x:v>3.5;5.3;7.2</x:v>
      </x:c>
      <x:c r="M63" s="3" t="str">
        <x:v>将持久工作区状态与有限近期动作窗口结合，支持持续的通用自主任务执行。</x:v>
      </x:c>
      <x:c r="N63" s="7" t="str">
        <x:v>https://github.com/ChenglinPoly/infiAgent</x:v>
      </x:c>
      <x:c r="O63" s="3" t="str"/>
      <x:c r="P63" s="3" t="str">
        <x:v>verified</x:v>
      </x:c>
      <x:c r="Q63" s="7" t="str">
        <x:v>https://arxiv.org/pdf/2601.03204</x:v>
      </x:c>
      <x:c r="R63" s="7" t="str">
        <x:v>https://arxiv.org/abs/2601.03204</x:v>
      </x:c>
      <x:c r="S63" s="3" t="str">
        <x:v>62</x:v>
      </x:c>
      <x:c r="T63" s="3" t="str">
        <x:v>survey bibliography</x:v>
      </x:c>
      <x:c r="U63" s="5" t="d">
        <x:v>2026-10-16T00:00:00.000Z</x:v>
      </x:c>
      <x:c r="V63" s="6" t="str">
        <x:v>未分配</x:v>
      </x:c>
      <x:c r="W63" s="6" t="str"/>
      <x:c r="X63" s="6" t="str"/>
      <x:c r="Y63" s="6" t="str"/>
      <x:c r="Z63" s="3" t="str"/>
    </x:row>
    <x:row r="64" ht="55" customHeight="1">
      <x:c r="A64" s="3" t="str">
        <x:v>WA-0063</x:v>
      </x:c>
      <x:c r="B64" s="3" t="str">
        <x:v>MultiAgentBench: Evaluating the Collaboration and Competition of LLM agents</x:v>
      </x:c>
      <x:c r="C64" s="3" t="str">
        <x:v>MultiAgentBench</x:v>
      </x:c>
      <x:c r="D64" s="4" t="n">
        <x:v>2025</x:v>
      </x:c>
      <x:c r="E64" s="7" t="str">
        <x:v>https://arxiv.org/abs/2503.01935</x:v>
      </x:c>
      <x:c r="F64" s="3" t="str">
        <x:v>University of Illinois Urbana-Champaign</x:v>
      </x:c>
      <x:c r="G64" s="3" t="str">
        <x:v>Benchmark</x:v>
      </x:c>
      <x:c r="H64" s="3" t="str">
        <x:v>harness</x:v>
      </x:c>
      <x:c r="I64" s="3" t="str">
        <x:v>multi-agent collaboration and competition</x:v>
      </x:c>
      <x:c r="J64" s="3" t="str">
        <x:v>coordination;planning;reasoning</x:v>
      </x:c>
      <x:c r="K64" s="3" t="str"/>
      <x:c r="L64" s="3" t="str">
        <x:v>4.3;6.1</x:v>
      </x:c>
      <x:c r="M64" s="3" t="str">
        <x:v>通过 MARBLE 环境评估多代理的协作、竞争和不同组织机制。</x:v>
      </x:c>
      <x:c r="N64" s="7" t="str">
        <x:v>https://github.com/MultiagentBench/MARBLE</x:v>
      </x:c>
      <x:c r="O64" s="3" t="str"/>
      <x:c r="P64" s="3" t="str">
        <x:v>verified</x:v>
      </x:c>
      <x:c r="Q64" s="7" t="str">
        <x:v>https://arxiv.org/pdf/2503.01935</x:v>
      </x:c>
      <x:c r="R64" s="7" t="str">
        <x:v>https://arxiv.org/abs/2503.01935</x:v>
      </x:c>
      <x:c r="S64" s="3" t="str">
        <x:v>63</x:v>
      </x:c>
      <x:c r="T64" s="3" t="str">
        <x:v>survey bibliography</x:v>
      </x:c>
      <x:c r="U64" s="5" t="d">
        <x:v>2026-10-16T00:00:00.000Z</x:v>
      </x:c>
      <x:c r="V64" s="6" t="str">
        <x:v>未分配</x:v>
      </x:c>
      <x:c r="W64" s="6" t="str"/>
      <x:c r="X64" s="6" t="str"/>
      <x:c r="Y64" s="6" t="str"/>
      <x:c r="Z64" s="3" t="str"/>
    </x:row>
    <x:row r="65" ht="55" customHeight="1">
      <x:c r="A65" s="3" t="str">
        <x:v>WA-0064</x:v>
      </x:c>
      <x:c r="B65" s="3" t="str">
        <x:v>GDPval: Evaluating AI Model Performance on Real-World Economically Valuable Tasks</x:v>
      </x:c>
      <x:c r="C65" s="3" t="str">
        <x:v>GDPval</x:v>
      </x:c>
      <x:c r="D65" s="4" t="n">
        <x:v>2025</x:v>
      </x:c>
      <x:c r="E65" s="7" t="str">
        <x:v>https://arxiv.org/abs/2510.04374</x:v>
      </x:c>
      <x:c r="F65" s="3" t="str">
        <x:v>OpenAI</x:v>
      </x:c>
      <x:c r="G65" s="3" t="str">
        <x:v>Benchmark</x:v>
      </x:c>
      <x:c r="H65" s="3" t="str">
        <x:v>workspace</x:v>
      </x:c>
      <x:c r="I65" s="3" t="str">
        <x:v>occupational deliverables</x:v>
      </x:c>
      <x:c r="J65" s="3" t="str">
        <x:v>reasoning;planning;execution;verification</x:v>
      </x:c>
      <x:c r="K65" s="3" t="str"/>
      <x:c r="L65" s="3" t="str">
        <x:v>3.4;6.1;6.2</x:v>
      </x:c>
      <x:c r="M65" s="3" t="str">
        <x:v>基于真实职业需求评估经济价值任务产物，并结合专业人员比较和自动评分。</x:v>
      </x:c>
      <x:c r="N65" s="3" t="str"/>
      <x:c r="O65" s="3" t="str"/>
      <x:c r="P65" s="3" t="str">
        <x:v>verified</x:v>
      </x:c>
      <x:c r="Q65" s="7" t="str">
        <x:v>https://arxiv.org/pdf/2510.04374</x:v>
      </x:c>
      <x:c r="R65" s="7" t="str">
        <x:v>https://arxiv.org/abs/2510.04374</x:v>
      </x:c>
      <x:c r="S65" s="3" t="str">
        <x:v>64</x:v>
      </x:c>
      <x:c r="T65" s="3" t="str">
        <x:v>survey bibliography</x:v>
      </x:c>
      <x:c r="U65" s="5" t="d">
        <x:v>2026-10-16T00:00:00.000Z</x:v>
      </x:c>
      <x:c r="V65" s="6" t="str">
        <x:v>未分配</x:v>
      </x:c>
      <x:c r="W65" s="6" t="str"/>
      <x:c r="X65" s="6" t="str"/>
      <x:c r="Y65" s="6" t="str"/>
      <x:c r="Z65" s="3" t="str">
        <x:v>将参考文献中的断行 CDN PDF 链接规范为稳定的 arXiv 页面。</x:v>
      </x:c>
    </x:row>
    <x:row r="66" ht="55" customHeight="1">
      <x:c r="A66" s="3" t="str">
        <x:v>WA-0065</x:v>
      </x:c>
      <x:c r="B66" s="3" t="str">
        <x:v>WorkBench: a Benchmark Dataset for Agents in a Realistic Workplace Setting</x:v>
      </x:c>
      <x:c r="C66" s="3" t="str">
        <x:v>WorkBench</x:v>
      </x:c>
      <x:c r="D66" s="4" t="n">
        <x:v>2024</x:v>
      </x:c>
      <x:c r="E66" s="7" t="str">
        <x:v>https://arxiv.org/abs/2405.00823</x:v>
      </x:c>
      <x:c r="F66" s="3" t="str">
        <x:v>MindsDB; University of Glasgow; University of Warwick</x:v>
      </x:c>
      <x:c r="G66" s="3" t="str">
        <x:v>Benchmark</x:v>
      </x:c>
      <x:c r="H66" s="3" t="str">
        <x:v>tool-enterprise</x:v>
      </x:c>
      <x:c r="I66" s="3" t="str">
        <x:v>workplace database and tool tasks</x:v>
      </x:c>
      <x:c r="J66" s="3" t="str">
        <x:v>reasoning;execution;state-management</x:v>
      </x:c>
      <x:c r="K66" s="3" t="str"/>
      <x:c r="L66" s="3" t="str">
        <x:v>3.4;6.1</x:v>
      </x:c>
      <x:c r="M66" s="3" t="str">
        <x:v>在真实感职场数据库与工具接口中检验代理跨业务对象完成任务的能力。</x:v>
      </x:c>
      <x:c r="N66" s="7" t="str">
        <x:v>https://github.com/olly-styles/WorkBench</x:v>
      </x:c>
      <x:c r="O66" s="3" t="str"/>
      <x:c r="P66" s="3" t="str">
        <x:v>verified</x:v>
      </x:c>
      <x:c r="Q66" s="7" t="str">
        <x:v>https://arxiv.org/pdf/2405.00823</x:v>
      </x:c>
      <x:c r="R66" s="7" t="str">
        <x:v>https://arxiv.org/abs/2405.00823</x:v>
      </x:c>
      <x:c r="S66" s="3" t="str">
        <x:v>65</x:v>
      </x:c>
      <x:c r="T66" s="3" t="str">
        <x:v>survey bibliography</x:v>
      </x:c>
      <x:c r="U66" s="5" t="d">
        <x:v>2026-10-16T00:00:00.000Z</x:v>
      </x:c>
      <x:c r="V66" s="6" t="str">
        <x:v>未分配</x:v>
      </x:c>
      <x:c r="W66" s="6" t="str"/>
      <x:c r="X66" s="6" t="str"/>
      <x:c r="Y66" s="6" t="str"/>
      <x:c r="Z66" s="3" t="str">
        <x:v>只记录首页明确列出的单位；未从其他作者当前任职补齐。</x:v>
      </x:c>
    </x:row>
    <x:row r="67" ht="55" customHeight="1">
      <x:c r="A67" s="3" t="str">
        <x:v>WA-0066</x:v>
      </x:c>
      <x:c r="B67" s="3" t="str">
        <x:v>VisualWebArena: Evaluating Multimodal Agents on Realistic Visual Web Tasks</x:v>
      </x:c>
      <x:c r="C67" s="3" t="str">
        <x:v>VisualWebArena</x:v>
      </x:c>
      <x:c r="D67" s="4" t="n">
        <x:v>2024</x:v>
      </x:c>
      <x:c r="E67" s="7" t="str">
        <x:v>https://arxiv.org/abs/2401.13649</x:v>
      </x:c>
      <x:c r="F67" s="3" t="str">
        <x:v>Carnegie Mellon University</x:v>
      </x:c>
      <x:c r="G67" s="3" t="str">
        <x:v>Benchmark</x:v>
      </x:c>
      <x:c r="H67" s="3" t="str">
        <x:v>computer-use</x:v>
      </x:c>
      <x:c r="I67" s="3" t="str">
        <x:v>visual web interaction</x:v>
      </x:c>
      <x:c r="J67" s="3" t="str">
        <x:v>perception;reasoning;execution;state-management</x:v>
      </x:c>
      <x:c r="K67" s="3" t="str"/>
      <x:c r="L67" s="3" t="str">
        <x:v>4.1;4.4;6.1</x:v>
      </x:c>
      <x:c r="M67" s="3" t="str">
        <x:v>在需要图像理解与网页交互的真实网站任务中评估多模态代理。</x:v>
      </x:c>
      <x:c r="N67" s="3" t="str"/>
      <x:c r="O67" s="3" t="str"/>
      <x:c r="P67" s="3" t="str">
        <x:v>verified</x:v>
      </x:c>
      <x:c r="Q67" s="7" t="str">
        <x:v>https://arxiv.org/pdf/2401.13649</x:v>
      </x:c>
      <x:c r="R67" s="7" t="str">
        <x:v>https://arxiv.org/abs/2401.13649</x:v>
      </x:c>
      <x:c r="S67" s="3" t="str">
        <x:v>66</x:v>
      </x:c>
      <x:c r="T67" s="3" t="str">
        <x:v>survey bibliography</x:v>
      </x:c>
      <x:c r="U67" s="5" t="d">
        <x:v>2026-10-16T00:00:00.000Z</x:v>
      </x:c>
      <x:c r="V67" s="6" t="str">
        <x:v>未分配</x:v>
      </x:c>
      <x:c r="W67" s="6" t="str"/>
      <x:c r="X67" s="6" t="str"/>
      <x:c r="Y67" s="6" t="str"/>
      <x:c r="Z67" s="3" t="str">
        <x:v>arXiv 元数据标题为 Realistic Visual Web Tasks；PDF 首页版本写作 Realistic Visually Grounded Web Tasks。</x:v>
      </x:c>
    </x:row>
    <x:row r="68" ht="55" customHeight="1">
      <x:c r="A68" s="3" t="str">
        <x:v>WA-0067</x:v>
      </x:c>
      <x:c r="B68" s="3" t="str">
        <x:v>Windows Agent Arena: Evaluating Multi-Modal OS Agents at Scale</x:v>
      </x:c>
      <x:c r="C68" s="3" t="str">
        <x:v>Windows Agent Arena</x:v>
      </x:c>
      <x:c r="D68" s="4" t="n">
        <x:v>2024</x:v>
      </x:c>
      <x:c r="E68" s="7" t="str">
        <x:v>https://arxiv.org/abs/2409.08264</x:v>
      </x:c>
      <x:c r="F68" s="3" t="str">
        <x:v>Microsoft; Carnegie Mellon University; Columbia University</x:v>
      </x:c>
      <x:c r="G68" s="3" t="str">
        <x:v>Benchmark;Framework</x:v>
      </x:c>
      <x:c r="H68" s="3" t="str">
        <x:v>computer-use</x:v>
      </x:c>
      <x:c r="I68" s="3" t="str">
        <x:v>Windows desktop environment</x:v>
      </x:c>
      <x:c r="J68" s="3" t="str">
        <x:v>perception;planning;execution;state-management</x:v>
      </x:c>
      <x:c r="K68" s="3" t="str"/>
      <x:c r="L68" s="3" t="str">
        <x:v>4.4;6.1;6.4</x:v>
      </x:c>
      <x:c r="M68" s="3" t="str">
        <x:v>提供可扩展 Windows 评测环境，检验真实操作系统上的多模态任务执行。</x:v>
      </x:c>
      <x:c r="N68" s="7" t="str">
        <x:v>https://github.com/microsoft/WindowsAgentArena</x:v>
      </x:c>
      <x:c r="O68" s="3" t="str"/>
      <x:c r="P68" s="3" t="str">
        <x:v>verified</x:v>
      </x:c>
      <x:c r="Q68" s="7" t="str">
        <x:v>https://arxiv.org/pdf/2409.08264</x:v>
      </x:c>
      <x:c r="R68" s="7" t="str">
        <x:v>https://arxiv.org/abs/2409.08264</x:v>
      </x:c>
      <x:c r="S68" s="3" t="str">
        <x:v>67</x:v>
      </x:c>
      <x:c r="T68" s="3" t="str">
        <x:v>survey bibliography</x:v>
      </x:c>
      <x:c r="U68" s="5" t="d">
        <x:v>2026-10-16T00:00:00.000Z</x:v>
      </x:c>
      <x:c r="V68" s="6" t="str">
        <x:v>未分配</x:v>
      </x:c>
      <x:c r="W68" s="6" t="str"/>
      <x:c r="X68" s="6" t="str"/>
      <x:c r="Y68" s="6" t="str"/>
      <x:c r="Z68" s="3" t="str"/>
    </x:row>
    <x:row r="69" ht="55" customHeight="1">
      <x:c r="A69" s="3" t="str">
        <x:v>WA-0068</x:v>
      </x:c>
      <x:c r="B69" s="3" t="str">
        <x:v>AndroidWorld: A Dynamic Benchmarking Environment for Autonomous Agents</x:v>
      </x:c>
      <x:c r="C69" s="3" t="str">
        <x:v>AndroidWorld</x:v>
      </x:c>
      <x:c r="D69" s="4" t="n">
        <x:v>2024</x:v>
      </x:c>
      <x:c r="E69" s="7" t="str">
        <x:v>https://arxiv.org/abs/2405.14573</x:v>
      </x:c>
      <x:c r="F69" s="3" t="str">
        <x:v>Google DeepMind; Google</x:v>
      </x:c>
      <x:c r="G69" s="3" t="str">
        <x:v>Benchmark</x:v>
      </x:c>
      <x:c r="H69" s="3" t="str">
        <x:v>computer-use</x:v>
      </x:c>
      <x:c r="I69" s="3" t="str">
        <x:v>Android mobile environment</x:v>
      </x:c>
      <x:c r="J69" s="3" t="str">
        <x:v>perception;execution;state-management</x:v>
      </x:c>
      <x:c r="K69" s="3" t="str"/>
      <x:c r="L69" s="3" t="str">
        <x:v>4.4;6.1</x:v>
      </x:c>
      <x:c r="M69" s="3" t="str">
        <x:v>以真实 Android 应用及动态任务参数构建可复现的移动代理评测环境。</x:v>
      </x:c>
      <x:c r="N69" s="7" t="str">
        <x:v>https://github.com/google-research/android_world</x:v>
      </x:c>
      <x:c r="O69" s="3" t="str"/>
      <x:c r="P69" s="3" t="str">
        <x:v>verified</x:v>
      </x:c>
      <x:c r="Q69" s="7" t="str">
        <x:v>https://arxiv.org/pdf/2405.14573</x:v>
      </x:c>
      <x:c r="R69" s="7" t="str">
        <x:v>https://arxiv.org/abs/2405.14573</x:v>
      </x:c>
      <x:c r="S69" s="3" t="str">
        <x:v>68</x:v>
      </x:c>
      <x:c r="T69" s="3" t="str">
        <x:v>survey bibliography</x:v>
      </x:c>
      <x:c r="U69" s="5" t="d">
        <x:v>2026-10-16T00:00:00.000Z</x:v>
      </x:c>
      <x:c r="V69" s="6" t="str">
        <x:v>未分配</x:v>
      </x:c>
      <x:c r="W69" s="6" t="str"/>
      <x:c r="X69" s="6" t="str"/>
      <x:c r="Y69" s="6" t="str"/>
      <x:c r="Z69" s="3" t="str"/>
    </x:row>
    <x:row r="70" ht="55" customHeight="1">
      <x:c r="A70" s="3" t="str">
        <x:v>WA-0069</x:v>
      </x:c>
      <x:c r="B70" s="3" t="str">
        <x:v>Spider 2.0: Evaluating Language Models on Real-World Enterprise Text-to-SQL Workflows</x:v>
      </x:c>
      <x:c r="C70" s="3" t="str">
        <x:v>Spider 2.0</x:v>
      </x:c>
      <x:c r="D70" s="4" t="n">
        <x:v>2024</x:v>
      </x:c>
      <x:c r="E70" s="7" t="str">
        <x:v>https://arxiv.org/abs/2411.07763</x:v>
      </x:c>
      <x:c r="F70" s="3" t="str">
        <x:v>University of Hong Kong; Salesforce Research; Sea AI Lab; Google DeepMind; Google Cloud AI Research; University of Waterloo</x:v>
      </x:c>
      <x:c r="G70" s="3" t="str">
        <x:v>Benchmark</x:v>
      </x:c>
      <x:c r="H70" s="3" t="str">
        <x:v>tool-enterprise</x:v>
      </x:c>
      <x:c r="I70" s="3" t="str">
        <x:v>enterprise text-to-SQL workflow</x:v>
      </x:c>
      <x:c r="J70" s="3" t="str">
        <x:v>perception;reasoning;execution</x:v>
      </x:c>
      <x:c r="K70" s="3" t="str"/>
      <x:c r="L70" s="3" t="str">
        <x:v>4.1;4.4;6.1</x:v>
      </x:c>
      <x:c r="M70" s="3" t="str">
        <x:v>将文本到 SQL 扩展到企业数据库、项目文件与多步骤数据处理工作流程。</x:v>
      </x:c>
      <x:c r="N70" s="7" t="str">
        <x:v>https://github.com/xlang-ai/Spider2</x:v>
      </x:c>
      <x:c r="O70" s="3" t="str"/>
      <x:c r="P70" s="3" t="str">
        <x:v>verified</x:v>
      </x:c>
      <x:c r="Q70" s="7" t="str">
        <x:v>https://arxiv.org/pdf/2411.07763</x:v>
      </x:c>
      <x:c r="R70" s="7" t="str">
        <x:v>https://arxiv.org/abs/2411.07763</x:v>
      </x:c>
      <x:c r="S70" s="3" t="str">
        <x:v>69</x:v>
      </x:c>
      <x:c r="T70" s="3" t="str">
        <x:v>survey bibliography</x:v>
      </x:c>
      <x:c r="U70" s="5" t="d">
        <x:v>2026-10-16T00:00:00.000Z</x:v>
      </x:c>
      <x:c r="V70" s="6" t="str">
        <x:v>未分配</x:v>
      </x:c>
      <x:c r="W70" s="6" t="str"/>
      <x:c r="X70" s="6" t="str"/>
      <x:c r="Y70" s="6" t="str"/>
      <x:c r="Z70" s="3" t="str"/>
    </x:row>
    <x:row r="71" ht="55" customHeight="1">
      <x:c r="A71" s="3" t="str">
        <x:v>WA-0070</x:v>
      </x:c>
      <x:c r="B71" s="3" t="str">
        <x:v>OmniParser for Pure Vision Based GUI Agent</x:v>
      </x:c>
      <x:c r="C71" s="3" t="str">
        <x:v>OmniParser</x:v>
      </x:c>
      <x:c r="D71" s="4" t="n">
        <x:v>2024</x:v>
      </x:c>
      <x:c r="E71" s="7" t="str">
        <x:v>https://arxiv.org/abs/2408.00203</x:v>
      </x:c>
      <x:c r="F71" s="3" t="str">
        <x:v>Microsoft Research; Microsoft Gen AI</x:v>
      </x:c>
      <x:c r="G71" s="3" t="str">
        <x:v>Method</x:v>
      </x:c>
      <x:c r="H71" s="3" t="str">
        <x:v>computer-use</x:v>
      </x:c>
      <x:c r="I71" s="3" t="str">
        <x:v>visual GUI parsing</x:v>
      </x:c>
      <x:c r="J71" s="3" t="str">
        <x:v>perception</x:v>
      </x:c>
      <x:c r="K71" s="3" t="str"/>
      <x:c r="L71" s="3" t="str">
        <x:v>4.1;5.3</x:v>
      </x:c>
      <x:c r="M71" s="3" t="str">
        <x:v>将屏幕图像解析为可操作界面元素及语义描述，为纯视觉 GUI 代理提供结构化观察。</x:v>
      </x:c>
      <x:c r="N71" s="3" t="str"/>
      <x:c r="O71" s="3" t="str"/>
      <x:c r="P71" s="3" t="str">
        <x:v>verified</x:v>
      </x:c>
      <x:c r="Q71" s="7" t="str">
        <x:v>https://arxiv.org/pdf/2408.00203</x:v>
      </x:c>
      <x:c r="R71" s="7" t="str">
        <x:v>https://arxiv.org/abs/2408.00203</x:v>
      </x:c>
      <x:c r="S71" s="3" t="str">
        <x:v>70</x:v>
      </x:c>
      <x:c r="T71" s="3" t="str">
        <x:v>survey bibliography</x:v>
      </x:c>
      <x:c r="U71" s="5" t="d">
        <x:v>2026-10-16T00:00:00.000Z</x:v>
      </x:c>
      <x:c r="V71" s="6" t="str">
        <x:v>未分配</x:v>
      </x:c>
      <x:c r="W71" s="6" t="str"/>
      <x:c r="X71" s="6" t="str"/>
      <x:c r="Y71" s="6" t="str"/>
      <x:c r="Z71" s="3" t="str"/>
    </x:row>
    <x:row r="72" ht="55" customHeight="1">
      <x:c r="A72" s="3" t="str">
        <x:v>WA-0071</x:v>
      </x:c>
      <x:c r="B72" s="3" t="str">
        <x:v>Agent S2: A Compositional Generalist-Specialist Framework for Computer Use Agents</x:v>
      </x:c>
      <x:c r="C72" s="3" t="str">
        <x:v>Agent S2</x:v>
      </x:c>
      <x:c r="D72" s="4" t="n">
        <x:v>2025</x:v>
      </x:c>
      <x:c r="E72" s="7" t="str">
        <x:v>https://arxiv.org/abs/2504.00906</x:v>
      </x:c>
      <x:c r="F72" s="3" t="str">
        <x:v>Simular Research</x:v>
      </x:c>
      <x:c r="G72" s="3" t="str">
        <x:v>Method;Framework</x:v>
      </x:c>
      <x:c r="H72" s="3" t="str">
        <x:v>computer-use</x:v>
      </x:c>
      <x:c r="I72" s="3" t="str">
        <x:v>generalist-specialist computer use</x:v>
      </x:c>
      <x:c r="J72" s="3" t="str">
        <x:v>perception;planning;execution</x:v>
      </x:c>
      <x:c r="K72" s="3" t="str"/>
      <x:c r="L72" s="3" t="str">
        <x:v>4.1;4.3;4.4</x:v>
      </x:c>
      <x:c r="M72" s="3" t="str">
        <x:v>组合通用规划器和专用定位等模块，提升跨应用计算机任务执行。</x:v>
      </x:c>
      <x:c r="N72" s="7" t="str">
        <x:v>https://github.com/simular-ai/Agent-S</x:v>
      </x:c>
      <x:c r="O72" s="3" t="str"/>
      <x:c r="P72" s="3" t="str">
        <x:v>verified</x:v>
      </x:c>
      <x:c r="Q72" s="7" t="str">
        <x:v>https://arxiv.org/pdf/2504.00906</x:v>
      </x:c>
      <x:c r="R72" s="7" t="str">
        <x:v>https://arxiv.org/abs/2504.00906</x:v>
      </x:c>
      <x:c r="S72" s="3" t="str">
        <x:v>71</x:v>
      </x:c>
      <x:c r="T72" s="3" t="str">
        <x:v>survey bibliography;previous README</x:v>
      </x:c>
      <x:c r="U72" s="5" t="d">
        <x:v>2026-10-16T00:00:00.000Z</x:v>
      </x:c>
      <x:c r="V72" s="6" t="str">
        <x:v>未分配</x:v>
      </x:c>
      <x:c r="W72" s="6" t="str"/>
      <x:c r="X72" s="6" t="str"/>
      <x:c r="Y72" s="6" t="str"/>
      <x:c r="Z72" s="3" t="str"/>
    </x:row>
    <x:row r="73" ht="55" customHeight="1">
      <x:c r="A73" s="3" t="str">
        <x:v>WA-0072</x:v>
      </x:c>
      <x:c r="B73" s="3" t="str">
        <x:v>AutoCodeRover: Autonomous Program Improvement</x:v>
      </x:c>
      <x:c r="C73" s="3" t="str">
        <x:v>AutoCodeRover</x:v>
      </x:c>
      <x:c r="D73" s="4" t="n">
        <x:v>2024</x:v>
      </x:c>
      <x:c r="E73" s="7" t="str">
        <x:v>https://arxiv.org/abs/2404.05427</x:v>
      </x:c>
      <x:c r="F73" s="3" t="str">
        <x:v>National University of Singapore</x:v>
      </x:c>
      <x:c r="G73" s="3" t="str">
        <x:v>Method</x:v>
      </x:c>
      <x:c r="H73" s="3" t="str">
        <x:v>swe-science</x:v>
      </x:c>
      <x:c r="I73" s="3" t="str">
        <x:v>autonomous program repair</x:v>
      </x:c>
      <x:c r="J73" s="3" t="str">
        <x:v>perception;reasoning;execution;verification</x:v>
      </x:c>
      <x:c r="K73" s="3" t="str"/>
      <x:c r="L73" s="3" t="str">
        <x:v>4.4;4.5</x:v>
      </x:c>
      <x:c r="M73" s="3" t="str">
        <x:v>利用代码结构检索与补丁验证，自动定位并修复仓库中的程序问题。</x:v>
      </x:c>
      <x:c r="N73" s="3" t="str"/>
      <x:c r="O73" s="3" t="str"/>
      <x:c r="P73" s="3" t="str">
        <x:v>verified</x:v>
      </x:c>
      <x:c r="Q73" s="7" t="str">
        <x:v>https://arxiv.org/pdf/2404.05427</x:v>
      </x:c>
      <x:c r="R73" s="7" t="str">
        <x:v>https://arxiv.org/abs/2404.05427</x:v>
      </x:c>
      <x:c r="S73" s="3" t="str">
        <x:v>72</x:v>
      </x:c>
      <x:c r="T73" s="3" t="str">
        <x:v>survey bibliography</x:v>
      </x:c>
      <x:c r="U73" s="5" t="d">
        <x:v>2026-10-16T00:00:00.000Z</x:v>
      </x:c>
      <x:c r="V73" s="6" t="str">
        <x:v>未分配</x:v>
      </x:c>
      <x:c r="W73" s="6" t="str"/>
      <x:c r="X73" s="6" t="str"/>
      <x:c r="Y73" s="6" t="str"/>
      <x:c r="Z73" s="3" t="str"/>
    </x:row>
    <x:row r="74" ht="145" customHeight="1">
      <x:c r="A74" s="3" t="str">
        <x:v>WA-0073</x:v>
      </x:c>
      <x:c r="B74" s="3" t="str">
        <x:v>Data Interpreter: An LLM Agent For Data Science</x:v>
      </x:c>
      <x:c r="C74" s="3" t="str">
        <x:v>Data Interpreter</x:v>
      </x:c>
      <x:c r="D74" s="4" t="n">
        <x:v>2024</x:v>
      </x:c>
      <x:c r="E74" s="7" t="str">
        <x:v>https://arxiv.org/abs/2402.18679</x:v>
      </x:c>
      <x:c r="F74" s="3" t="str">
        <x:v>DeepWisdom; Université de Montréal; Mila; Chinese University of Hong Kong, Shenzhen; Shenzhen University; Fudan University; Renmin University of China; Shenzhen Institute of Advanced Technology, Chinese Academy of Sciences; King Abdullah University of Science and Technology; University of Notre Dame; University of Hong Kong; Yale University; Xiamen University; East China Normal University; Beijing University of Technology; Tsinghua University; Hohai University</x:v>
      </x:c>
      <x:c r="G74" s="3" t="str">
        <x:v>Method;Framework</x:v>
      </x:c>
      <x:c r="H74" s="3" t="str">
        <x:v>swe-science</x:v>
      </x:c>
      <x:c r="I74" s="3" t="str">
        <x:v>data science agent workflow</x:v>
      </x:c>
      <x:c r="J74" s="3" t="str">
        <x:v>reasoning;planning;execution;recovery</x:v>
      </x:c>
      <x:c r="K74" s="3" t="str"/>
      <x:c r="L74" s="3" t="str">
        <x:v>4.3;4.4;5.3</x:v>
      </x:c>
      <x:c r="M74" s="3" t="str">
        <x:v>通过动态任务规划、工具构建和执行反馈迭代完成数据科学任务。</x:v>
      </x:c>
      <x:c r="N74" s="7" t="str">
        <x:v>https://github.com/geekan/MetaGPT</x:v>
      </x:c>
      <x:c r="O74" s="3" t="str"/>
      <x:c r="P74" s="3" t="str">
        <x:v>verified</x:v>
      </x:c>
      <x:c r="Q74" s="7" t="str">
        <x:v>https://arxiv.org/pdf/2402.18679</x:v>
      </x:c>
      <x:c r="R74" s="7" t="str">
        <x:v>https://arxiv.org/abs/2402.18679</x:v>
      </x:c>
      <x:c r="S74" s="3" t="str">
        <x:v>73</x:v>
      </x:c>
      <x:c r="T74" s="3" t="str">
        <x:v>survey bibliography</x:v>
      </x:c>
      <x:c r="U74" s="5" t="d">
        <x:v>2026-10-16T00:00:00.000Z</x:v>
      </x:c>
      <x:c r="V74" s="6" t="str">
        <x:v>未分配</x:v>
      </x:c>
      <x:c r="W74" s="6" t="str"/>
      <x:c r="X74" s="6" t="str"/>
      <x:c r="Y74" s="6" t="str"/>
      <x:c r="Z74" s="3" t="str"/>
    </x:row>
    <x:row r="75" ht="55" customHeight="1">
      <x:c r="A75" s="3" t="str">
        <x:v>WA-0074</x:v>
      </x:c>
      <x:c r="B75" s="3" t="str">
        <x:v>ConvFinQA: Exploring the Chain of Numerical Reasoning in Conversational Finance Question Answering</x:v>
      </x:c>
      <x:c r="C75" s="3" t="str">
        <x:v>ConvFinQA</x:v>
      </x:c>
      <x:c r="D75" s="4" t="n">
        <x:v>2022</x:v>
      </x:c>
      <x:c r="E75" s="7" t="str">
        <x:v>https://arxiv.org/abs/2210.03849</x:v>
      </x:c>
      <x:c r="F75" s="3" t="str">
        <x:v>University of California, Santa Barbara; J.P. Morgan</x:v>
      </x:c>
      <x:c r="G75" s="3" t="str">
        <x:v>Benchmark</x:v>
      </x:c>
      <x:c r="H75" s="3" t="str">
        <x:v>related</x:v>
      </x:c>
      <x:c r="I75" s="3" t="str">
        <x:v>conversational financial reasoning</x:v>
      </x:c>
      <x:c r="J75" s="3" t="str">
        <x:v>reasoning;memory</x:v>
      </x:c>
      <x:c r="K75" s="3" t="str"/>
      <x:c r="L75" s="3" t="str">
        <x:v>4.1;4.2</x:v>
      </x:c>
      <x:c r="M75" s="3" t="str">
        <x:v>把财务数值推理扩展到多轮对话，要求模型追踪并复用前文计算结果。</x:v>
      </x:c>
      <x:c r="N75" s="7" t="str">
        <x:v>https://github.com/czyssrs/ConvFinQA</x:v>
      </x:c>
      <x:c r="O75" s="3" t="str"/>
      <x:c r="P75" s="3" t="str">
        <x:v>verified</x:v>
      </x:c>
      <x:c r="Q75" s="7" t="str">
        <x:v>https://arxiv.org/pdf/2210.03849</x:v>
      </x:c>
      <x:c r="R75" s="7" t="str">
        <x:v>https://arxiv.org/abs/2210.03849</x:v>
      </x:c>
      <x:c r="S75" s="3" t="str">
        <x:v>74</x:v>
      </x:c>
      <x:c r="T75" s="3" t="str">
        <x:v>survey bibliography</x:v>
      </x:c>
      <x:c r="U75" s="5" t="d">
        <x:v>2026-10-16T00:00:00.000Z</x:v>
      </x:c>
      <x:c r="V75" s="6" t="str">
        <x:v>未分配</x:v>
      </x:c>
      <x:c r="W75" s="6" t="str"/>
      <x:c r="X75" s="6" t="str"/>
      <x:c r="Y75" s="6" t="str"/>
      <x:c r="Z75" s="3" t="str"/>
    </x:row>
    <x:row r="76" ht="55" customHeight="1">
      <x:c r="A76" s="3" t="str">
        <x:v>WA-0075</x:v>
      </x:c>
      <x:c r="B76" s="3" t="str">
        <x:v>Finance Agent Benchmark: Benchmarking LLMs on Real-world Financial Research Tasks</x:v>
      </x:c>
      <x:c r="C76" s="3" t="str">
        <x:v>Finance Agent Benchmark</x:v>
      </x:c>
      <x:c r="D76" s="4" t="n">
        <x:v>2025</x:v>
      </x:c>
      <x:c r="E76" s="7" t="str">
        <x:v>https://arxiv.org/abs/2508.00828</x:v>
      </x:c>
      <x:c r="F76" s="3" t="str">
        <x:v>Vals AI; Stanford University</x:v>
      </x:c>
      <x:c r="G76" s="3" t="str">
        <x:v>Benchmark</x:v>
      </x:c>
      <x:c r="H76" s="3" t="str">
        <x:v>related</x:v>
      </x:c>
      <x:c r="I76" s="3" t="str">
        <x:v>financial research</x:v>
      </x:c>
      <x:c r="J76" s="3" t="str">
        <x:v>perception;reasoning;execution</x:v>
      </x:c>
      <x:c r="K76" s="3" t="str"/>
      <x:c r="L76" s="3" t="str">
        <x:v>3.1;4.2;6.1</x:v>
      </x:c>
      <x:c r="M76" s="3" t="str">
        <x:v>用真实金融研究问题与证据检索评估代理面向财报的研究能力。</x:v>
      </x:c>
      <x:c r="N76" s="3" t="str"/>
      <x:c r="O76" s="3" t="str"/>
      <x:c r="P76" s="3" t="str">
        <x:v>verified</x:v>
      </x:c>
      <x:c r="Q76" s="7" t="str">
        <x:v>https://arxiv.org/pdf/2508.00828</x:v>
      </x:c>
      <x:c r="R76" s="7" t="str">
        <x:v>https://arxiv.org/abs/2508.00828</x:v>
      </x:c>
      <x:c r="S76" s="3" t="str">
        <x:v>75</x:v>
      </x:c>
      <x:c r="T76" s="3" t="str">
        <x:v>survey bibliography</x:v>
      </x:c>
      <x:c r="U76" s="5" t="d">
        <x:v>2026-10-16T00:00:00.000Z</x:v>
      </x:c>
      <x:c r="V76" s="6" t="str">
        <x:v>未分配</x:v>
      </x:c>
      <x:c r="W76" s="6" t="str"/>
      <x:c r="X76" s="6" t="str"/>
      <x:c r="Y76" s="6" t="str"/>
      <x:c r="Z76" s="3" t="str"/>
    </x:row>
    <x:row r="77" ht="55" customHeight="1">
      <x:c r="A77" s="3" t="str">
        <x:v>WA-0076</x:v>
      </x:c>
      <x:c r="B77" s="3" t="str">
        <x:v>LawBench: Benchmarking Legal Knowledge of Large Language Models</x:v>
      </x:c>
      <x:c r="C77" s="3" t="str">
        <x:v>LawBench</x:v>
      </x:c>
      <x:c r="D77" s="4" t="n">
        <x:v>2023</x:v>
      </x:c>
      <x:c r="E77" s="7" t="str">
        <x:v>https://arxiv.org/abs/2309.16289</x:v>
      </x:c>
      <x:c r="F77" s="3" t="str">
        <x:v>Nanjing University; Amazon Alexa AI; Saarland University; Shanghai AI Laboratory</x:v>
      </x:c>
      <x:c r="G77" s="3" t="str">
        <x:v>Benchmark</x:v>
      </x:c>
      <x:c r="H77" s="3" t="str">
        <x:v>related</x:v>
      </x:c>
      <x:c r="I77" s="3" t="str">
        <x:v>legal knowledge and reasoning</x:v>
      </x:c>
      <x:c r="J77" s="3" t="str">
        <x:v>reasoning</x:v>
      </x:c>
      <x:c r="K77" s="3" t="str"/>
      <x:c r="L77" s="3" t="str">
        <x:v>3.1;6.1</x:v>
      </x:c>
      <x:c r="M77" s="3" t="str">
        <x:v>从法律知识记忆、理解及应用等层面系统检验语言模型法律能力。</x:v>
      </x:c>
      <x:c r="N77" s="7" t="str">
        <x:v>https://github.com/open-compass/LawBench</x:v>
      </x:c>
      <x:c r="O77" s="3" t="str"/>
      <x:c r="P77" s="3" t="str">
        <x:v>verified</x:v>
      </x:c>
      <x:c r="Q77" s="7" t="str">
        <x:v>https://arxiv.org/pdf/2309.16289</x:v>
      </x:c>
      <x:c r="R77" s="7" t="str">
        <x:v>https://arxiv.org/abs/2309.16289</x:v>
      </x:c>
      <x:c r="S77" s="3" t="str">
        <x:v>76</x:v>
      </x:c>
      <x:c r="T77" s="3" t="str">
        <x:v>survey bibliography</x:v>
      </x:c>
      <x:c r="U77" s="5" t="d">
        <x:v>2026-10-16T00:00:00.000Z</x:v>
      </x:c>
      <x:c r="V77" s="6" t="str">
        <x:v>未分配</x:v>
      </x:c>
      <x:c r="W77" s="6" t="str"/>
      <x:c r="X77" s="6" t="str"/>
      <x:c r="Y77" s="6" t="str"/>
      <x:c r="Z77" s="3" t="str"/>
    </x:row>
    <x:row r="78" ht="55" customHeight="1">
      <x:c r="A78" s="3" t="str">
        <x:v>WA-0077</x:v>
      </x:c>
      <x:c r="B78" s="3" t="str">
        <x:v>HealthAgentBench: A Unified Benchmark Suite of Realistic Agentic Healthcare Environments for Challenging Frontier AI Agents</x:v>
      </x:c>
      <x:c r="C78" s="3" t="str">
        <x:v>HealthAgentBench</x:v>
      </x:c>
      <x:c r="D78" s="4" t="n">
        <x:v>2026</x:v>
      </x:c>
      <x:c r="E78" s="7" t="str">
        <x:v>https://arxiv.org/abs/2606.31179</x:v>
      </x:c>
      <x:c r="F78" s="3" t="str">
        <x:v>Microsoft Research</x:v>
      </x:c>
      <x:c r="G78" s="3" t="str">
        <x:v>Benchmark</x:v>
      </x:c>
      <x:c r="H78" s="3" t="str">
        <x:v>tool-enterprise</x:v>
      </x:c>
      <x:c r="I78" s="3" t="str">
        <x:v>healthcare agent environments</x:v>
      </x:c>
      <x:c r="J78" s="3" t="str">
        <x:v>reasoning;planning;execution;state-management</x:v>
      </x:c>
      <x:c r="K78" s="3" t="str"/>
      <x:c r="L78" s="3" t="str">
        <x:v>3.4;6.1</x:v>
      </x:c>
      <x:c r="M78" s="3" t="str">
        <x:v>将多个真实感医疗工作环境统一为挑战性代理评测，检验医疗工具与流程执行。</x:v>
      </x:c>
      <x:c r="N78" s="7" t="str">
        <x:v>https://github.com/microsoft/HealthAgentBench</x:v>
      </x:c>
      <x:c r="O78" s="3" t="str"/>
      <x:c r="P78" s="3" t="str">
        <x:v>verified</x:v>
      </x:c>
      <x:c r="Q78" s="7" t="str">
        <x:v>https://arxiv.org/pdf/2606.31179</x:v>
      </x:c>
      <x:c r="R78" s="7" t="str">
        <x:v>https://arxiv.org/abs/2606.31179</x:v>
      </x:c>
      <x:c r="S78" s="3" t="str">
        <x:v>77</x:v>
      </x:c>
      <x:c r="T78" s="3" t="str">
        <x:v>survey bibliography</x:v>
      </x:c>
      <x:c r="U78" s="5" t="d">
        <x:v>2026-10-16T00:00:00.000Z</x:v>
      </x:c>
      <x:c r="V78" s="6" t="str">
        <x:v>未分配</x:v>
      </x:c>
      <x:c r="W78" s="6" t="str"/>
      <x:c r="X78" s="6" t="str"/>
      <x:c r="Y78" s="6" t="str"/>
      <x:c r="Z78" s="3" t="str"/>
    </x:row>
    <x:row r="79" ht="55" customHeight="1">
      <x:c r="A79" s="3" t="str">
        <x:v>WA-0078</x:v>
      </x:c>
      <x:c r="B79" s="3" t="str">
        <x:v>DiscoveryBench: Towards Data-Driven Discovery with Large Language Models</x:v>
      </x:c>
      <x:c r="C79" s="3" t="str">
        <x:v>DiscoveryBench</x:v>
      </x:c>
      <x:c r="D79" s="4" t="n">
        <x:v>2024</x:v>
      </x:c>
      <x:c r="E79" s="7" t="str">
        <x:v>https://arxiv.org/abs/2407.01725</x:v>
      </x:c>
      <x:c r="F79" s="3" t="str">
        <x:v>Allen Institute for AI; OpenLocus; University of Massachusetts Amherst</x:v>
      </x:c>
      <x:c r="G79" s="3" t="str">
        <x:v>Benchmark</x:v>
      </x:c>
      <x:c r="H79" s="3" t="str">
        <x:v>swe-science</x:v>
      </x:c>
      <x:c r="I79" s="3" t="str">
        <x:v>data-driven discovery</x:v>
      </x:c>
      <x:c r="J79" s="3" t="str">
        <x:v>perception;reasoning;execution</x:v>
      </x:c>
      <x:c r="K79" s="3" t="str"/>
      <x:c r="L79" s="3" t="str">
        <x:v>4.2;6.1</x:v>
      </x:c>
      <x:c r="M79" s="3" t="str">
        <x:v>通过真实与合成数据集评估代理提出并验证数据驱动发现的能力。</x:v>
      </x:c>
      <x:c r="N79" s="7" t="str">
        <x:v>https://github.com/allenai/discoverybench</x:v>
      </x:c>
      <x:c r="O79" s="7" t="str">
        <x:v>https://huggingface.co/datasets/allenai/discoverybench</x:v>
      </x:c>
      <x:c r="P79" s="3" t="str">
        <x:v>verified</x:v>
      </x:c>
      <x:c r="Q79" s="7" t="str">
        <x:v>https://arxiv.org/pdf/2407.01725</x:v>
      </x:c>
      <x:c r="R79" s="7" t="str">
        <x:v>https://arxiv.org/abs/2407.01725</x:v>
      </x:c>
      <x:c r="S79" s="3" t="str">
        <x:v>78</x:v>
      </x:c>
      <x:c r="T79" s="3" t="str">
        <x:v>survey bibliography</x:v>
      </x:c>
      <x:c r="U79" s="5" t="d">
        <x:v>2026-10-16T00:00:00.000Z</x:v>
      </x:c>
      <x:c r="V79" s="6" t="str">
        <x:v>未分配</x:v>
      </x:c>
      <x:c r="W79" s="6" t="str"/>
      <x:c r="X79" s="6" t="str"/>
      <x:c r="Y79" s="6" t="str"/>
      <x:c r="Z79" s="3" t="str"/>
    </x:row>
    <x:row r="80" ht="55" customHeight="1">
      <x:c r="A80" s="3" t="str">
        <x:v>WA-0079</x:v>
      </x:c>
      <x:c r="B80" s="3" t="str">
        <x:v>Terminal-Bench: Benchmarking Agents on Hard, Realistic Tasks in Command Line Interfaces</x:v>
      </x:c>
      <x:c r="C80" s="3" t="str">
        <x:v>Terminal-Bench</x:v>
      </x:c>
      <x:c r="D80" s="4" t="n">
        <x:v>2026</x:v>
      </x:c>
      <x:c r="E80" s="7" t="str">
        <x:v>https://arxiv.org/abs/2601.11868</x:v>
      </x:c>
      <x:c r="F80" s="3" t="str">
        <x:v>Stanford University; Laude Institute; Anthropic</x:v>
      </x:c>
      <x:c r="G80" s="3" t="str">
        <x:v>Benchmark</x:v>
      </x:c>
      <x:c r="H80" s="3" t="str">
        <x:v>computer-use</x:v>
      </x:c>
      <x:c r="I80" s="3" t="str">
        <x:v>terminal task execution</x:v>
      </x:c>
      <x:c r="J80" s="3" t="str">
        <x:v>planning;execution;state-management;verification</x:v>
      </x:c>
      <x:c r="K80" s="3" t="str"/>
      <x:c r="L80" s="3" t="str">
        <x:v>4.4;6.1;6.4</x:v>
      </x:c>
      <x:c r="M80" s="3" t="str">
        <x:v>以高难度真实命令行任务和可检查结果评估终端代理的端到端能力。</x:v>
      </x:c>
      <x:c r="N80" s="7" t="str">
        <x:v>https://github.com/harbor-framework/terminal-bench</x:v>
      </x:c>
      <x:c r="O80" s="3" t="str"/>
      <x:c r="P80" s="3" t="str">
        <x:v>verified</x:v>
      </x:c>
      <x:c r="Q80" s="7" t="str">
        <x:v>https://arxiv.org/pdf/2601.11868</x:v>
      </x:c>
      <x:c r="R80" s="7" t="str">
        <x:v>https://arxiv.org/abs/2601.11868</x:v>
      </x:c>
      <x:c r="S80" s="3" t="str">
        <x:v>79</x:v>
      </x:c>
      <x:c r="T80" s="3" t="str">
        <x:v>survey bibliography</x:v>
      </x:c>
      <x:c r="U80" s="5" t="d">
        <x:v>2026-10-16T00:00:00.000Z</x:v>
      </x:c>
      <x:c r="V80" s="6" t="str">
        <x:v>未分配</x:v>
      </x:c>
      <x:c r="W80" s="6" t="str"/>
      <x:c r="X80" s="6" t="str"/>
      <x:c r="Y80" s="6" t="str"/>
      <x:c r="Z80" s="3" t="str">
        <x:v>仅列首页主要牵头/参与单位；论文包含大规模跨机构作者，完整名单见原文首页。</x:v>
      </x:c>
    </x:row>
    <x:row r="81" ht="55" customHeight="1">
      <x:c r="A81" s="3" t="str">
        <x:v>WA-0080</x:v>
      </x:c>
      <x:c r="B81" s="3" t="str">
        <x:v>Executable Code Actions Elicit Better LLM Agents</x:v>
      </x:c>
      <x:c r="C81" s="3" t="str">
        <x:v>CodeAct</x:v>
      </x:c>
      <x:c r="D81" s="4" t="n">
        <x:v>2024</x:v>
      </x:c>
      <x:c r="E81" s="7" t="str">
        <x:v>https://arxiv.org/abs/2402.01030</x:v>
      </x:c>
      <x:c r="F81" s="3" t="str">
        <x:v>University of Illinois Urbana-Champaign; Apple</x:v>
      </x:c>
      <x:c r="G81" s="3" t="str">
        <x:v>Method</x:v>
      </x:c>
      <x:c r="H81" s="3" t="str">
        <x:v>tool-enterprise</x:v>
      </x:c>
      <x:c r="I81" s="3" t="str">
        <x:v>Executable code action interface</x:v>
      </x:c>
      <x:c r="J81" s="3" t="str">
        <x:v>reasoning;planning;execution;recovery;learning</x:v>
      </x:c>
      <x:c r="K81" s="3" t="str"/>
      <x:c r="L81" s="3" t="str">
        <x:v>4.2;4.4</x:v>
      </x:c>
      <x:c r="M81" s="3" t="str">
        <x:v>以可执行 Python 统一动作空间，支持工具组合和交互式纠错，并构建 CodeActInstruct。</x:v>
      </x:c>
      <x:c r="N81" s="7" t="str">
        <x:v>https://github.com/xingyaoww/code-act</x:v>
      </x:c>
      <x:c r="O81" s="3" t="str"/>
      <x:c r="P81" s="3" t="str">
        <x:v>verified</x:v>
      </x:c>
      <x:c r="Q81" s="7" t="str">
        <x:v>https://arxiv.org/html/2402.01030v4</x:v>
      </x:c>
      <x:c r="R81" s="7" t="str">
        <x:v>https://arxiv.org/abs/2402.01030</x:v>
      </x:c>
      <x:c r="S81" s="3" t="str">
        <x:v>80</x:v>
      </x:c>
      <x:c r="T81" s="3" t="str">
        <x:v>survey bibliography</x:v>
      </x:c>
      <x:c r="U81" s="5" t="d">
        <x:v>2026-10-16T00:00:00.000Z</x:v>
      </x:c>
      <x:c r="V81" s="6" t="str">
        <x:v>未分配</x:v>
      </x:c>
      <x:c r="W81" s="6" t="str"/>
      <x:c r="X81" s="6" t="str"/>
      <x:c r="Y81" s="6" t="str"/>
      <x:c r="Z81" s="3" t="str"/>
    </x:row>
    <x:row r="82" ht="55" customHeight="1">
      <x:c r="A82" s="3" t="str">
        <x:v>WA-0081</x:v>
      </x:c>
      <x:c r="B82" s="3" t="str">
        <x:v>ReAct: Synergizing Reasoning and Acting in Language Models</x:v>
      </x:c>
      <x:c r="C82" s="3" t="str">
        <x:v>ReAct</x:v>
      </x:c>
      <x:c r="D82" s="4" t="n">
        <x:v>2022</x:v>
      </x:c>
      <x:c r="E82" s="7" t="str">
        <x:v>https://arxiv.org/abs/2210.03629</x:v>
      </x:c>
      <x:c r="F82" s="3" t="str">
        <x:v>Princeton University; Google Research, Brain Team</x:v>
      </x:c>
      <x:c r="G82" s="3" t="str">
        <x:v>Method</x:v>
      </x:c>
      <x:c r="H82" s="3" t="str">
        <x:v>tool-enterprise</x:v>
      </x:c>
      <x:c r="I82" s="3" t="str">
        <x:v>Interleaved reasoning and acting</x:v>
      </x:c>
      <x:c r="J82" s="3" t="str">
        <x:v>reasoning;planning;execution;recovery</x:v>
      </x:c>
      <x:c r="K82" s="3" t="str"/>
      <x:c r="L82" s="3" t="str">
        <x:v>4.2</x:v>
      </x:c>
      <x:c r="M82" s="3" t="str">
        <x:v>将推理轨迹与环境动作交替生成，用新观测更新计划并缓解错误传播。</x:v>
      </x:c>
      <x:c r="N82" s="7" t="str">
        <x:v>https://github.com/ysymyth/ReAct</x:v>
      </x:c>
      <x:c r="O82" s="3" t="str"/>
      <x:c r="P82" s="3" t="str">
        <x:v>verified</x:v>
      </x:c>
      <x:c r="Q82" s="7" t="str">
        <x:v>https://arxiv.org/html/2210.03629v3</x:v>
      </x:c>
      <x:c r="R82" s="7" t="str">
        <x:v>https://arxiv.org/abs/2210.03629</x:v>
      </x:c>
      <x:c r="S82" s="3" t="str">
        <x:v>81</x:v>
      </x:c>
      <x:c r="T82" s="3" t="str">
        <x:v>survey bibliography</x:v>
      </x:c>
      <x:c r="U82" s="5" t="d">
        <x:v>2026-10-16T00:00:00.000Z</x:v>
      </x:c>
      <x:c r="V82" s="6" t="str">
        <x:v>未分配</x:v>
      </x:c>
      <x:c r="W82" s="6" t="str"/>
      <x:c r="X82" s="6" t="str"/>
      <x:c r="Y82" s="6" t="str"/>
      <x:c r="Z82" s="3" t="str"/>
    </x:row>
    <x:row r="83" ht="55" customHeight="1">
      <x:c r="A83" s="3" t="str">
        <x:v>WA-0082</x:v>
      </x:c>
      <x:c r="B83" s="3" t="str">
        <x:v>Agent Workflow Memory</x:v>
      </x:c>
      <x:c r="C83" s="3" t="str">
        <x:v>AWM</x:v>
      </x:c>
      <x:c r="D83" s="4" t="n">
        <x:v>2024</x:v>
      </x:c>
      <x:c r="E83" s="7" t="str">
        <x:v>https://arxiv.org/abs/2409.07429</x:v>
      </x:c>
      <x:c r="F83" s="3" t="str">
        <x:v>Carnegie Mellon University; Massachusetts Institute of Technology</x:v>
      </x:c>
      <x:c r="G83" s="3" t="str">
        <x:v>Method</x:v>
      </x:c>
      <x:c r="H83" s="3" t="str">
        <x:v>harness</x:v>
      </x:c>
      <x:c r="I83" s="3" t="str">
        <x:v>Workflow induction and procedural memory</x:v>
      </x:c>
      <x:c r="J83" s="3" t="str">
        <x:v>planning;memory;execution;learning</x:v>
      </x:c>
      <x:c r="K83" s="3" t="str">
        <x:v>memory-skill</x:v>
      </x:c>
      <x:c r="L83" s="3" t="str">
        <x:v>4.3;7.2.3</x:v>
      </x:c>
      <x:c r="M83" s="3" t="str">
        <x:v>从历史网页任务轨迹归纳可复用工作流，并按需检索指导后续行动。</x:v>
      </x:c>
      <x:c r="N83" s="7" t="str">
        <x:v>https://github.com/zorazrw/agent-workflow-memory</x:v>
      </x:c>
      <x:c r="O83" s="3" t="str"/>
      <x:c r="P83" s="3" t="str">
        <x:v>verified</x:v>
      </x:c>
      <x:c r="Q83" s="7" t="str">
        <x:v>https://arxiv.org/html/2409.07429v1</x:v>
      </x:c>
      <x:c r="R83" s="7" t="str">
        <x:v>https://arxiv.org/abs/2409.07429</x:v>
      </x:c>
      <x:c r="S83" s="3" t="str">
        <x:v>82</x:v>
      </x:c>
      <x:c r="T83" s="3" t="str">
        <x:v>survey bibliography</x:v>
      </x:c>
      <x:c r="U83" s="5" t="d">
        <x:v>2026-10-16T00:00:00.000Z</x:v>
      </x:c>
      <x:c r="V83" s="6" t="str">
        <x:v>未分配</x:v>
      </x:c>
      <x:c r="W83" s="6" t="str"/>
      <x:c r="X83" s="6" t="str"/>
      <x:c r="Y83" s="6" t="str"/>
      <x:c r="Z83" s="3" t="str"/>
    </x:row>
    <x:row r="84" ht="85" customHeight="1">
      <x:c r="A84" s="3" t="str">
        <x:v>WA-0083</x:v>
      </x:c>
      <x:c r="B84" s="3" t="str">
        <x:v>OpenHands: An Open Platform for AI Software Developers as Generalist Agents</x:v>
      </x:c>
      <x:c r="C84" s="3" t="str">
        <x:v>OpenHands</x:v>
      </x:c>
      <x:c r="D84" s="4" t="n">
        <x:v>2024</x:v>
      </x:c>
      <x:c r="E84" s="7" t="str">
        <x:v>https://arxiv.org/abs/2407.16741</x:v>
      </x:c>
      <x:c r="F84" s="3" t="str">
        <x:v>University of Illinois Urbana-Champaign; Carnegie Mellon University; Yale University; UC Berkeley; Contextual AI; KAUST; Australian National University; Ho Chi Minh City University of Technology; Alibaba; All Hands AI</x:v>
      </x:c>
      <x:c r="G84" s="3" t="str">
        <x:v>Framework</x:v>
      </x:c>
      <x:c r="H84" s="3" t="str">
        <x:v>harness</x:v>
      </x:c>
      <x:c r="I84" s="3" t="str">
        <x:v>Sandboxed generalist developer platform</x:v>
      </x:c>
      <x:c r="J84" s="3" t="str">
        <x:v>planning;coordination;execution;state-management;verification</x:v>
      </x:c>
      <x:c r="K84" s="3" t="str"/>
      <x:c r="L84" s="3" t="str">
        <x:v>4.4;6.4</x:v>
      </x:c>
      <x:c r="M84" s="3" t="str">
        <x:v>提供代码、终端与浏览器动作，以及沙箱、多智能体协作和统一评测接入。</x:v>
      </x:c>
      <x:c r="N84" s="7" t="str">
        <x:v>https://github.com/OpenHands/OpenHands</x:v>
      </x:c>
      <x:c r="O84" s="3" t="str"/>
      <x:c r="P84" s="3" t="str">
        <x:v>verified</x:v>
      </x:c>
      <x:c r="Q84" s="7" t="str">
        <x:v>https://arxiv.org/html/2407.16741v3</x:v>
      </x:c>
      <x:c r="R84" s="7" t="str">
        <x:v>https://arxiv.org/abs/2407.16741</x:v>
      </x:c>
      <x:c r="S84" s="3" t="str">
        <x:v>83</x:v>
      </x:c>
      <x:c r="T84" s="3" t="str">
        <x:v>survey bibliography</x:v>
      </x:c>
      <x:c r="U84" s="5" t="d">
        <x:v>2026-10-16T00:00:00.000Z</x:v>
      </x:c>
      <x:c r="V84" s="6" t="str">
        <x:v>未分配</x:v>
      </x:c>
      <x:c r="W84" s="6" t="str"/>
      <x:c r="X84" s="6" t="str"/>
      <x:c r="Y84" s="6" t="str"/>
      <x:c r="Z84" s="3" t="str">
        <x:v>机构按论文署名列表记录，不按当前项目维护者反推。</x:v>
      </x:c>
    </x:row>
    <x:row r="85" ht="55" customHeight="1">
      <x:c r="A85" s="3" t="str">
        <x:v>WA-0084</x:v>
      </x:c>
      <x:c r="B85" s="3" t="str">
        <x:v>UFO2: The Desktop AgentOS</x:v>
      </x:c>
      <x:c r="C85" s="3" t="str">
        <x:v>UFO2</x:v>
      </x:c>
      <x:c r="D85" s="4" t="n">
        <x:v>2025</x:v>
      </x:c>
      <x:c r="E85" s="7" t="str">
        <x:v>https://arxiv.org/abs/2504.14603</x:v>
      </x:c>
      <x:c r="F85" s="3" t="str">
        <x:v>Microsoft; ZJU-UIUC Institute; Nanjing University; Peking University</x:v>
      </x:c>
      <x:c r="G85" s="3" t="str">
        <x:v>Method;Framework</x:v>
      </x:c>
      <x:c r="H85" s="3" t="str">
        <x:v>computer-use</x:v>
      </x:c>
      <x:c r="I85" s="3" t="str">
        <x:v>OS-integrated multi-application desktop agent</x:v>
      </x:c>
      <x:c r="J85" s="3" t="str">
        <x:v>perception;planning;coordination;execution;state-management</x:v>
      </x:c>
      <x:c r="K85" s="3" t="str"/>
      <x:c r="L85" s="3" t="str">
        <x:v>4.4</x:v>
      </x:c>
      <x:c r="M85" s="3" t="str">
        <x:v>以 HostAgent/AppAgent 分工和统一 GUI–API 动作层组织 Windows 跨应用自动化。</x:v>
      </x:c>
      <x:c r="N85" s="7" t="str">
        <x:v>https://github.com/microsoft/UFO/</x:v>
      </x:c>
      <x:c r="O85" s="3" t="str"/>
      <x:c r="P85" s="3" t="str">
        <x:v>verified</x:v>
      </x:c>
      <x:c r="Q85" s="7" t="str">
        <x:v>https://arxiv.org/html/2504.14603v2</x:v>
      </x:c>
      <x:c r="R85" s="7" t="str">
        <x:v>https://arxiv.org/abs/2504.14603</x:v>
      </x:c>
      <x:c r="S85" s="3" t="str">
        <x:v>84</x:v>
      </x:c>
      <x:c r="T85" s="3" t="str">
        <x:v>survey bibliography</x:v>
      </x:c>
      <x:c r="U85" s="5" t="d">
        <x:v>2026-10-16T00:00:00.000Z</x:v>
      </x:c>
      <x:c r="V85" s="6" t="str">
        <x:v>未分配</x:v>
      </x:c>
      <x:c r="W85" s="6" t="str"/>
      <x:c r="X85" s="6" t="str"/>
      <x:c r="Y85" s="6" t="str"/>
      <x:c r="Z85" s="3" t="str"/>
    </x:row>
    <x:row r="86" ht="55" customHeight="1">
      <x:c r="A86" s="3" t="str">
        <x:v>WA-0085</x:v>
      </x:c>
      <x:c r="B86" s="3" t="str">
        <x:v>MemGPT: Towards LLMs as Operating Systems</x:v>
      </x:c>
      <x:c r="C86" s="3" t="str">
        <x:v>MemGPT</x:v>
      </x:c>
      <x:c r="D86" s="4" t="n">
        <x:v>2023</x:v>
      </x:c>
      <x:c r="E86" s="7" t="str">
        <x:v>https://arxiv.org/abs/2310.08560</x:v>
      </x:c>
      <x:c r="F86" s="3" t="str">
        <x:v>University of California, Berkeley</x:v>
      </x:c>
      <x:c r="G86" s="3" t="str">
        <x:v>Method;Framework</x:v>
      </x:c>
      <x:c r="H86" s="3" t="str">
        <x:v>persistent</x:v>
      </x:c>
      <x:c r="I86" s="3" t="str">
        <x:v>Hierarchical virtual context management</x:v>
      </x:c>
      <x:c r="J86" s="3" t="str">
        <x:v>memory;state-management;execution</x:v>
      </x:c>
      <x:c r="K86" s="3" t="str"/>
      <x:c r="L86" s="3" t="str">
        <x:v>4.4;7.2.1</x:v>
      </x:c>
      <x:c r="M86" s="3" t="str">
        <x:v>借鉴操作系统分层存储与中断机制，让有限上下文模型管理外部长期记忆。</x:v>
      </x:c>
      <x:c r="N86" s="7" t="str">
        <x:v>https://github.com/letta-ai/letta</x:v>
      </x:c>
      <x:c r="O86" s="3" t="str"/>
      <x:c r="P86" s="3" t="str">
        <x:v>verified</x:v>
      </x:c>
      <x:c r="Q86" s="7" t="str">
        <x:v>https://arxiv.org/html/2310.08560v2</x:v>
      </x:c>
      <x:c r="R86" s="7" t="str">
        <x:v>https://arxiv.org/abs/2310.08560</x:v>
      </x:c>
      <x:c r="S86" s="3" t="str">
        <x:v>85</x:v>
      </x:c>
      <x:c r="T86" s="3" t="str">
        <x:v>survey bibliography</x:v>
      </x:c>
      <x:c r="U86" s="5" t="d">
        <x:v>2026-10-16T00:00:00.000Z</x:v>
      </x:c>
      <x:c r="V86" s="6" t="str">
        <x:v>未分配</x:v>
      </x:c>
      <x:c r="W86" s="6" t="str"/>
      <x:c r="X86" s="6" t="str"/>
      <x:c r="Y86" s="6" t="str"/>
      <x:c r="Z86" s="3" t="str">
        <x:v>以长文档和多会话对话为主要验证场景；并非工作承诺持久化基准。</x:v>
      </x:c>
    </x:row>
    <x:row r="87" ht="55" customHeight="1">
      <x:c r="A87" s="3" t="str">
        <x:v>WA-0086</x:v>
      </x:c>
      <x:c r="B87" s="3" t="str">
        <x:v>Mem0: Building Production-Ready AI Agents with Scalable Long-Term Memory</x:v>
      </x:c>
      <x:c r="C87" s="3" t="str">
        <x:v>Mem0</x:v>
      </x:c>
      <x:c r="D87" s="4" t="n">
        <x:v>2025</x:v>
      </x:c>
      <x:c r="E87" s="7" t="str">
        <x:v>https://arxiv.org/abs/2504.19413</x:v>
      </x:c>
      <x:c r="F87" s="3" t="str">
        <x:v>Mem0.ai</x:v>
      </x:c>
      <x:c r="G87" s="3" t="str">
        <x:v>Method;Framework</x:v>
      </x:c>
      <x:c r="H87" s="3" t="str">
        <x:v>persistent</x:v>
      </x:c>
      <x:c r="I87" s="3" t="str">
        <x:v>Long-term conversational memory consolidation</x:v>
      </x:c>
      <x:c r="J87" s="3" t="str">
        <x:v>memory;state-management</x:v>
      </x:c>
      <x:c r="K87" s="3" t="str"/>
      <x:c r="L87" s="3" t="str">
        <x:v>4.4</x:v>
      </x:c>
      <x:c r="M87" s="3" t="str">
        <x:v>动态抽取、合并和检索会话事实，并以图记忆表示事实间关系。</x:v>
      </x:c>
      <x:c r="N87" s="7" t="str">
        <x:v>https://github.com/mem0ai/mem0</x:v>
      </x:c>
      <x:c r="O87" s="3" t="str"/>
      <x:c r="P87" s="3" t="str">
        <x:v>verified</x:v>
      </x:c>
      <x:c r="Q87" s="7" t="str">
        <x:v>https://journals.sagepub.com/doi/epdf/10.3233/FAIA251160</x:v>
      </x:c>
      <x:c r="R87" s="7" t="str">
        <x:v>https://arxiv.org/abs/2504.19413</x:v>
      </x:c>
      <x:c r="S87" s="3" t="str">
        <x:v>86</x:v>
      </x:c>
      <x:c r="T87" s="3" t="str">
        <x:v>survey bibliography</x:v>
      </x:c>
      <x:c r="U87" s="5" t="d">
        <x:v>2026-10-16T00:00:00.000Z</x:v>
      </x:c>
      <x:c r="V87" s="6" t="str">
        <x:v>未分配</x:v>
      </x:c>
      <x:c r="W87" s="6" t="str"/>
      <x:c r="X87" s="6" t="str"/>
      <x:c r="Y87" s="6" t="str"/>
      <x:c r="Z87" s="3" t="str">
        <x:v>机构由正式出版版首页核实；会话记忆效果不等于跨会话工作状态正确性。</x:v>
      </x:c>
    </x:row>
    <x:row r="88" ht="55" customHeight="1">
      <x:c r="A88" s="3" t="str">
        <x:v>WA-0087</x:v>
      </x:c>
      <x:c r="B88" s="3" t="str">
        <x:v>LongMemEval: Benchmarking Chat Assistants on Long-Term Interactive Memory</x:v>
      </x:c>
      <x:c r="C88" s="3" t="str">
        <x:v>LongMemEval</x:v>
      </x:c>
      <x:c r="D88" s="4" t="n">
        <x:v>2024</x:v>
      </x:c>
      <x:c r="E88" s="7" t="str">
        <x:v>https://arxiv.org/abs/2410.10813</x:v>
      </x:c>
      <x:c r="F88" s="3" t="str">
        <x:v>University of California, Los Angeles; Tencent AI Lab Seattle; University of California, San Diego</x:v>
      </x:c>
      <x:c r="G88" s="3" t="str">
        <x:v>Benchmark</x:v>
      </x:c>
      <x:c r="H88" s="3" t="str">
        <x:v>persistent</x:v>
      </x:c>
      <x:c r="I88" s="3" t="str">
        <x:v>Long-term interactive memory evaluation</x:v>
      </x:c>
      <x:c r="J88" s="3" t="str">
        <x:v>memory;reasoning;state-management</x:v>
      </x:c>
      <x:c r="K88" s="3" t="str"/>
      <x:c r="L88" s="3" t="str">
        <x:v>4.4</x:v>
      </x:c>
      <x:c r="M88" s="3" t="str">
        <x:v>以多会话任务评估信息抽取、跨会话推理、时间推理、知识更新与拒答能力。</x:v>
      </x:c>
      <x:c r="N88" s="7" t="str">
        <x:v>https://github.com/xiaowu0162/LongMemEval</x:v>
      </x:c>
      <x:c r="O88" s="3" t="str"/>
      <x:c r="P88" s="3" t="str">
        <x:v>verified</x:v>
      </x:c>
      <x:c r="Q88" s="7" t="str">
        <x:v>https://arxiv.org/html/2410.10813v2</x:v>
      </x:c>
      <x:c r="R88" s="7" t="str">
        <x:v>https://arxiv.org/abs/2410.10813</x:v>
      </x:c>
      <x:c r="S88" s="3" t="str">
        <x:v>87</x:v>
      </x:c>
      <x:c r="T88" s="3" t="str">
        <x:v>survey bibliography</x:v>
      </x:c>
      <x:c r="U88" s="5" t="d">
        <x:v>2026-10-16T00:00:00.000Z</x:v>
      </x:c>
      <x:c r="V88" s="6" t="str">
        <x:v>未分配</x:v>
      </x:c>
      <x:c r="W88" s="6" t="str"/>
      <x:c r="X88" s="6" t="str"/>
      <x:c r="Y88" s="6" t="str"/>
      <x:c r="Z88" s="3" t="str">
        <x:v>对话信息保持基准；不直接检验外部工作执行状态。</x:v>
      </x:c>
    </x:row>
    <x:row r="89" ht="55" customHeight="1">
      <x:c r="A89" s="3" t="str">
        <x:v>WA-0088</x:v>
      </x:c>
      <x:c r="B89" s="3" t="str">
        <x:v>Evaluating Very Long-Term Conversational Memory of LLM Agents</x:v>
      </x:c>
      <x:c r="C89" s="3" t="str">
        <x:v>LoCoMo</x:v>
      </x:c>
      <x:c r="D89" s="4" t="n">
        <x:v>2024</x:v>
      </x:c>
      <x:c r="E89" s="7" t="str">
        <x:v>https://arxiv.org/abs/2402.17753</x:v>
      </x:c>
      <x:c r="F89" s="3" t="str">
        <x:v>University of North Carolina at Chapel Hill; University of Southern California; Snap Inc.</x:v>
      </x:c>
      <x:c r="G89" s="3" t="str">
        <x:v>Benchmark</x:v>
      </x:c>
      <x:c r="H89" s="3" t="str">
        <x:v>persistent</x:v>
      </x:c>
      <x:c r="I89" s="3" t="str">
        <x:v>Very long-term conversational memory evaluation</x:v>
      </x:c>
      <x:c r="J89" s="3" t="str">
        <x:v>memory;reasoning</x:v>
      </x:c>
      <x:c r="K89" s="3" t="str"/>
      <x:c r="L89" s="3" t="str">
        <x:v>4.4</x:v>
      </x:c>
      <x:c r="M89" s="3" t="str">
        <x:v>构造长期多会话对话及问答、事件总结与多模态生成任务，检验长期记忆。</x:v>
      </x:c>
      <x:c r="N89" s="7" t="str">
        <x:v>https://github.com/snap-research/LoCoMo</x:v>
      </x:c>
      <x:c r="O89" s="7" t="str">
        <x:v>https://github.com/snap-research/locomo/tree/main/data</x:v>
      </x:c>
      <x:c r="P89" s="3" t="str">
        <x:v>verified</x:v>
      </x:c>
      <x:c r="Q89" s="7" t="str">
        <x:v>https://arxiv.org/html/2402.17753v1</x:v>
      </x:c>
      <x:c r="R89" s="7" t="str">
        <x:v>https://arxiv.org/abs/2402.17753</x:v>
      </x:c>
      <x:c r="S89" s="3" t="str">
        <x:v>88</x:v>
      </x:c>
      <x:c r="T89" s="3" t="str">
        <x:v>survey bibliography</x:v>
      </x:c>
      <x:c r="U89" s="5" t="d">
        <x:v>2026-10-16T00:00:00.000Z</x:v>
      </x:c>
      <x:c r="V89" s="6" t="str">
        <x:v>未分配</x:v>
      </x:c>
      <x:c r="W89" s="6" t="str"/>
      <x:c r="X89" s="6" t="str"/>
      <x:c r="Y89" s="6" t="str"/>
      <x:c r="Z89" s="3" t="str">
        <x:v>对话记忆基准，与持久化工作责任需区分。</x:v>
      </x:c>
    </x:row>
    <x:row r="90" ht="70" customHeight="1">
      <x:c r="A90" s="3" t="str">
        <x:v>WA-0089</x:v>
      </x:c>
      <x:c r="B90" s="3" t="str">
        <x:v>Self-Refine: Iterative Refinement with Self-Feedback</x:v>
      </x:c>
      <x:c r="C90" s="3" t="str">
        <x:v>Self-Refine</x:v>
      </x:c>
      <x:c r="D90" s="4" t="n">
        <x:v>2023</x:v>
      </x:c>
      <x:c r="E90" s="7" t="str">
        <x:v>https://arxiv.org/abs/2303.17651</x:v>
      </x:c>
      <x:c r="F90" s="3" t="str">
        <x:v>Carnegie Mellon University; Allen Institute for Artificial Intelligence; University of Washington; NVIDIA; University of California, San Diego; Google Research, Brain Team</x:v>
      </x:c>
      <x:c r="G90" s="3" t="str">
        <x:v>Method</x:v>
      </x:c>
      <x:c r="H90" s="3" t="str">
        <x:v>verification</x:v>
      </x:c>
      <x:c r="I90" s="3" t="str">
        <x:v>Iterative self-feedback and refinement</x:v>
      </x:c>
      <x:c r="J90" s="3" t="str">
        <x:v>reasoning;verification;recovery</x:v>
      </x:c>
      <x:c r="K90" s="3" t="str"/>
      <x:c r="L90" s="3" t="str">
        <x:v>4.5</x:v>
      </x:c>
      <x:c r="M90" s="3" t="str">
        <x:v>由同一模型生成初稿、反馈与修订，形成无需额外训练的迭代改进循环。</x:v>
      </x:c>
      <x:c r="N90" s="7" t="str">
        <x:v>https://github.com/madaan/self-refine</x:v>
      </x:c>
      <x:c r="O90" s="3" t="str"/>
      <x:c r="P90" s="3" t="str">
        <x:v>verified</x:v>
      </x:c>
      <x:c r="Q90" s="7" t="str">
        <x:v>https://arxiv.org/html/2303.17651v2</x:v>
      </x:c>
      <x:c r="R90" s="7" t="str">
        <x:v>https://arxiv.org/abs/2303.17651</x:v>
      </x:c>
      <x:c r="S90" s="3" t="str">
        <x:v>89</x:v>
      </x:c>
      <x:c r="T90" s="3" t="str">
        <x:v>survey bibliography</x:v>
      </x:c>
      <x:c r="U90" s="5" t="d">
        <x:v>2026-10-16T00:00:00.000Z</x:v>
      </x:c>
      <x:c r="V90" s="6" t="str">
        <x:v>未分配</x:v>
      </x:c>
      <x:c r="W90" s="6" t="str"/>
      <x:c r="X90" s="6" t="str"/>
      <x:c r="Y90" s="6" t="str"/>
      <x:c r="Z90" s="3" t="str"/>
    </x:row>
    <x:row r="91" ht="55" customHeight="1">
      <x:c r="A91" s="3" t="str">
        <x:v>WA-0090</x:v>
      </x:c>
      <x:c r="B91" s="3" t="str">
        <x:v>CRITIC: Large Language Models Can Self-Correct with Tool-Interactive Critiquing</x:v>
      </x:c>
      <x:c r="C91" s="3" t="str">
        <x:v>CRITIC</x:v>
      </x:c>
      <x:c r="D91" s="4" t="n">
        <x:v>2023</x:v>
      </x:c>
      <x:c r="E91" s="7" t="str">
        <x:v>https://arxiv.org/abs/2305.11738</x:v>
      </x:c>
      <x:c r="F91" s="3" t="str">
        <x:v>Tsinghua University; Microsoft Research Asia; Microsoft Azure AI</x:v>
      </x:c>
      <x:c r="G91" s="3" t="str">
        <x:v>Method</x:v>
      </x:c>
      <x:c r="H91" s="3" t="str">
        <x:v>verification</x:v>
      </x:c>
      <x:c r="I91" s="3" t="str">
        <x:v>Tool-interactive critique and correction</x:v>
      </x:c>
      <x:c r="J91" s="3" t="str">
        <x:v>reasoning;execution;verification;recovery</x:v>
      </x:c>
      <x:c r="K91" s="3" t="str"/>
      <x:c r="L91" s="3" t="str">
        <x:v>4.5</x:v>
      </x:c>
      <x:c r="M91" s="3" t="str">
        <x:v>调用外部工具检查输出，再依据工具反馈修正推理和答案。</x:v>
      </x:c>
      <x:c r="N91" s="7" t="str">
        <x:v>https://github.com/microsoft/ProphetNet/tree/master/CRITIC</x:v>
      </x:c>
      <x:c r="O91" s="3" t="str"/>
      <x:c r="P91" s="3" t="str">
        <x:v>verified</x:v>
      </x:c>
      <x:c r="Q91" s="7" t="str">
        <x:v>https://arxiv.org/html/2305.11738v4</x:v>
      </x:c>
      <x:c r="R91" s="7" t="str">
        <x:v>https://arxiv.org/abs/2305.11738</x:v>
      </x:c>
      <x:c r="S91" s="3" t="str">
        <x:v>90</x:v>
      </x:c>
      <x:c r="T91" s="3" t="str">
        <x:v>survey bibliography</x:v>
      </x:c>
      <x:c r="U91" s="5" t="d">
        <x:v>2026-10-16T00:00:00.000Z</x:v>
      </x:c>
      <x:c r="V91" s="6" t="str">
        <x:v>未分配</x:v>
      </x:c>
      <x:c r="W91" s="6" t="str"/>
      <x:c r="X91" s="6" t="str"/>
      <x:c r="Y91" s="6" t="str"/>
      <x:c r="Z91" s="3" t="str"/>
    </x:row>
    <x:row r="92" ht="55" customHeight="1">
      <x:c r="A92" s="3" t="str">
        <x:v>WA-0091</x:v>
      </x:c>
      <x:c r="B92" s="3" t="str">
        <x:v>Agentless: Demystifying LLM-based Software Engineering Agents</x:v>
      </x:c>
      <x:c r="C92" s="3" t="str">
        <x:v>Agentless</x:v>
      </x:c>
      <x:c r="D92" s="4" t="n">
        <x:v>2024</x:v>
      </x:c>
      <x:c r="E92" s="7" t="str">
        <x:v>https://arxiv.org/abs/2407.01489</x:v>
      </x:c>
      <x:c r="F92" s="3" t="str">
        <x:v>University of Illinois Urbana-Champaign</x:v>
      </x:c>
      <x:c r="G92" s="3" t="str">
        <x:v>Method</x:v>
      </x:c>
      <x:c r="H92" s="3" t="str">
        <x:v>swe-science</x:v>
      </x:c>
      <x:c r="I92" s="3" t="str">
        <x:v>Localization–repair–validation baseline</x:v>
      </x:c>
      <x:c r="J92" s="3" t="str">
        <x:v>reasoning;execution;verification;recovery</x:v>
      </x:c>
      <x:c r="K92" s="3" t="str"/>
      <x:c r="L92" s="3" t="str">
        <x:v>4.5</x:v>
      </x:c>
      <x:c r="M92" s="3" t="str">
        <x:v>以定位、修复和补丁验证三阶段流程建立低成本 SWE 基线，并审查基准样本质量。</x:v>
      </x:c>
      <x:c r="N92" s="7" t="str">
        <x:v>https://github.com/OpenAutoCoder/Agentless</x:v>
      </x:c>
      <x:c r="O92" s="3" t="str"/>
      <x:c r="P92" s="3" t="str">
        <x:v>verified</x:v>
      </x:c>
      <x:c r="Q92" s="7" t="str">
        <x:v>https://lingming.cs.illinois.edu/publications/fse2025.pdf</x:v>
      </x:c>
      <x:c r="R92" s="7" t="str">
        <x:v>https://arxiv.org/abs/2407.01489</x:v>
      </x:c>
      <x:c r="S92" s="3" t="str">
        <x:v>91</x:v>
      </x:c>
      <x:c r="T92" s="3" t="str">
        <x:v>survey bibliography</x:v>
      </x:c>
      <x:c r="U92" s="5" t="d">
        <x:v>2026-10-16T00:00:00.000Z</x:v>
      </x:c>
      <x:c r="V92" s="6" t="str">
        <x:v>未分配</x:v>
      </x:c>
      <x:c r="W92" s="6" t="str"/>
      <x:c r="X92" s="6" t="str"/>
      <x:c r="Y92" s="6" t="str"/>
      <x:c r="Z92" s="3" t="str">
        <x:v>PDF 引用的是 FSE 2025 正式题名 Demystifying LLM-Based Software Engineering Agents (DOI 10.1145/3715754)；对应预印本标题带 Agentless，首次公开于 2024。该方法刻意限制自主动作。</x:v>
      </x:c>
    </x:row>
    <x:row r="93" ht="55" customHeight="1">
      <x:c r="A93" s="3" t="str">
        <x:v>WA-0092</x:v>
      </x:c>
      <x:c r="B93" s="3" t="str">
        <x:v>Reflexion: Language Agents with Verbal Reinforcement Learning</x:v>
      </x:c>
      <x:c r="C93" s="3" t="str">
        <x:v>Reflexion</x:v>
      </x:c>
      <x:c r="D93" s="4" t="n">
        <x:v>2023</x:v>
      </x:c>
      <x:c r="E93" s="7" t="str">
        <x:v>https://arxiv.org/abs/2303.11366</x:v>
      </x:c>
      <x:c r="F93" s="3" t="str">
        <x:v>Northeastern University; Massachusetts Institute of Technology; Princeton University</x:v>
      </x:c>
      <x:c r="G93" s="3" t="str">
        <x:v>Method</x:v>
      </x:c>
      <x:c r="H93" s="3" t="str">
        <x:v>verification</x:v>
      </x:c>
      <x:c r="I93" s="3" t="str">
        <x:v>Verbal reinforcement through episodic reflection</x:v>
      </x:c>
      <x:c r="J93" s="3" t="str">
        <x:v>reasoning;memory;verification;recovery;learning</x:v>
      </x:c>
      <x:c r="K93" s="3" t="str"/>
      <x:c r="L93" s="3" t="str">
        <x:v>4.5;7.2.3</x:v>
      </x:c>
      <x:c r="M93" s="3" t="str">
        <x:v>将执行成败转化为语言反思，存入情景记忆以指导后续尝试。</x:v>
      </x:c>
      <x:c r="N93" s="7" t="str">
        <x:v>https://github.com/noahshinn/reflexion</x:v>
      </x:c>
      <x:c r="O93" s="3" t="str"/>
      <x:c r="P93" s="3" t="str">
        <x:v>verified</x:v>
      </x:c>
      <x:c r="Q93" s="7" t="str">
        <x:v>https://arxiv.org/html/2303.11366v4</x:v>
      </x:c>
      <x:c r="R93" s="7" t="str">
        <x:v>https://arxiv.org/abs/2303.11366</x:v>
      </x:c>
      <x:c r="S93" s="3" t="str">
        <x:v>92</x:v>
      </x:c>
      <x:c r="T93" s="3" t="str">
        <x:v>survey bibliography</x:v>
      </x:c>
      <x:c r="U93" s="5" t="d">
        <x:v>2026-10-16T00:00:00.000Z</x:v>
      </x:c>
      <x:c r="V93" s="6" t="str">
        <x:v>未分配</x:v>
      </x:c>
      <x:c r="W93" s="6" t="str"/>
      <x:c r="X93" s="6" t="str"/>
      <x:c r="Y93" s="6" t="str"/>
      <x:c r="Z93" s="3" t="str">
        <x:v>这里的 verbal reinforcement learning 不涉及模型参数梯度更新。 论文内旧仓库 noahshinn024/reflexion 已404；以作者当前官方仓库自述和 BibTeX 核验替换。</x:v>
      </x:c>
    </x:row>
    <x:row r="94" ht="55" customHeight="1">
      <x:c r="A94" s="3" t="str">
        <x:v>WA-0093</x:v>
      </x:c>
      <x:c r="B94" s="3" t="str">
        <x:v>Language Agent Tree Search Unifies Reasoning Acting and Planning in Language Models</x:v>
      </x:c>
      <x:c r="C94" s="3" t="str">
        <x:v>LATS</x:v>
      </x:c>
      <x:c r="D94" s="4" t="n">
        <x:v>2023</x:v>
      </x:c>
      <x:c r="E94" s="7" t="str">
        <x:v>https://arxiv.org/abs/2310.04406</x:v>
      </x:c>
      <x:c r="F94" s="3" t="str">
        <x:v>University of Illinois Urbana-Champaign; Lapis Labs</x:v>
      </x:c>
      <x:c r="G94" s="3" t="str">
        <x:v>Method</x:v>
      </x:c>
      <x:c r="H94" s="3" t="str">
        <x:v>verification</x:v>
      </x:c>
      <x:c r="I94" s="3" t="str">
        <x:v>Environment-grounded tree search</x:v>
      </x:c>
      <x:c r="J94" s="3" t="str">
        <x:v>reasoning;planning;verification;recovery</x:v>
      </x:c>
      <x:c r="K94" s="3" t="str"/>
      <x:c r="L94" s="3" t="str">
        <x:v>4.5</x:v>
      </x:c>
      <x:c r="M94" s="3" t="str">
        <x:v>结合蒙特卡洛树搜索、模型价值评估和自我反思，用环境反馈搜索行动序列。</x:v>
      </x:c>
      <x:c r="N94" s="7" t="str">
        <x:v>https://github.com/andyz245/LanguageAgentTreeSearch</x:v>
      </x:c>
      <x:c r="O94" s="3" t="str"/>
      <x:c r="P94" s="3" t="str">
        <x:v>verified</x:v>
      </x:c>
      <x:c r="Q94" s="7" t="str">
        <x:v>https://arxiv.org/html/2310.04406v3</x:v>
      </x:c>
      <x:c r="R94" s="7" t="str">
        <x:v>https://arxiv.org/abs/2310.04406</x:v>
      </x:c>
      <x:c r="S94" s="3" t="str">
        <x:v>93</x:v>
      </x:c>
      <x:c r="T94" s="3" t="str">
        <x:v>survey bibliography</x:v>
      </x:c>
      <x:c r="U94" s="5" t="d">
        <x:v>2026-10-16T00:00:00.000Z</x:v>
      </x:c>
      <x:c r="V94" s="6" t="str">
        <x:v>未分配</x:v>
      </x:c>
      <x:c r="W94" s="6" t="str"/>
      <x:c r="X94" s="6" t="str"/>
      <x:c r="Y94" s="6" t="str"/>
      <x:c r="Z94" s="3" t="str"/>
    </x:row>
    <x:row r="95" ht="55" customHeight="1">
      <x:c r="A95" s="3" t="str">
        <x:v>WA-0094</x:v>
      </x:c>
      <x:c r="B95" s="3" t="str">
        <x:v>NexForge: Scaling Agent Capabilities through Requirement-Driven Task Synthesis for LLMs</x:v>
      </x:c>
      <x:c r="C95" s="3" t="str">
        <x:v>NexForge</x:v>
      </x:c>
      <x:c r="D95" s="4" t="n">
        <x:v>2026</x:v>
      </x:c>
      <x:c r="E95" s="7" t="str">
        <x:v>https://arxiv.org/abs/2607.14186</x:v>
      </x:c>
      <x:c r="F95" s="3" t="str">
        <x:v>East China Normal University; Shanghai Qiji Zhifeng Co., Ltd; Fudan University</x:v>
      </x:c>
      <x:c r="G95" s="3" t="str">
        <x:v>Method;Framework</x:v>
      </x:c>
      <x:c r="H95" s="3" t="str">
        <x:v>workspace</x:v>
      </x:c>
      <x:c r="I95" s="3" t="str">
        <x:v>Requirement-driven task and environment synthesis</x:v>
      </x:c>
      <x:c r="J95" s="3" t="str">
        <x:v>planning;execution;verification;learning</x:v>
      </x:c>
      <x:c r="K95" s="3" t="str">
        <x:v>environment-synthesis;trajectory-curation</x:v>
      </x:c>
      <x:c r="L95" s="3" t="str">
        <x:v>5.1.1;5.1.2</x:v>
      </x:c>
      <x:c r="M95" s="3" t="str">
        <x:v>从能力需求与真实场景分布合成任务，检索或构建材料环境并采集专家轨迹。</x:v>
      </x:c>
      <x:c r="N95" s="3" t="str"/>
      <x:c r="O95" s="3" t="str"/>
      <x:c r="P95" s="3" t="str">
        <x:v>verified</x:v>
      </x:c>
      <x:c r="Q95" s="7" t="str">
        <x:v>https://arxiv.org/html/2607.14186v6</x:v>
      </x:c>
      <x:c r="R95" s="7" t="str">
        <x:v>https://arxiv.org/abs/2607.14186</x:v>
      </x:c>
      <x:c r="S95" s="3" t="str">
        <x:v>94</x:v>
      </x:c>
      <x:c r="T95" s="3" t="str">
        <x:v>survey bibliography</x:v>
      </x:c>
      <x:c r="U95" s="5" t="d">
        <x:v>2026-10-16T00:00:00.000Z</x:v>
      </x:c>
      <x:c r="V95" s="6" t="str">
        <x:v>未分配</x:v>
      </x:c>
      <x:c r="W95" s="6" t="str"/>
      <x:c r="X95" s="6" t="str"/>
      <x:c r="Y95" s="6" t="str"/>
      <x:c r="Z95" s="3" t="str"/>
    </x:row>
    <x:row r="96" ht="55" customHeight="1">
      <x:c r="A96" s="3" t="str">
        <x:v>WA-0095</x:v>
      </x:c>
      <x:c r="B96" s="3" t="str">
        <x:v>GraphForge: Training Working Agents with Graph-Anchored Workspace Synthesis</x:v>
      </x:c>
      <x:c r="C96" s="3" t="str">
        <x:v>GraphForge</x:v>
      </x:c>
      <x:c r="D96" s="4" t="n">
        <x:v>2026</x:v>
      </x:c>
      <x:c r="E96" s="7" t="str">
        <x:v>https://arxiv.org/abs/2609.38923</x:v>
      </x:c>
      <x:c r="F96" s="3" t="str">
        <x:v>University of Science and Technology of China; Shanghai Innovation Institute; Fudan University</x:v>
      </x:c>
      <x:c r="G96" s="3" t="str">
        <x:v>Method;Framework</x:v>
      </x:c>
      <x:c r="H96" s="3" t="str">
        <x:v>workspace</x:v>
      </x:c>
      <x:c r="I96" s="3" t="str">
        <x:v>Evidence-graph-anchored workspace synthesis</x:v>
      </x:c>
      <x:c r="J96" s="3" t="str">
        <x:v>reasoning;execution;verification;learning</x:v>
      </x:c>
      <x:c r="K96" s="3" t="str">
        <x:v>environment-synthesis;trajectory-curation;reward-verification</x:v>
      </x:c>
      <x:c r="L96" s="3" t="str">
        <x:v>5.1.1;5.1.2;5.1.3;7.1.1;7.3.2</x:v>
      </x:c>
      <x:c r="M96" s="3" t="str">
        <x:v>以真实文件证据图共同锚定工作区任务与评分标准，并用执行反馈修复不一致。</x:v>
      </x:c>
      <x:c r="N96" s="3" t="str"/>
      <x:c r="O96" s="7" t="str">
        <x:v>https://huggingface.co/datasets/groundhogLLM/GraphForge-SFT-2169-clean</x:v>
      </x:c>
      <x:c r="P96" s="3" t="str">
        <x:v>verified</x:v>
      </x:c>
      <x:c r="Q96" s="7" t="str">
        <x:v>https://arxiv.org/html/2609.38923v2</x:v>
      </x:c>
      <x:c r="R96" s="7" t="str">
        <x:v>https://arxiv.org/abs/2609.38923</x:v>
      </x:c>
      <x:c r="S96" s="3" t="str">
        <x:v>95</x:v>
      </x:c>
      <x:c r="T96" s="3" t="str">
        <x:v>survey bibliography</x:v>
      </x:c>
      <x:c r="U96" s="5" t="d">
        <x:v>2026-10-16T00:00:00.000Z</x:v>
      </x:c>
      <x:c r="V96" s="6" t="str">
        <x:v>未分配</x:v>
      </x:c>
      <x:c r="W96" s="6" t="str"/>
      <x:c r="X96" s="6" t="str"/>
      <x:c r="Y96" s="6" t="str"/>
      <x:c r="Z96" s="3" t="str">
        <x:v>链接为论文明确提供的资源合集，未推定存在独立代码仓库。 数据链接指向官方合集中的 SFT 数据集；原资源合集为 https://huggingface.co/collections/groundhogLLM/graphforge。</x:v>
      </x:c>
    </x:row>
    <x:row r="97" ht="55" customHeight="1">
      <x:c r="A97" s="3" t="str">
        <x:v>WA-0096</x:v>
      </x:c>
      <x:c r="B97" s="3" t="str">
        <x:v>WorkGenesis: Building the Worlds That Teach Agents to Work</x:v>
      </x:c>
      <x:c r="C97" s="3" t="str">
        <x:v>WorkGenesis</x:v>
      </x:c>
      <x:c r="D97" s="4" t="n">
        <x:v>2026</x:v>
      </x:c>
      <x:c r="E97" s="7" t="str">
        <x:v>https://arxiv.org/abs/2609.39325</x:v>
      </x:c>
      <x:c r="F97" s="3" t="str">
        <x:v>Shanghai Jiao Tong University; Endless Frontier; Beihang University</x:v>
      </x:c>
      <x:c r="G97" s="3" t="str">
        <x:v>Method;Framework</x:v>
      </x:c>
      <x:c r="H97" s="3" t="str">
        <x:v>workspace</x:v>
      </x:c>
      <x:c r="I97" s="3" t="str">
        <x:v>Occupational artifact-grounded work synthesis</x:v>
      </x:c>
      <x:c r="J97" s="3" t="str">
        <x:v>planning;execution;verification;learning</x:v>
      </x:c>
      <x:c r="K97" s="3" t="str">
        <x:v>environment-synthesis;reward-verification</x:v>
      </x:c>
      <x:c r="L97" s="3" t="str">
        <x:v>5.1.1;5.1.3</x:v>
      </x:c>
      <x:c r="M97" s="3" t="str">
        <x:v>借助职业知识检索真实工件，补全工作语境，并以参考执行归因和修复任务或 rubric 缺陷。</x:v>
      </x:c>
      <x:c r="N97" s="3" t="str"/>
      <x:c r="O97" s="3" t="str"/>
      <x:c r="P97" s="3" t="str">
        <x:v>verified</x:v>
      </x:c>
      <x:c r="Q97" s="7" t="str">
        <x:v>https://arxiv.org/html/2609.39325v1</x:v>
      </x:c>
      <x:c r="R97" s="7" t="str">
        <x:v>https://arxiv.org/abs/2609.39325</x:v>
      </x:c>
      <x:c r="S97" s="3" t="str">
        <x:v>96</x:v>
      </x:c>
      <x:c r="T97" s="3" t="str">
        <x:v>survey bibliography</x:v>
      </x:c>
      <x:c r="U97" s="5" t="d">
        <x:v>2026-10-16T00:00:00.000Z</x:v>
      </x:c>
      <x:c r="V97" s="6" t="str">
        <x:v>未分配</x:v>
      </x:c>
      <x:c r="W97" s="6" t="str"/>
      <x:c r="X97" s="6" t="str"/>
      <x:c r="Y97" s="6" t="str"/>
      <x:c r="Z97" s="3" t="str"/>
    </x:row>
    <x:row r="98" ht="55" customHeight="1">
      <x:c r="A98" s="3" t="str">
        <x:v>WA-0097</x:v>
      </x:c>
      <x:c r="B98" s="3" t="str">
        <x:v>Agent World Model: Infinity Synthetic Environments for Agentic Reinforcement Learning</x:v>
      </x:c>
      <x:c r="C98" s="3" t="str">
        <x:v>Agent World Model</x:v>
      </x:c>
      <x:c r="D98" s="4" t="n">
        <x:v>2026</x:v>
      </x:c>
      <x:c r="E98" s="7" t="str">
        <x:v>https://arxiv.org/abs/2602.10090</x:v>
      </x:c>
      <x:c r="F98" s="3" t="str">
        <x:v>University of North Carolina at Chapel Hill; Snowflake</x:v>
      </x:c>
      <x:c r="G98" s="3" t="str">
        <x:v>Method;Framework</x:v>
      </x:c>
      <x:c r="H98" s="3" t="str">
        <x:v>tool-enterprise</x:v>
      </x:c>
      <x:c r="I98" s="3" t="str">
        <x:v>Executable database-backed environment synthesis</x:v>
      </x:c>
      <x:c r="J98" s="3" t="str">
        <x:v>execution;state-management;verification;learning</x:v>
      </x:c>
      <x:c r="K98" s="3" t="str">
        <x:v>environment-synthesis;reward-verification</x:v>
      </x:c>
      <x:c r="L98" s="3" t="str">
        <x:v>5.1.1;5.1.3</x:v>
      </x:c>
      <x:c r="M98" s="3" t="str">
        <x:v>规模化生成具有数据库状态和工具接口的可执行环境，用于可验证的多轮工具 RL。</x:v>
      </x:c>
      <x:c r="N98" s="7" t="str">
        <x:v>https://github.com/Snowflake-Labs/agent-world-model</x:v>
      </x:c>
      <x:c r="O98" s="3" t="str"/>
      <x:c r="P98" s="3" t="str">
        <x:v>verified</x:v>
      </x:c>
      <x:c r="Q98" s="7" t="str">
        <x:v>https://arxiv.org/html/2602.10090v3</x:v>
      </x:c>
      <x:c r="R98" s="7" t="str">
        <x:v>https://arxiv.org/abs/2602.10090</x:v>
      </x:c>
      <x:c r="S98" s="3" t="str">
        <x:v>97</x:v>
      </x:c>
      <x:c r="T98" s="3" t="str">
        <x:v>survey bibliography</x:v>
      </x:c>
      <x:c r="U98" s="5" t="d">
        <x:v>2026-10-16T00:00:00.000Z</x:v>
      </x:c>
      <x:c r="V98" s="6" t="str">
        <x:v>未分配</x:v>
      </x:c>
      <x:c r="W98" s="6" t="str"/>
      <x:c r="X98" s="6" t="str"/>
      <x:c r="Y98" s="6" t="str"/>
      <x:c r="Z98" s="3" t="str"/>
    </x:row>
    <x:row r="99" ht="55" customHeight="1">
      <x:c r="A99" s="3" t="str">
        <x:v>WA-0098</x:v>
      </x:c>
      <x:c r="B99" s="3" t="str">
        <x:v>EnvCraft: Synthesizing Executable Environments in Agentic RL for Claw-like Agent</x:v>
      </x:c>
      <x:c r="C99" s="3" t="str">
        <x:v>EnvCraft</x:v>
      </x:c>
      <x:c r="D99" s="4" t="n">
        <x:v>2026</x:v>
      </x:c>
      <x:c r="E99" s="7" t="str">
        <x:v>https://arxiv.org/abs/2609.05576</x:v>
      </x:c>
      <x:c r="F99" s="3" t="str">
        <x:v>Harbin Institute of Technology, SCIR Lab; Peking University; Huawei Technologies; Tsinghua University</x:v>
      </x:c>
      <x:c r="G99" s="3" t="str">
        <x:v>Method;Framework</x:v>
      </x:c>
      <x:c r="H99" s="3" t="str">
        <x:v>workspace</x:v>
      </x:c>
      <x:c r="I99" s="3" t="str">
        <x:v>Sandbox workspace and task-chain synthesis</x:v>
      </x:c>
      <x:c r="J99" s="3" t="str">
        <x:v>planning;execution;state-management;learning</x:v>
      </x:c>
      <x:c r="K99" s="3" t="str">
        <x:v>environment-synthesis</x:v>
      </x:c>
      <x:c r="L99" s="3" t="str">
        <x:v>5.1.1</x:v>
      </x:c>
      <x:c r="M99" s="3" t="str">
        <x:v>合成沙箱隔离工作区，并利用任务拓扑生成跨工具和跨环境的连贯训练轨迹。</x:v>
      </x:c>
      <x:c r="N99" s="7" t="str">
        <x:v>https://github.com/zeng-yirong/EnvCraft</x:v>
      </x:c>
      <x:c r="O99" s="7" t="str">
        <x:v>https://huggingface.co/datasets/EnvCraft/EnvCraft-Data</x:v>
      </x:c>
      <x:c r="P99" s="3" t="str">
        <x:v>verified</x:v>
      </x:c>
      <x:c r="Q99" s="7" t="str">
        <x:v>https://arxiv.org/pdf/2609.05576</x:v>
      </x:c>
      <x:c r="R99" s="7" t="str">
        <x:v>https://arxiv.org/abs/2609.05576</x:v>
      </x:c>
      <x:c r="S99" s="3" t="str">
        <x:v>98</x:v>
      </x:c>
      <x:c r="T99" s="3" t="str">
        <x:v>survey bibliography</x:v>
      </x:c>
      <x:c r="U99" s="5" t="d">
        <x:v>2026-10-16T00:00:00.000Z</x:v>
      </x:c>
      <x:c r="V99" s="6" t="str">
        <x:v>未分配</x:v>
      </x:c>
      <x:c r="W99" s="6" t="str"/>
      <x:c r="X99" s="6" t="str"/>
      <x:c r="Y99" s="6" t="str"/>
      <x:c r="Z99" s="3" t="str">
        <x:v>机构及资源链接取自 PDF 首页，HTML 未完整显示单位。 数据链接指向作者团队发布的 EnvCraft-Data；官方团队页面 https://huggingface.co/EnvCraft 另含环境集与模型。</x:v>
      </x:c>
    </x:row>
    <x:row r="100" ht="55" customHeight="1">
      <x:c r="A100" s="3" t="str">
        <x:v>WA-0099</x:v>
      </x:c>
      <x:c r="B100" s="3" t="str">
        <x:v>AgentMercury: Your Agent Can Synthesize Verifiable Environments for Business Scenarios at scale</x:v>
      </x:c>
      <x:c r="C100" s="3" t="str">
        <x:v>AgentMercury</x:v>
      </x:c>
      <x:c r="D100" s="4" t="n">
        <x:v>2026</x:v>
      </x:c>
      <x:c r="E100" s="7" t="str">
        <x:v>https://arxiv.org/abs/2608.20634</x:v>
      </x:c>
      <x:c r="F100" s="3" t="str">
        <x:v>Meridian Intelligence Global Inc.; University of Massachusetts Amherst</x:v>
      </x:c>
      <x:c r="G100" s="3" t="str">
        <x:v>Method;Framework</x:v>
      </x:c>
      <x:c r="H100" s="3" t="str">
        <x:v>tool-enterprise</x:v>
      </x:c>
      <x:c r="I100" s="3" t="str">
        <x:v>Business-world-first environment synthesis</x:v>
      </x:c>
      <x:c r="J100" s="3" t="str">
        <x:v>planning;execution;state-management;verification;learning</x:v>
      </x:c>
      <x:c r="K100" s="3" t="str">
        <x:v>environment-synthesis</x:v>
      </x:c>
      <x:c r="L100" s="3" t="str">
        <x:v>5.1.1;7.1.1</x:v>
      </x:c>
      <x:c r="M100" s="3" t="str">
        <x:v>先构建包含实体、服务、共享状态与跨服务不变量的业务世界，再生成任务和轨迹。</x:v>
      </x:c>
      <x:c r="N100" s="3" t="str"/>
      <x:c r="O100" s="7" t="str">
        <x:v>https://huggingface.co/datasets/Minbyul/AgentMercury-corpus-sample</x:v>
      </x:c>
      <x:c r="P100" s="3" t="str">
        <x:v>verified</x:v>
      </x:c>
      <x:c r="Q100" s="7" t="str">
        <x:v>https://arxiv.org/html/2608.20634v1</x:v>
      </x:c>
      <x:c r="R100" s="7" t="str">
        <x:v>https://arxiv.org/abs/2608.20634</x:v>
      </x:c>
      <x:c r="S100" s="3" t="str">
        <x:v>99</x:v>
      </x:c>
      <x:c r="T100" s="3" t="str">
        <x:v>survey bibliography</x:v>
      </x:c>
      <x:c r="U100" s="5" t="d">
        <x:v>2026-10-16T00:00:00.000Z</x:v>
      </x:c>
      <x:c r="V100" s="6" t="str">
        <x:v>未分配</x:v>
      </x:c>
      <x:c r="W100" s="6" t="str"/>
      <x:c r="X100" s="6" t="str"/>
      <x:c r="Y100" s="6" t="str"/>
      <x:c r="Z100" s="3" t="str">
        <x:v>数据链接为作者公开的 corpus sample，不能据此推断完整训练数据已公开；原合集 https://huggingface.co/collections/Minbyul/agentmercury。</x:v>
      </x:c>
    </x:row>
    <x:row r="101" ht="55" customHeight="1">
      <x:c r="A101" s="3" t="str">
        <x:v>WA-0100</x:v>
      </x:c>
      <x:c r="B101" s="3" t="str">
        <x:v>Skill2Env: Capability-Oriented Environment Synthesis from Skills for General Agents</x:v>
      </x:c>
      <x:c r="C101" s="3" t="str">
        <x:v>Skill2Env</x:v>
      </x:c>
      <x:c r="D101" s="4" t="n">
        <x:v>2026</x:v>
      </x:c>
      <x:c r="E101" s="7" t="str">
        <x:v>https://arxiv.org/abs/2609.33772</x:v>
      </x:c>
      <x:c r="F101" s="3" t="str">
        <x:v>Pending verification</x:v>
      </x:c>
      <x:c r="G101" s="3" t="str">
        <x:v>Method;Framework</x:v>
      </x:c>
      <x:c r="H101" s="3" t="str">
        <x:v>workspace</x:v>
      </x:c>
      <x:c r="I101" s="3" t="str">
        <x:v>Skill-grounded capability-oriented environment synthesis</x:v>
      </x:c>
      <x:c r="J101" s="3" t="str">
        <x:v>planning;execution;verification;recovery;learning</x:v>
      </x:c>
      <x:c r="K101" s="3" t="str">
        <x:v>environment-synthesis</x:v>
      </x:c>
      <x:c r="L101" s="3" t="str">
        <x:v>5.1.1;7.4</x:v>
      </x:c>
      <x:c r="M101" s="3" t="str">
        <x:v>从技能与能力需求提炼难度模式和任务蓝图，用求解证据迭代强化环境与验收要求。</x:v>
      </x:c>
      <x:c r="N101" s="7" t="str">
        <x:v>https://github.com/AllSpark-Research/AgentEnv</x:v>
      </x:c>
      <x:c r="O101" s="3" t="str"/>
      <x:c r="P101" s="3" t="str">
        <x:v>metadata-only</x:v>
      </x:c>
      <x:c r="Q101" s="7" t="str">
        <x:v>https://arxiv.org/pdf/2609.33772</x:v>
      </x:c>
      <x:c r="R101" s="7" t="str">
        <x:v>https://arxiv.org/abs/2609.33772</x:v>
      </x:c>
      <x:c r="S101" s="3" t="str">
        <x:v>100</x:v>
      </x:c>
      <x:c r="T101" s="3" t="str">
        <x:v>survey bibliography</x:v>
      </x:c>
      <x:c r="U101" s="5" t="d">
        <x:v>2026-10-16T00:00:00.000Z</x:v>
      </x:c>
      <x:c r="V101" s="6" t="str">
        <x:v>未分配</x:v>
      </x:c>
      <x:c r="W101" s="6" t="str"/>
      <x:c r="X101" s="6" t="str"/>
      <x:c r="Y101" s="6" t="str"/>
      <x:c r="Z101" s="3" t="str">
        <x:v>当前 PDF/HTML 仅署名 AllSpark Team，不能据作者姓名或仓库归属推断法律单位；原 PDF 引文使用个人作者列表。</x:v>
      </x:c>
    </x:row>
    <x:row r="102" ht="55" customHeight="1">
      <x:c r="A102" s="3" t="str">
        <x:v>WA-0101</x:v>
      </x:c>
      <x:c r="B102" s="3" t="str">
        <x:v>EnterpriseLab: A Full-Stack Platform for developing and deploying agents in Enterprises</x:v>
      </x:c>
      <x:c r="C102" s="3" t="str">
        <x:v>EnterpriseLab</x:v>
      </x:c>
      <x:c r="D102" s="4" t="n">
        <x:v>2026</x:v>
      </x:c>
      <x:c r="E102" s="7" t="str">
        <x:v>https://arxiv.org/abs/2603.21630</x:v>
      </x:c>
      <x:c r="F102" s="3" t="str">
        <x:v>Fujitsu Research India</x:v>
      </x:c>
      <x:c r="G102" s="3" t="str">
        <x:v>Framework</x:v>
      </x:c>
      <x:c r="H102" s="3" t="str">
        <x:v>tool-enterprise</x:v>
      </x:c>
      <x:c r="I102" s="3" t="str">
        <x:v>Integrated enterprise agent development and training</x:v>
      </x:c>
      <x:c r="J102" s="3" t="str">
        <x:v>planning;execution;state-management;learning</x:v>
      </x:c>
      <x:c r="K102" s="3" t="str">
        <x:v>environment-synthesis;trajectory-curation</x:v>
      </x:c>
      <x:c r="L102" s="3" t="str">
        <x:v>5.1.1;5.1.2</x:v>
      </x:c>
      <x:c r="M102" s="3" t="str">
        <x:v>统一 MCP 企业工具、基于 schema 的轨迹合成、训练及持续评测，闭合开发部署流程。</x:v>
      </x:c>
      <x:c r="N102" s="3" t="str"/>
      <x:c r="O102" s="3" t="str"/>
      <x:c r="P102" s="3" t="str">
        <x:v>verified</x:v>
      </x:c>
      <x:c r="Q102" s="7" t="str">
        <x:v>https://arxiv.org/html/2603.21630v1</x:v>
      </x:c>
      <x:c r="R102" s="7" t="str">
        <x:v>https://arxiv.org/abs/2603.21630</x:v>
      </x:c>
      <x:c r="S102" s="3" t="str">
        <x:v>101</x:v>
      </x:c>
      <x:c r="T102" s="3" t="str">
        <x:v>survey bibliography</x:v>
      </x:c>
      <x:c r="U102" s="5" t="d">
        <x:v>2026-10-16T00:00:00.000Z</x:v>
      </x:c>
      <x:c r="V102" s="6" t="str">
        <x:v>未分配</x:v>
      </x:c>
      <x:c r="W102" s="6" t="str"/>
      <x:c r="X102" s="6" t="str"/>
      <x:c r="Y102" s="6" t="str"/>
      <x:c r="Z102" s="3" t="str"/>
    </x:row>
    <x:row r="103" ht="55" customHeight="1">
      <x:c r="A103" s="3" t="str">
        <x:v>WA-0102</x:v>
      </x:c>
      <x:c r="B103" s="3" t="str">
        <x:v>SEE: Structure-aware Exploring &amp; Exploiting for Long-horizon GUI Agent Trajectory Synthesis</x:v>
      </x:c>
      <x:c r="C103" s="3" t="str">
        <x:v>SEE</x:v>
      </x:c>
      <x:c r="D103" s="4" t="n">
        <x:v>2026</x:v>
      </x:c>
      <x:c r="E103" s="7" t="str">
        <x:v>https://arxiv.org/abs/2607.18046</x:v>
      </x:c>
      <x:c r="F103" s="3" t="str">
        <x:v>Harbin Institute of Technology, Weihai; Qingdao Research Institute; Independent researchers</x:v>
      </x:c>
      <x:c r="G103" s="3" t="str">
        <x:v>Method;Framework</x:v>
      </x:c>
      <x:c r="H103" s="3" t="str">
        <x:v>computer-use</x:v>
      </x:c>
      <x:c r="I103" s="3" t="str">
        <x:v>UI-transition-graph trajectory synthesis</x:v>
      </x:c>
      <x:c r="J103" s="3" t="str">
        <x:v>perception;planning;execution;recovery;learning</x:v>
      </x:c>
      <x:c r="K103" s="3" t="str">
        <x:v>trajectory-curation</x:v>
      </x:c>
      <x:c r="L103" s="3" t="str">
        <x:v>5.1.1;5.1.2</x:v>
      </x:c>
      <x:c r="M103" s="3" t="str">
        <x:v>先探索显式 UI 转移图，再以图规划和受控采样合成覆盖更全的长程 GUI 轨迹。</x:v>
      </x:c>
      <x:c r="N103" s="7" t="str">
        <x:v>https://github.com/Zhh-Fan/SEE-Structure-aware-Exploring-Exploiting-for-Long-horizon-GUI-Agent-Trajectory-Synthesis</x:v>
      </x:c>
      <x:c r="O103" s="3" t="str"/>
      <x:c r="P103" s="3" t="str">
        <x:v>verified</x:v>
      </x:c>
      <x:c r="Q103" s="7" t="str">
        <x:v>https://arxiv.org/html/2607.18046v2</x:v>
      </x:c>
      <x:c r="R103" s="7" t="str">
        <x:v>https://arxiv.org/abs/2607.18046</x:v>
      </x:c>
      <x:c r="S103" s="3" t="str">
        <x:v>102</x:v>
      </x:c>
      <x:c r="T103" s="3" t="str">
        <x:v>survey bibliography</x:v>
      </x:c>
      <x:c r="U103" s="5" t="d">
        <x:v>2026-10-16T00:00:00.000Z</x:v>
      </x:c>
      <x:c r="V103" s="6" t="str">
        <x:v>未分配</x:v>
      </x:c>
      <x:c r="W103" s="6" t="str"/>
      <x:c r="X103" s="6" t="str"/>
      <x:c r="Y103" s="6" t="str"/>
      <x:c r="Z103" s="3" t="str">
        <x:v>数位作者首页仅写 Researcher, Beijing，未推断雇主；HTML 的会议模板字段不作为已录用证据。</x:v>
      </x:c>
    </x:row>
    <x:row r="104" ht="190" customHeight="1">
      <x:c r="A104" s="3" t="str">
        <x:v>WA-0103</x:v>
      </x:c>
      <x:c r="B104" s="3" t="str">
        <x:v>OpenThoughts-Agent: Data Recipes for Agentic Models</x:v>
      </x:c>
      <x:c r="C104" s="3" t="str">
        <x:v>OpenThoughts-Agent</x:v>
      </x:c>
      <x:c r="D104" s="4" t="n">
        <x:v>2026</x:v>
      </x:c>
      <x:c r="E104" s="7" t="str">
        <x:v>https://arxiv.org/abs/2606.24855</x:v>
      </x:c>
      <x:c r="F104" s="3" t="str">
        <x:v>UC Berkeley; Stanford University; Jülich Supercomputing Centre; LAION; Open-Ψ (Open-Sci) Collective; University of Texas at Austin; Bespoke Labs; Laude Institute; UCLA; Harvard University and Harvard Medical School; Technical University of Munich and Munich Center for Machine Learning; New York University; Medical University of South Carolina; The LLM Data Company; Oumi.AI; BenchFlow; Northeastern University; University of Wisconsin–Madison; University of Washington; TU Darmstadt; University of Southern California; UC San Diego; Amazon; Microsoft; Korea University; Cornell Tech; University of Michigan; Independent researchers</x:v>
      </x:c>
      <x:c r="G104" s="3" t="str">
        <x:v>Method;Framework</x:v>
      </x:c>
      <x:c r="H104" s="3" t="str">
        <x:v>harness</x:v>
      </x:c>
      <x:c r="I104" s="3" t="str">
        <x:v>Open agentic data curation recipes</x:v>
      </x:c>
      <x:c r="J104" s="3" t="str">
        <x:v>execution;learning</x:v>
      </x:c>
      <x:c r="K104" s="3" t="str">
        <x:v>trajectory-curation</x:v>
      </x:c>
      <x:c r="L104" s="3" t="str">
        <x:v>5.1.1;5.1.2</x:v>
      </x:c>
      <x:c r="M104" s="3" t="str">
        <x:v>通过受控消融分析任务来源与数据多样性，公开跨多种 agent 任务的数据策划和训练流程。</x:v>
      </x:c>
      <x:c r="N104" s="7" t="str">
        <x:v>https://github.com/open-thoughts/OpenThoughts-Agent</x:v>
      </x:c>
      <x:c r="O104" s="3" t="str"/>
      <x:c r="P104" s="3" t="str">
        <x:v>verified</x:v>
      </x:c>
      <x:c r="Q104" s="7" t="str">
        <x:v>https://arxiv.org/html/2606.24855v1</x:v>
      </x:c>
      <x:c r="R104" s="7" t="str">
        <x:v>https://arxiv.org/abs/2606.24855</x:v>
      </x:c>
      <x:c r="S104" s="3" t="str">
        <x:v>103</x:v>
      </x:c>
      <x:c r="T104" s="3" t="str">
        <x:v>survey bibliography</x:v>
      </x:c>
      <x:c r="U104" s="5" t="d">
        <x:v>2026-10-16T00:00:00.000Z</x:v>
      </x:c>
      <x:c r="V104" s="6" t="str">
        <x:v>未分配</x:v>
      </x:c>
      <x:c r="W104" s="6" t="str"/>
      <x:c r="X104" s="6" t="str"/>
      <x:c r="Y104" s="6" t="str"/>
      <x:c r="Z104" s="3" t="str"/>
    </x:row>
    <x:row r="105" ht="55" customHeight="1">
      <x:c r="A105" s="3" t="str">
        <x:v>WA-0104</x:v>
      </x:c>
      <x:c r="B105" s="3" t="str">
        <x:v>CurateEvo: Data-Curation Evolving for Agentic Post-Training</x:v>
      </x:c>
      <x:c r="C105" s="3" t="str">
        <x:v>CurateEvo</x:v>
      </x:c>
      <x:c r="D105" s="4" t="n">
        <x:v>2026</x:v>
      </x:c>
      <x:c r="E105" s="7" t="str">
        <x:v>https://arxiv.org/abs/2607.06140</x:v>
      </x:c>
      <x:c r="F105" s="3" t="str">
        <x:v>Harbin Institute of Technology</x:v>
      </x:c>
      <x:c r="G105" s="3" t="str">
        <x:v>Method</x:v>
      </x:c>
      <x:c r="H105" s="3" t="str">
        <x:v>harness</x:v>
      </x:c>
      <x:c r="I105" s="3" t="str">
        <x:v>Failure-driven executable data curation evolution</x:v>
      </x:c>
      <x:c r="J105" s="3" t="str">
        <x:v>reasoning;memory;learning</x:v>
      </x:c>
      <x:c r="K105" s="3" t="str">
        <x:v>trajectory-curation</x:v>
      </x:c>
      <x:c r="L105" s="3" t="str">
        <x:v>5.1.1;5.1.2</x:v>
      </x:c>
      <x:c r="M105" s="3" t="str">
        <x:v>把数据策划策略表示为可执行代码，依据开发集失败轨迹演化过滤、修订及训练数据与记忆库。</x:v>
      </x:c>
      <x:c r="N105" s="3" t="str"/>
      <x:c r="O105" s="3" t="str"/>
      <x:c r="P105" s="3" t="str">
        <x:v>verified</x:v>
      </x:c>
      <x:c r="Q105" s="7" t="str">
        <x:v>https://arxiv.org/html/2607.06140v1</x:v>
      </x:c>
      <x:c r="R105" s="7" t="str">
        <x:v>https://arxiv.org/abs/2607.06140</x:v>
      </x:c>
      <x:c r="S105" s="3" t="str">
        <x:v>104</x:v>
      </x:c>
      <x:c r="T105" s="3" t="str">
        <x:v>survey bibliography</x:v>
      </x:c>
      <x:c r="U105" s="5" t="d">
        <x:v>2026-10-16T00:00:00.000Z</x:v>
      </x:c>
      <x:c r="V105" s="6" t="str">
        <x:v>未分配</x:v>
      </x:c>
      <x:c r="W105" s="6" t="str"/>
      <x:c r="X105" s="6" t="str"/>
      <x:c r="Y105" s="6" t="str"/>
      <x:c r="Z105" s="3" t="str"/>
    </x:row>
    <x:row r="106" ht="55" customHeight="1">
      <x:c r="A106" s="3" t="str">
        <x:v>WA-0105</x:v>
      </x:c>
      <x:c r="B106" s="3" t="str">
        <x:v>Spreadsheet-RL: Advancing Large Language Model Agents on Realistic Spreadsheet Tasks via Reinforcement Learning</x:v>
      </x:c>
      <x:c r="C106" s="3" t="str">
        <x:v>Spreadsheet-RL</x:v>
      </x:c>
      <x:c r="D106" s="4" t="n">
        <x:v>2026</x:v>
      </x:c>
      <x:c r="E106" s="7" t="str">
        <x:v>https://arxiv.org/abs/2605.22642</x:v>
      </x:c>
      <x:c r="F106" s="3" t="str">
        <x:v>University of Illinois Urbana-Champaign; Meta</x:v>
      </x:c>
      <x:c r="G106" s="3" t="str">
        <x:v>Method;Framework</x:v>
      </x:c>
      <x:c r="H106" s="3" t="str">
        <x:v>artifact</x:v>
      </x:c>
      <x:c r="I106" s="3" t="str">
        <x:v>Spreadsheet task synthesis and reinforcement learning</x:v>
      </x:c>
      <x:c r="J106" s="3" t="str">
        <x:v>planning;execution;verification;learning</x:v>
      </x:c>
      <x:c r="K106" s="3" t="str">
        <x:v>environment-synthesis;reward-verification;agentic-rl;model-harness-coupling</x:v>
      </x:c>
      <x:c r="L106" s="3" t="str">
        <x:v>5.1.1;5.1.3;5.2.2;5.4.1</x:v>
      </x:c>
      <x:c r="M106" s="3" t="str">
        <x:v>从论坛收集初始与目标工作簿，在真实 Excel 环境中以执行和工件检查训练表格 agent。</x:v>
      </x:c>
      <x:c r="N106" s="7" t="str">
        <x:v>https://github.com/Spreadsheet-RL/Spreadsheet-RL</x:v>
      </x:c>
      <x:c r="O106" s="7" t="str">
        <x:v>https://huggingface.co/datasets/Spreadsheet-RL/Spreadsheet-RL</x:v>
      </x:c>
      <x:c r="P106" s="3" t="str">
        <x:v>verified</x:v>
      </x:c>
      <x:c r="Q106" s="7" t="str">
        <x:v>https://arxiv.org/html/2605.22642v1</x:v>
      </x:c>
      <x:c r="R106" s="7" t="str">
        <x:v>https://arxiv.org/abs/2605.22642</x:v>
      </x:c>
      <x:c r="S106" s="3" t="str">
        <x:v>105</x:v>
      </x:c>
      <x:c r="T106" s="3" t="str">
        <x:v>survey bibliography</x:v>
      </x:c>
      <x:c r="U106" s="5" t="d">
        <x:v>2026-10-16T00:00:00.000Z</x:v>
      </x:c>
      <x:c r="V106" s="6" t="str">
        <x:v>未分配</x:v>
      </x:c>
      <x:c r="W106" s="6" t="str"/>
      <x:c r="X106" s="6" t="str"/>
      <x:c r="Y106" s="6" t="str"/>
      <x:c r="Z106" s="3" t="str"/>
    </x:row>
    <x:row r="107" ht="55" customHeight="1">
      <x:c r="A107" s="3" t="str">
        <x:v>WA-0106</x:v>
      </x:c>
      <x:c r="B107" s="3" t="str">
        <x:v>Anchor: Mitigating Artifact Drift in Agent Benchmark Generation</x:v>
      </x:c>
      <x:c r="C107" s="3" t="str">
        <x:v>Anchor</x:v>
      </x:c>
      <x:c r="D107" s="4" t="n">
        <x:v>2026</x:v>
      </x:c>
      <x:c r="E107" s="7" t="str">
        <x:v>https://arxiv.org/abs/2605.26321</x:v>
      </x:c>
      <x:c r="F107" s="3" t="str">
        <x:v>Agentic Labs</x:v>
      </x:c>
      <x:c r="G107" s="3" t="str">
        <x:v>Method;Framework</x:v>
      </x:c>
      <x:c r="H107" s="3" t="str">
        <x:v>verification</x:v>
      </x:c>
      <x:c r="I107" s="3" t="str">
        <x:v>Constraint-certified task–environment–verifier generation</x:v>
      </x:c>
      <x:c r="J107" s="3" t="str">
        <x:v>execution;state-management;verification;learning</x:v>
      </x:c>
      <x:c r="K107" s="3" t="str">
        <x:v>environment-synthesis;reward-verification</x:v>
      </x:c>
      <x:c r="L107" s="3" t="str">
        <x:v>5.1.1;5.1.3</x:v>
      </x:c>
      <x:c r="M107" s="3" t="str">
        <x:v>从同一约束优化规格共同生成任务、环境、求解器认证解和状态验证器，减少工件漂移。</x:v>
      </x:c>
      <x:c r="N107" s="3" t="str"/>
      <x:c r="O107" s="3" t="str"/>
      <x:c r="P107" s="3" t="str">
        <x:v>verified</x:v>
      </x:c>
      <x:c r="Q107" s="7" t="str">
        <x:v>https://arxiv.org/html/2605.26321v1</x:v>
      </x:c>
      <x:c r="R107" s="7" t="str">
        <x:v>https://arxiv.org/abs/2605.26321</x:v>
      </x:c>
      <x:c r="S107" s="3" t="str">
        <x:v>106</x:v>
      </x:c>
      <x:c r="T107" s="3" t="str">
        <x:v>survey bibliography</x:v>
      </x:c>
      <x:c r="U107" s="5" t="d">
        <x:v>2026-10-16T00:00:00.000Z</x:v>
      </x:c>
      <x:c r="V107" s="6" t="str">
        <x:v>未分配</x:v>
      </x:c>
      <x:c r="W107" s="6" t="str"/>
      <x:c r="X107" s="6" t="str"/>
      <x:c r="Y107" s="6" t="str"/>
      <x:c r="Z107" s="3" t="str"/>
    </x:row>
    <x:row r="108" ht="55" customHeight="1">
      <x:c r="A108" s="3" t="str">
        <x:v>WA-0107</x:v>
      </x:c>
      <x:c r="B108" s="3" t="str">
        <x:v>AeSlides: Incentivizing Aesthetic Layout in LLM-Based Slide Generation via Verifiable Rewards</x:v>
      </x:c>
      <x:c r="C108" s="3" t="str">
        <x:v>AeSlides</x:v>
      </x:c>
      <x:c r="D108" s="4" t="n">
        <x:v>2026</x:v>
      </x:c>
      <x:c r="E108" s="7" t="str">
        <x:v>https://arxiv.org/abs/2604.22840</x:v>
      </x:c>
      <x:c r="F108" s="3" t="str">
        <x:v>Beijing Institute of Technology; Zhipu AI (Z.ai)</x:v>
      </x:c>
      <x:c r="G108" s="3" t="str">
        <x:v>Method</x:v>
      </x:c>
      <x:c r="H108" s="3" t="str">
        <x:v>artifact</x:v>
      </x:c>
      <x:c r="I108" s="3" t="str">
        <x:v>Verifiable aesthetic rewards for slide RL</x:v>
      </x:c>
      <x:c r="J108" s="3" t="str">
        <x:v>perception;execution;verification;learning</x:v>
      </x:c>
      <x:c r="K108" s="3" t="str">
        <x:v>reward-verification;agentic-rl</x:v>
      </x:c>
      <x:c r="L108" s="3" t="str">
        <x:v>5.1.1;5.1.3;5.2.2;7.3.3</x:v>
      </x:c>
      <x:c r="M108" s="3" t="str">
        <x:v>把可计算的版式美学指标转为可验证奖励，训练生成视觉布局更协调的幻灯片。</x:v>
      </x:c>
      <x:c r="N108" s="7" t="str">
        <x:v>https://github.com/ympan0508/aeslides</x:v>
      </x:c>
      <x:c r="O108" s="3" t="str"/>
      <x:c r="P108" s="3" t="str">
        <x:v>verified</x:v>
      </x:c>
      <x:c r="Q108" s="7" t="str">
        <x:v>https://arxiv.org/html/2604.22840v1</x:v>
      </x:c>
      <x:c r="R108" s="7" t="str">
        <x:v>https://arxiv.org/abs/2604.22840</x:v>
      </x:c>
      <x:c r="S108" s="3" t="str">
        <x:v>107</x:v>
      </x:c>
      <x:c r="T108" s="3" t="str">
        <x:v>survey bibliography</x:v>
      </x:c>
      <x:c r="U108" s="5" t="d">
        <x:v>2026-10-16T00:00:00.000Z</x:v>
      </x:c>
      <x:c r="V108" s="6" t="str">
        <x:v>未分配</x:v>
      </x:c>
      <x:c r="W108" s="6" t="str"/>
      <x:c r="X108" s="6" t="str"/>
      <x:c r="Y108" s="6" t="str"/>
      <x:c r="Z108" s="3" t="str">
        <x:v>首页含示例 DOI/ISBN 及 2018 模板年份；不将这些占位字段当正式元数据。</x:v>
      </x:c>
    </x:row>
    <x:row r="109" ht="55" customHeight="1">
      <x:c r="A109" s="3" t="str">
        <x:v>WA-0108</x:v>
      </x:c>
      <x:c r="B109" s="3" t="str">
        <x:v>Learning to Present: Inverse Specification Rewards for Agentic Slide Generation</x:v>
      </x:c>
      <x:c r="C109" s="3" t="str">
        <x:v>SlideRL / Learning to Present</x:v>
      </x:c>
      <x:c r="D109" s="4" t="n">
        <x:v>2026</x:v>
      </x:c>
      <x:c r="E109" s="7" t="str">
        <x:v>https://arxiv.org/abs/2603.16839</x:v>
      </x:c>
      <x:c r="F109" s="3" t="str">
        <x:v>Tavus Inc.; University of Texas at Dallas; Texas A&amp;M University</x:v>
      </x:c>
      <x:c r="G109" s="3" t="str">
        <x:v>Method;Framework</x:v>
      </x:c>
      <x:c r="H109" s="3" t="str">
        <x:v>artifact</x:v>
      </x:c>
      <x:c r="I109" s="3" t="str">
        <x:v>Inverse-specification rewards for slide generation</x:v>
      </x:c>
      <x:c r="J109" s="3" t="str">
        <x:v>planning;execution;verification;learning</x:v>
      </x:c>
      <x:c r="K109" s="3" t="str">
        <x:v>reward-verification;agentic-rl</x:v>
      </x:c>
      <x:c r="L109" s="3" t="str">
        <x:v>5.1.1;5.1.3;5.2.2</x:v>
      </x:c>
      <x:c r="M109" s="3" t="str">
        <x:v>构建 OpenEnv 兼容的 HTML 幻灯片 RL 环境，以逆向恢复需求的奖励联合结构、内容和视觉质量。</x:v>
      </x:c>
      <x:c r="N109" s="7" t="str">
        <x:v>https://github.com/pushing-the-frontier/slide-forge-llm</x:v>
      </x:c>
      <x:c r="O109" s="7" t="str">
        <x:v>https://huggingface.co/datasets/KarthikRagunathAnandaKumar/sliderl-multi-turn-rollouts</x:v>
      </x:c>
      <x:c r="P109" s="3" t="str">
        <x:v>verified</x:v>
      </x:c>
      <x:c r="Q109" s="7" t="str">
        <x:v>https://arxiv.org/html/2603.16839v1</x:v>
      </x:c>
      <x:c r="R109" s="7" t="str">
        <x:v>https://arxiv.org/abs/2603.16839</x:v>
      </x:c>
      <x:c r="S109" s="3" t="str">
        <x:v>108</x:v>
      </x:c>
      <x:c r="T109" s="3" t="str">
        <x:v>survey bibliography</x:v>
      </x:c>
      <x:c r="U109" s="5" t="d">
        <x:v>2026-10-16T00:00:00.000Z</x:v>
      </x:c>
      <x:c r="V109" s="6" t="str">
        <x:v>未分配</x:v>
      </x:c>
      <x:c r="W109" s="6" t="str"/>
      <x:c r="X109" s="6" t="str"/>
      <x:c r="Y109" s="6" t="str"/>
      <x:c r="Z109" s="3" t="str"/>
    </x:row>
    <x:row r="110" ht="55" customHeight="1">
      <x:c r="A110" s="3" t="str">
        <x:v>WA-0109</x:v>
      </x:c>
      <x:c r="B110" s="3" t="str">
        <x:v>CogEvol: Towards Efficient and Reliable Learning Environment Generation</x:v>
      </x:c>
      <x:c r="C110" s="3" t="str">
        <x:v>CogEvol</x:v>
      </x:c>
      <x:c r="D110" s="4" t="n">
        <x:v>2026</x:v>
      </x:c>
      <x:c r="E110" s="7" t="str">
        <x:v>https://arxiv.org/abs/2608.30968</x:v>
      </x:c>
      <x:c r="F110" s="3" t="str">
        <x:v>CogEvol Inc.; Tsinghua University</x:v>
      </x:c>
      <x:c r="G110" s="3" t="str">
        <x:v>Method;Framework</x:v>
      </x:c>
      <x:c r="H110" s="3" t="str">
        <x:v>artifact</x:v>
      </x:c>
      <x:c r="I110" s="3" t="str">
        <x:v>Production-grounded training for learning artifacts</x:v>
      </x:c>
      <x:c r="J110" s="3" t="str">
        <x:v>execution;verification;learning</x:v>
      </x:c>
      <x:c r="K110" s="3" t="str">
        <x:v>reward-verification;mid-training-sft;agentic-rl</x:v>
      </x:c>
      <x:c r="L110" s="3" t="str">
        <x:v>5.1.1;5.1.3;5.2.1;5.2.2</x:v>
      </x:c>
      <x:c r="M110" s="3" t="str">
        <x:v>把生产失败转成经验证 SFT 数据，并以规则与 VLM 混合奖励训练教学 slides 和交互 HTML 生成。</x:v>
      </x:c>
      <x:c r="N110" s="7" t="str">
        <x:v>https://github.com/CogEvol/CogEvol-4B</x:v>
      </x:c>
      <x:c r="O110" s="3" t="str"/>
      <x:c r="P110" s="3" t="str">
        <x:v>verified</x:v>
      </x:c>
      <x:c r="Q110" s="7" t="str">
        <x:v>https://arxiv.org/html/2608.30968v2</x:v>
      </x:c>
      <x:c r="R110" s="7" t="str">
        <x:v>https://arxiv.org/abs/2608.30968</x:v>
      </x:c>
      <x:c r="S110" s="3" t="str">
        <x:v>109</x:v>
      </x:c>
      <x:c r="T110" s="3" t="str">
        <x:v>survey bibliography</x:v>
      </x:c>
      <x:c r="U110" s="5" t="d">
        <x:v>2026-10-16T00:00:00.000Z</x:v>
      </x:c>
      <x:c r="V110" s="6" t="str">
        <x:v>未分配</x:v>
      </x:c>
      <x:c r="W110" s="6" t="str"/>
      <x:c r="X110" s="6" t="str"/>
      <x:c r="Y110" s="6" t="str"/>
      <x:c r="Z110" s="3" t="str">
        <x:v>Learning environment 指教学内容与交互页面，不能仅按题名归入 agent 环境合成。</x:v>
      </x:c>
    </x:row>
    <x:row r="111" ht="70" customHeight="1">
      <x:c r="A111" s="3" t="str">
        <x:v>WA-0110</x:v>
      </x:c>
      <x:c r="B111" s="3" t="str">
        <x:v>VERA: Scaling Verifiable Environments for Agentic co-Evolution</x:v>
      </x:c>
      <x:c r="C111" s="3" t="str">
        <x:v>VERA</x:v>
      </x:c>
      <x:c r="D111" s="4" t="n">
        <x:v>2026</x:v>
      </x:c>
      <x:c r="E111" s="7" t="str">
        <x:v>https://arxiv.org/abs/2610.05923</x:v>
      </x:c>
      <x:c r="F111" s="3" t="str">
        <x:v>NVIDIA; University of California, Santa Cruz; University of Illinois Urbana-Champaign; National University of Singapore; Tsinghua University; Xi’an Jiaotong University; University of Pennsylvania</x:v>
      </x:c>
      <x:c r="G111" s="3" t="str">
        <x:v>Method;Framework</x:v>
      </x:c>
      <x:c r="H111" s="3" t="str">
        <x:v>verification</x:v>
      </x:c>
      <x:c r="I111" s="3" t="str">
        <x:v>Resumable verifiable environments and gated co-evolution</x:v>
      </x:c>
      <x:c r="J111" s="3" t="str">
        <x:v>execution;state-management;verification;learning</x:v>
      </x:c>
      <x:c r="K111" s="3" t="str">
        <x:v>environment-synthesis;reward-verification;model-harness-coupling</x:v>
      </x:c>
      <x:c r="L111" s="3" t="str">
        <x:v>5.1.1;5.1.3;5.4.3</x:v>
      </x:c>
      <x:c r="M111" s="3" t="str">
        <x:v>从轨迹构建可恢复的分阶段验证环境，用统一验收门槛交替筛选模型训练和 harness 技能更新。</x:v>
      </x:c>
      <x:c r="N111" s="7" t="str">
        <x:v>https://github.com/AutoMedBench/VERA</x:v>
      </x:c>
      <x:c r="O111" s="3" t="str"/>
      <x:c r="P111" s="3" t="str">
        <x:v>verified</x:v>
      </x:c>
      <x:c r="Q111" s="7" t="str">
        <x:v>https://arxiv.org/html/2610.05923v1</x:v>
      </x:c>
      <x:c r="R111" s="7" t="str">
        <x:v>https://arxiv.org/abs/2610.05923</x:v>
      </x:c>
      <x:c r="S111" s="3" t="str">
        <x:v>110</x:v>
      </x:c>
      <x:c r="T111" s="3" t="str">
        <x:v>survey bibliography</x:v>
      </x:c>
      <x:c r="U111" s="5" t="d">
        <x:v>2026-10-16T00:00:00.000Z</x:v>
      </x:c>
      <x:c r="V111" s="6" t="str">
        <x:v>未分配</x:v>
      </x:c>
      <x:c r="W111" s="6" t="str"/>
      <x:c r="X111" s="6" t="str"/>
      <x:c r="Y111" s="6" t="str"/>
      <x:c r="Z111" s="3" t="str">
        <x:v>HTML 首页明确列出代码仓库；不把文内 AutoMedBench 等引用数据链接误作本工作数据。</x:v>
      </x:c>
    </x:row>
    <x:row r="112" ht="55" customHeight="1">
      <x:c r="A112" s="3" t="str">
        <x:v>WA-0111</x:v>
      </x:c>
      <x:c r="B112" s="3" t="str">
        <x:v>daVinci-Env: Open SWE Environment Synthesis at Scale</x:v>
      </x:c>
      <x:c r="C112" s="3" t="str">
        <x:v>daVinci-Env / OpenSWE</x:v>
      </x:c>
      <x:c r="D112" s="4" t="n">
        <x:v>2026</x:v>
      </x:c>
      <x:c r="E112" s="7" t="str">
        <x:v>https://arxiv.org/abs/2603.13023</x:v>
      </x:c>
      <x:c r="F112" s="3" t="str">
        <x:v>Shanghai Innovation Institute (SII); Shanghai Jiao Tong University; GAIR</x:v>
      </x:c>
      <x:c r="G112" s="3" t="str">
        <x:v>Method;Framework</x:v>
      </x:c>
      <x:c r="H112" s="3" t="str">
        <x:v>swe-science</x:v>
      </x:c>
      <x:c r="I112" s="3" t="str">
        <x:v>Executable SWE environment synthesis</x:v>
      </x:c>
      <x:c r="J112" s="3" t="str">
        <x:v>execution;state-management;verification;learning</x:v>
      </x:c>
      <x:c r="K112" s="3" t="str">
        <x:v>environment-synthesis</x:v>
      </x:c>
      <x:c r="L112" s="3" t="str">
        <x:v>5.1.1</x:v>
      </x:c>
      <x:c r="M112" s="3" t="str">
        <x:v>自动探索代码仓库、构建 Docker、生成评测脚本并反复测试，形成开放可执行 SWE 训练环境。</x:v>
      </x:c>
      <x:c r="N112" s="7" t="str">
        <x:v>https://github.com/GAIR-NLP/OpenSWE</x:v>
      </x:c>
      <x:c r="O112" s="3" t="str"/>
      <x:c r="P112" s="3" t="str">
        <x:v>verified</x:v>
      </x:c>
      <x:c r="Q112" s="7" t="str">
        <x:v>https://arxiv.org/html/2603.13023v2</x:v>
      </x:c>
      <x:c r="R112" s="7" t="str">
        <x:v>https://arxiv.org/abs/2603.13023</x:v>
      </x:c>
      <x:c r="S112" s="3" t="str">
        <x:v>111</x:v>
      </x:c>
      <x:c r="T112" s="3" t="str">
        <x:v>survey bibliography</x:v>
      </x:c>
      <x:c r="U112" s="5" t="d">
        <x:v>2026-10-16T00:00:00.000Z</x:v>
      </x:c>
      <x:c r="V112" s="6" t="str">
        <x:v>未分配</x:v>
      </x:c>
      <x:c r="W112" s="6" t="str"/>
      <x:c r="X112" s="6" t="str"/>
      <x:c r="Y112" s="6" t="str"/>
      <x:c r="Z112" s="3" t="str">
        <x:v>当前摘要将发布框架称为 OpenSWE，题名仍为 daVinci-Env；同一论文，保留别名避免重复。</x:v>
      </x:c>
    </x:row>
    <x:row r="113" ht="55" customHeight="1">
      <x:c r="A113" s="3" t="str">
        <x:v>WA-0112</x:v>
      </x:c>
      <x:c r="B113" s="3" t="str">
        <x:v>EnvScaler: Scaling Tool-Interactive Environments for LLM Agent via Programmatic Synthesis</x:v>
      </x:c>
      <x:c r="C113" s="3" t="str">
        <x:v>EnvScaler</x:v>
      </x:c>
      <x:c r="D113" s="4" t="n">
        <x:v>2026</x:v>
      </x:c>
      <x:c r="E113" s="7" t="str">
        <x:v>https://arxiv.org/abs/2601.05808</x:v>
      </x:c>
      <x:c r="F113" s="3" t="str">
        <x:v>Renmin University of China, Gaoling School of Artificial Intelligence</x:v>
      </x:c>
      <x:c r="G113" s="3" t="str">
        <x:v>Method;Framework</x:v>
      </x:c>
      <x:c r="H113" s="3" t="str">
        <x:v>tool-enterprise</x:v>
      </x:c>
      <x:c r="I113" s="3" t="str">
        <x:v>Programmatic stateful tool-environment synthesis</x:v>
      </x:c>
      <x:c r="J113" s="3" t="str">
        <x:v>execution;state-management;verification;learning</x:v>
      </x:c>
      <x:c r="K113" s="3" t="str">
        <x:v>environment-synthesis</x:v>
      </x:c>
      <x:c r="L113" s="3" t="str">
        <x:v>5.1.1</x:v>
      </x:c>
      <x:c r="M113" s="3" t="str">
        <x:v>用 SkelBuilder 生成环境骨架，再由 ScenGenerator 构建场景及规则化轨迹验证函数。</x:v>
      </x:c>
      <x:c r="N113" s="7" t="str">
        <x:v>https://github.com/RUC-NLPIR/EnvScaler</x:v>
      </x:c>
      <x:c r="O113" s="3" t="str"/>
      <x:c r="P113" s="3" t="str">
        <x:v>verified</x:v>
      </x:c>
      <x:c r="Q113" s="7" t="str">
        <x:v>https://arxiv.org/html/2601.05808v2</x:v>
      </x:c>
      <x:c r="R113" s="7" t="str">
        <x:v>https://arxiv.org/abs/2601.05808</x:v>
      </x:c>
      <x:c r="S113" s="3" t="str">
        <x:v>112</x:v>
      </x:c>
      <x:c r="T113" s="3" t="str">
        <x:v>survey bibliography</x:v>
      </x:c>
      <x:c r="U113" s="5" t="d">
        <x:v>2026-10-16T00:00:00.000Z</x:v>
      </x:c>
      <x:c r="V113" s="6" t="str">
        <x:v>未分配</x:v>
      </x:c>
      <x:c r="W113" s="6" t="str"/>
      <x:c r="X113" s="6" t="str"/>
      <x:c r="Y113" s="6" t="str"/>
      <x:c r="Z113" s="3" t="str"/>
    </x:row>
    <x:row r="114" ht="55" customHeight="1">
      <x:c r="A114" s="3" t="str">
        <x:v>WA-0113</x:v>
      </x:c>
      <x:c r="B114" s="3" t="str">
        <x:v>Beyond Quantity: Trajectory Diversity Scaling for Code Agents</x:v>
      </x:c>
      <x:c r="C114" s="3" t="str">
        <x:v>TDScaling</x:v>
      </x:c>
      <x:c r="D114" s="4" t="n">
        <x:v>2026</x:v>
      </x:c>
      <x:c r="E114" s="7" t="str">
        <x:v>https://arxiv.org/abs/2602.03219</x:v>
      </x:c>
      <x:c r="F114" s="3" t="str">
        <x:v>Shenzhen Institute of Advanced Technology, Chinese Academy of Sciences; Qoder; UNSW Sydney; Alibaba Group; Shenzhen University of Advanced Technology</x:v>
      </x:c>
      <x:c r="G114" s="3" t="str">
        <x:v>Method</x:v>
      </x:c>
      <x:c r="H114" s="3" t="str">
        <x:v>tool-enterprise</x:v>
      </x:c>
      <x:c r="I114" s="3" t="str">
        <x:v>Trajectory diversity scaling and business clustering</x:v>
      </x:c>
      <x:c r="J114" s="3" t="str">
        <x:v>planning;coordination;execution;learning</x:v>
      </x:c>
      <x:c r="K114" s="3" t="str">
        <x:v>trajectory-curation</x:v>
      </x:c>
      <x:c r="L114" s="3" t="str">
        <x:v>5.1.2</x:v>
      </x:c>
      <x:c r="M114" s="3" t="str">
        <x:v>以业务集群、蓝图驱动多智能体合成和自适应演化提升固定预算下的轨迹多样性。</x:v>
      </x:c>
      <x:c r="N114" s="3" t="str"/>
      <x:c r="O114" s="3" t="str"/>
      <x:c r="P114" s="3" t="str">
        <x:v>verified</x:v>
      </x:c>
      <x:c r="Q114" s="7" t="str">
        <x:v>https://arxiv.org/html/2602.03219v2</x:v>
      </x:c>
      <x:c r="R114" s="7" t="str">
        <x:v>https://arxiv.org/abs/2602.03219</x:v>
      </x:c>
      <x:c r="S114" s="3" t="str">
        <x:v>113</x:v>
      </x:c>
      <x:c r="T114" s="3" t="str">
        <x:v>survey bibliography</x:v>
      </x:c>
      <x:c r="U114" s="5" t="d">
        <x:v>2026-10-16T00:00:00.000Z</x:v>
      </x:c>
      <x:c r="V114" s="6" t="str">
        <x:v>未分配</x:v>
      </x:c>
      <x:c r="W114" s="6" t="str"/>
      <x:c r="X114" s="6" t="str"/>
      <x:c r="Y114" s="6" t="str"/>
      <x:c r="Z114" s="3" t="str"/>
    </x:row>
    <x:row r="115" ht="55" customHeight="1">
      <x:c r="A115" s="3" t="str">
        <x:v>WA-0114</x:v>
      </x:c>
      <x:c r="B115" s="3" t="str">
        <x:v>daVinci-Dev: Agent-native Mid-training for Software Engineering</x:v>
      </x:c>
      <x:c r="C115" s="3" t="str">
        <x:v>daVinci-Dev</x:v>
      </x:c>
      <x:c r="D115" s="4" t="n">
        <x:v>2026</x:v>
      </x:c>
      <x:c r="E115" s="7" t="str">
        <x:v>https://arxiv.org/abs/2601.18418</x:v>
      </x:c>
      <x:c r="F115" s="3" t="str">
        <x:v>Shanghai Innovation Institute (SII); Shanghai Jiao Tong University; GAIR</x:v>
      </x:c>
      <x:c r="G115" s="3" t="str">
        <x:v>Method</x:v>
      </x:c>
      <x:c r="H115" s="3" t="str">
        <x:v>swe-science</x:v>
      </x:c>
      <x:c r="I115" s="3" t="str">
        <x:v>Agent-native software engineering mid-training</x:v>
      </x:c>
      <x:c r="J115" s="3" t="str">
        <x:v>reasoning;execution;learning</x:v>
      </x:c>
      <x:c r="K115" s="3" t="str">
        <x:v>mid-training-sft</x:v>
      </x:c>
      <x:c r="L115" s="3" t="str">
        <x:v>5.2.1</x:v>
      </x:c>
      <x:c r="M115" s="3" t="str">
        <x:v>研究与真实代码修改、工具反馈和迭代验证相匹配的 agent 原生中训练数据与训练方法。</x:v>
      </x:c>
      <x:c r="N115" s="7" t="str">
        <x:v>https://github.com/GAIR-NLP/daVinci-Dev</x:v>
      </x:c>
      <x:c r="O115" s="3" t="str"/>
      <x:c r="P115" s="3" t="str">
        <x:v>verified</x:v>
      </x:c>
      <x:c r="Q115" s="7" t="str">
        <x:v>https://arxiv.org/html/2601.18418v2</x:v>
      </x:c>
      <x:c r="R115" s="7" t="str">
        <x:v>https://arxiv.org/abs/2601.18418</x:v>
      </x:c>
      <x:c r="S115" s="3" t="str">
        <x:v>114</x:v>
      </x:c>
      <x:c r="T115" s="3" t="str">
        <x:v>survey bibliography</x:v>
      </x:c>
      <x:c r="U115" s="5" t="d">
        <x:v>2026-10-16T00:00:00.000Z</x:v>
      </x:c>
      <x:c r="V115" s="6" t="str">
        <x:v>未分配</x:v>
      </x:c>
      <x:c r="W115" s="6" t="str"/>
      <x:c r="X115" s="6" t="str"/>
      <x:c r="Y115" s="6" t="str"/>
      <x:c r="Z115" s="3" t="str"/>
    </x:row>
    <x:row r="116" ht="55" customHeight="1">
      <x:c r="A116" s="3" t="str">
        <x:v>WA-0115</x:v>
      </x:c>
      <x:c r="B116" s="3" t="str">
        <x:v>TrajLong: Co-Designing Agentic and Long-Context Supervision for Mid-Training</x:v>
      </x:c>
      <x:c r="C116" s="3" t="str">
        <x:v>TrajLong</x:v>
      </x:c>
      <x:c r="D116" s="4" t="n">
        <x:v>2026</x:v>
      </x:c>
      <x:c r="E116" s="7" t="str">
        <x:v>https://arxiv.org/abs/2610.04973</x:v>
      </x:c>
      <x:c r="F116" s="3" t="str">
        <x:v>The Hong Kong University of Science and Technology (Guangzhou); Tencent Hunyuan Team; Peking University</x:v>
      </x:c>
      <x:c r="G116" s="3" t="str">
        <x:v>Method</x:v>
      </x:c>
      <x:c r="H116" s="3" t="str">
        <x:v>harness</x:v>
      </x:c>
      <x:c r="I116" s="3" t="str">
        <x:v>Long-context supervision compiled from agent trajectories</x:v>
      </x:c>
      <x:c r="J116" s="3" t="str">
        <x:v>reasoning;state-management;learning</x:v>
      </x:c>
      <x:c r="K116" s="3" t="str">
        <x:v>mid-training-sft</x:v>
      </x:c>
      <x:c r="L116" s="3" t="str">
        <x:v>5.2.1</x:v>
      </x:c>
      <x:c r="M116" s="3" t="str">
        <x:v>把轨迹编译为证据定位、跨证据聚合和时序状态维护等密集长上下文中训练任务。</x:v>
      </x:c>
      <x:c r="N116" s="3" t="str"/>
      <x:c r="O116" s="3" t="str"/>
      <x:c r="P116" s="3" t="str">
        <x:v>verified</x:v>
      </x:c>
      <x:c r="Q116" s="7" t="str">
        <x:v>https://arxiv.org/html/2610.04973v1</x:v>
      </x:c>
      <x:c r="R116" s="7" t="str">
        <x:v>https://arxiv.org/abs/2610.04973</x:v>
      </x:c>
      <x:c r="S116" s="3" t="str">
        <x:v>115</x:v>
      </x:c>
      <x:c r="T116" s="3" t="str">
        <x:v>survey bibliography</x:v>
      </x:c>
      <x:c r="U116" s="5" t="d">
        <x:v>2026-10-16T00:00:00.000Z</x:v>
      </x:c>
      <x:c r="V116" s="6" t="str">
        <x:v>未分配</x:v>
      </x:c>
      <x:c r="W116" s="6" t="str"/>
      <x:c r="X116" s="6" t="str"/>
      <x:c r="Y116" s="6" t="str"/>
      <x:c r="Z116" s="3" t="str"/>
    </x:row>
    <x:row r="117" ht="55" customHeight="1">
      <x:c r="A117" s="3" t="str">
        <x:v>WA-0116</x:v>
      </x:c>
      <x:c r="B117" s="3" t="str">
        <x:v>Adaptive Milestone Reward for GUI Agents</x:v>
      </x:c>
      <x:c r="C117" s="3" t="str">
        <x:v>ADMIRE</x:v>
      </x:c>
      <x:c r="D117" s="4" t="n">
        <x:v>2026</x:v>
      </x:c>
      <x:c r="E117" s="7" t="str">
        <x:v>https://arxiv.org/abs/2602.11524</x:v>
      </x:c>
      <x:c r="F117" s="3" t="str">
        <x:v>Shanghai Jiao Tong University; OPPO Research Institute</x:v>
      </x:c>
      <x:c r="G117" s="3" t="str">
        <x:v>Method</x:v>
      </x:c>
      <x:c r="H117" s="3" t="str">
        <x:v>computer-use</x:v>
      </x:c>
      <x:c r="I117" s="3" t="str">
        <x:v>Adaptive milestone rewards and asymmetric credit assignment</x:v>
      </x:c>
      <x:c r="J117" s="3" t="str">
        <x:v>planning;execution;verification;learning</x:v>
      </x:c>
      <x:c r="K117" s="3" t="str">
        <x:v>agentic-rl;reward-verification</x:v>
      </x:c>
      <x:c r="L117" s="3" t="str">
        <x:v>5.2.2</x:v>
      </x:c>
      <x:c r="M117" s="3" t="str">
        <x:v>从成功探索动态提炼可验证里程碑，并用不对称归因平衡长程 GUI 奖励的密度与可信度。</x:v>
      </x:c>
      <x:c r="N117" s="3" t="str"/>
      <x:c r="O117" s="3" t="str"/>
      <x:c r="P117" s="3" t="str">
        <x:v>verified</x:v>
      </x:c>
      <x:c r="Q117" s="7" t="str">
        <x:v>https://arxiv.org/html/2602.11524v1</x:v>
      </x:c>
      <x:c r="R117" s="7" t="str">
        <x:v>https://arxiv.org/abs/2602.11524</x:v>
      </x:c>
      <x:c r="S117" s="3" t="str">
        <x:v>116</x:v>
      </x:c>
      <x:c r="T117" s="3" t="str">
        <x:v>survey bibliography</x:v>
      </x:c>
      <x:c r="U117" s="5" t="d">
        <x:v>2026-10-16T00:00:00.000Z</x:v>
      </x:c>
      <x:c r="V117" s="6" t="str">
        <x:v>未分配</x:v>
      </x:c>
      <x:c r="W117" s="6" t="str"/>
      <x:c r="X117" s="6" t="str"/>
      <x:c r="Y117" s="6" t="str"/>
      <x:c r="Z117" s="3" t="str"/>
    </x:row>
    <x:row r="118" ht="55" customHeight="1">
      <x:c r="A118" s="3" t="str">
        <x:v>WA-0117</x:v>
      </x:c>
      <x:c r="B118" s="3" t="str">
        <x:v>HiPER: Hierarchical Reinforcement Learning with Explicit Credit Assignment for Large Language Model Agents</x:v>
      </x:c>
      <x:c r="C118" s="3" t="str">
        <x:v>HiPER</x:v>
      </x:c>
      <x:c r="D118" s="4" t="n">
        <x:v>2026</x:v>
      </x:c>
      <x:c r="E118" s="7" t="str">
        <x:v>https://arxiv.org/abs/2602.16165</x:v>
      </x:c>
      <x:c r="F118" s="3" t="str">
        <x:v>University of Minnesota; Northwestern University; Amazon AGI; Cisco Research; Texas A&amp;M University</x:v>
      </x:c>
      <x:c r="G118" s="3" t="str">
        <x:v>Method</x:v>
      </x:c>
      <x:c r="H118" s="3" t="str">
        <x:v>harness</x:v>
      </x:c>
      <x:c r="I118" s="3" t="str">
        <x:v>Hierarchical plan–execute reinforcement learning</x:v>
      </x:c>
      <x:c r="J118" s="3" t="str">
        <x:v>planning;execution;learning</x:v>
      </x:c>
      <x:c r="K118" s="3" t="str">
        <x:v>agentic-rl</x:v>
      </x:c>
      <x:c r="L118" s="3" t="str">
        <x:v>5.2.2</x:v>
      </x:c>
      <x:c r="M118" s="3" t="str">
        <x:v>显式分离高层规划与低层执行，通过分层时间抽象和归因缓解长程稀疏奖励学习困难。</x:v>
      </x:c>
      <x:c r="N118" s="7" t="str">
        <x:v>https://github.com/JonP07/HiPER-agent</x:v>
      </x:c>
      <x:c r="O118" s="3" t="str"/>
      <x:c r="P118" s="3" t="str">
        <x:v>verified</x:v>
      </x:c>
      <x:c r="Q118" s="7" t="str">
        <x:v>https://arxiv.org/html/2602.16165v2</x:v>
      </x:c>
      <x:c r="R118" s="7" t="str">
        <x:v>https://arxiv.org/abs/2602.16165</x:v>
      </x:c>
      <x:c r="S118" s="3" t="str">
        <x:v>117</x:v>
      </x:c>
      <x:c r="T118" s="3" t="str">
        <x:v>survey bibliography</x:v>
      </x:c>
      <x:c r="U118" s="5" t="d">
        <x:v>2026-10-16T00:00:00.000Z</x:v>
      </x:c>
      <x:c r="V118" s="6" t="str">
        <x:v>未分配</x:v>
      </x:c>
      <x:c r="W118" s="6" t="str"/>
      <x:c r="X118" s="6" t="str"/>
      <x:c r="Y118" s="6" t="str"/>
      <x:c r="Z118" s="3" t="str"/>
    </x:row>
    <x:row r="119" ht="55" customHeight="1">
      <x:c r="A119" s="3" t="str">
        <x:v>WA-0118</x:v>
      </x:c>
      <x:c r="B119" s="3" t="str">
        <x:v>TCOD: Exploring Temporal Curriculum in On-Policy Distillation for Multi-turn Autonomous Agents</x:v>
      </x:c>
      <x:c r="C119" s="3" t="str">
        <x:v>TCOD</x:v>
      </x:c>
      <x:c r="D119" s="4" t="n">
        <x:v>2026</x:v>
      </x:c>
      <x:c r="E119" s="7" t="str">
        <x:v>https://arxiv.org/abs/2604.24005</x:v>
      </x:c>
      <x:c r="F119" s="3" t="str">
        <x:v>Tongyi Lab, Alibaba Group; The Chinese University of Hong Kong</x:v>
      </x:c>
      <x:c r="G119" s="3" t="str">
        <x:v>Method</x:v>
      </x:c>
      <x:c r="H119" s="3" t="str">
        <x:v>harness</x:v>
      </x:c>
      <x:c r="I119" s="3" t="str">
        <x:v>Temporal curriculum for on-policy distillation</x:v>
      </x:c>
      <x:c r="J119" s="3" t="str">
        <x:v>execution;recovery;learning</x:v>
      </x:c>
      <x:c r="K119" s="3" t="str">
        <x:v>on-policy-distillation</x:v>
      </x:c>
      <x:c r="L119" s="3" t="str">
        <x:v>5.2.3</x:v>
      </x:c>
      <x:c r="M119" s="3" t="str">
        <x:v>针对多轮蒸馏的轨迹级 KL 不稳定，设计时间课程降低误差累积及教师监督失效。</x:v>
      </x:c>
      <x:c r="N119" s="7" t="str">
        <x:v>https://github.com/kokolerk/TCOD</x:v>
      </x:c>
      <x:c r="O119" s="3" t="str"/>
      <x:c r="P119" s="3" t="str">
        <x:v>verified</x:v>
      </x:c>
      <x:c r="Q119" s="7" t="str">
        <x:v>https://arxiv.org/html/2604.24005v3</x:v>
      </x:c>
      <x:c r="R119" s="7" t="str">
        <x:v>https://arxiv.org/abs/2604.24005</x:v>
      </x:c>
      <x:c r="S119" s="3" t="str">
        <x:v>118</x:v>
      </x:c>
      <x:c r="T119" s="3" t="str">
        <x:v>survey bibliography</x:v>
      </x:c>
      <x:c r="U119" s="5" t="d">
        <x:v>2026-10-16T00:00:00.000Z</x:v>
      </x:c>
      <x:c r="V119" s="6" t="str">
        <x:v>未分配</x:v>
      </x:c>
      <x:c r="W119" s="6" t="str"/>
      <x:c r="X119" s="6" t="str"/>
      <x:c r="Y119" s="6" t="str"/>
      <x:c r="Z119" s="3" t="str"/>
    </x:row>
    <x:row r="120" ht="55" customHeight="1">
      <x:c r="A120" s="3" t="str">
        <x:v>WA-0119</x:v>
      </x:c>
      <x:c r="B120" s="3" t="str">
        <x:v>LiteGUI: Lightweight GUI Agents via Multi-Solution Guided Distillation and Dual-Level Reinforcement Learning</x:v>
      </x:c>
      <x:c r="C120" s="3" t="str">
        <x:v>LiteGUI</x:v>
      </x:c>
      <x:c r="D120" s="4" t="n">
        <x:v>2026</x:v>
      </x:c>
      <x:c r="E120" s="7" t="str">
        <x:v>https://arxiv.org/abs/2605.07505</x:v>
      </x:c>
      <x:c r="F120" s="3" t="str">
        <x:v>Moore Threads AI</x:v>
      </x:c>
      <x:c r="G120" s="3" t="str">
        <x:v>Method</x:v>
      </x:c>
      <x:c r="H120" s="3" t="str">
        <x:v>computer-use</x:v>
      </x:c>
      <x:c r="I120" s="3" t="str">
        <x:v>Multi-solution distillation and dual-level GUI RL</x:v>
      </x:c>
      <x:c r="J120" s="3" t="str">
        <x:v>perception;execution;learning</x:v>
      </x:c>
      <x:c r="K120" s="3" t="str">
        <x:v>on-policy-distillation</x:v>
      </x:c>
      <x:c r="L120" s="3" t="str">
        <x:v>5.2.3</x:v>
      </x:c>
      <x:c r="M120" s="3" t="str">
        <x:v>以多条人验有效动作路径指导在策略蒸馏，再结合动作级与轨迹级奖励训练轻量 GUI agent。</x:v>
      </x:c>
      <x:c r="N120" s="3" t="str"/>
      <x:c r="O120" s="3" t="str"/>
      <x:c r="P120" s="3" t="str">
        <x:v>verified</x:v>
      </x:c>
      <x:c r="Q120" s="7" t="str">
        <x:v>https://arxiv.org/html/2605.07505v2</x:v>
      </x:c>
      <x:c r="R120" s="7" t="str">
        <x:v>https://arxiv.org/abs/2605.07505</x:v>
      </x:c>
      <x:c r="S120" s="3" t="str">
        <x:v>119</x:v>
      </x:c>
      <x:c r="T120" s="3" t="str">
        <x:v>survey bibliography</x:v>
      </x:c>
      <x:c r="U120" s="5" t="d">
        <x:v>2026-10-16T00:00:00.000Z</x:v>
      </x:c>
      <x:c r="V120" s="6" t="str">
        <x:v>未分配</x:v>
      </x:c>
      <x:c r="W120" s="6" t="str"/>
      <x:c r="X120" s="6" t="str"/>
      <x:c r="Y120" s="6" t="str"/>
      <x:c r="Z120" s="3" t="str"/>
    </x:row>
    <x:row r="121" ht="55" customHeight="1">
      <x:c r="A121" s="3" t="str">
        <x:v>WA-0120</x:v>
      </x:c>
      <x:c r="B121" s="3" t="str">
        <x:v>The Next Screenshot Knows: Gated Hindsight Distillation for Mobile GUI Agents</x:v>
      </x:c>
      <x:c r="C121" s="3" t="str">
        <x:v>GHD / The Next Screenshot Knows</x:v>
      </x:c>
      <x:c r="D121" s="4" t="n">
        <x:v>2026</x:v>
      </x:c>
      <x:c r="E121" s="7" t="str">
        <x:v>https://arxiv.org/abs/2608.06065</x:v>
      </x:c>
      <x:c r="F121" s="3" t="str">
        <x:v>University of Electronic Science and Technology of China</x:v>
      </x:c>
      <x:c r="G121" s="3" t="str">
        <x:v>Method</x:v>
      </x:c>
      <x:c r="H121" s="3" t="str">
        <x:v>computer-use</x:v>
      </x:c>
      <x:c r="I121" s="3" t="str">
        <x:v>Gated hindsight screenshot distillation</x:v>
      </x:c>
      <x:c r="J121" s="3" t="str">
        <x:v>perception;reasoning;execution;learning</x:v>
      </x:c>
      <x:c r="K121" s="3" t="str">
        <x:v>on-policy-distillation</x:v>
      </x:c>
      <x:c r="L121" s="3" t="str">
        <x:v>5.2.3</x:v>
      </x:c>
      <x:c r="M121" s="3" t="str">
        <x:v>把下一张截图作为训练期特权信息，仅在教师能纠正学生错误时蒸馏对应动作推理。</x:v>
      </x:c>
      <x:c r="N121" s="3" t="str"/>
      <x:c r="O121" s="3" t="str"/>
      <x:c r="P121" s="3" t="str">
        <x:v>verified</x:v>
      </x:c>
      <x:c r="Q121" s="7" t="str">
        <x:v>https://arxiv.org/pdf/2608.06065</x:v>
      </x:c>
      <x:c r="R121" s="7" t="str">
        <x:v>https://arxiv.org/abs/2608.06065</x:v>
      </x:c>
      <x:c r="S121" s="3" t="str">
        <x:v>120</x:v>
      </x:c>
      <x:c r="T121" s="3" t="str">
        <x:v>survey bibliography</x:v>
      </x:c>
      <x:c r="U121" s="5" t="d">
        <x:v>2026-10-16T00:00:00.000Z</x:v>
      </x:c>
      <x:c r="V121" s="6" t="str">
        <x:v>未分配</x:v>
      </x:c>
      <x:c r="W121" s="6" t="str"/>
      <x:c r="X121" s="6" t="str"/>
      <x:c r="Y121" s="6" t="str"/>
      <x:c r="Z121" s="3" t="str">
        <x:v>机构由 PDF 首页核实；论文称代码和 checkpoints 将发布，未提供可核验官方链接。</x:v>
      </x:c>
    </x:row>
    <x:row r="122" ht="55" customHeight="1">
      <x:c r="A122" s="3" t="str">
        <x:v>WA-0121</x:v>
      </x:c>
      <x:c r="B122" s="3" t="str">
        <x:v>Reinforcement Learning via Self-Distillation</x:v>
      </x:c>
      <x:c r="C122" s="3" t="str">
        <x:v>SDPO</x:v>
      </x:c>
      <x:c r="D122" s="4" t="n">
        <x:v>2026</x:v>
      </x:c>
      <x:c r="E122" s="7" t="str">
        <x:v>https://arxiv.org/abs/2601.20802</x:v>
      </x:c>
      <x:c r="F122" s="3" t="str">
        <x:v>ETH Zurich; Massachusetts Institute of Technology; Stanford University; Max Planck Institute for Intelligent Systems</x:v>
      </x:c>
      <x:c r="G122" s="3" t="str">
        <x:v>Method</x:v>
      </x:c>
      <x:c r="H122" s="3" t="str">
        <x:v>harness</x:v>
      </x:c>
      <x:c r="I122" s="3" t="str">
        <x:v>Rich-feedback self-distillation policy optimization</x:v>
      </x:c>
      <x:c r="J122" s="3" t="str">
        <x:v>reasoning;execution;verification;learning</x:v>
      </x:c>
      <x:c r="K122" s="3" t="str">
        <x:v>self-improving-training</x:v>
      </x:c>
      <x:c r="L122" s="3" t="str">
        <x:v>5.2.4</x:v>
      </x:c>
      <x:c r="M122" s="3" t="str">
        <x:v>以获得文字环境反馈的当前模型作为自教师，把反馈转为密集 token 级学习信号。</x:v>
      </x:c>
      <x:c r="N122" s="7" t="str">
        <x:v>https://github.com/lasgroup/SDPO</x:v>
      </x:c>
      <x:c r="O122" s="3" t="str"/>
      <x:c r="P122" s="3" t="str">
        <x:v>verified</x:v>
      </x:c>
      <x:c r="Q122" s="7" t="str">
        <x:v>https://arxiv.org/html/2601.20802v2</x:v>
      </x:c>
      <x:c r="R122" s="7" t="str">
        <x:v>https://arxiv.org/abs/2601.20802</x:v>
      </x:c>
      <x:c r="S122" s="3" t="str">
        <x:v>121</x:v>
      </x:c>
      <x:c r="T122" s="3" t="str">
        <x:v>survey bibliography</x:v>
      </x:c>
      <x:c r="U122" s="5" t="d">
        <x:v>2026-10-16T00:00:00.000Z</x:v>
      </x:c>
      <x:c r="V122" s="6" t="str">
        <x:v>未分配</x:v>
      </x:c>
      <x:c r="W122" s="6" t="str"/>
      <x:c r="X122" s="6" t="str"/>
      <x:c r="Y122" s="6" t="str"/>
      <x:c r="Z122" s="3" t="str"/>
    </x:row>
    <x:row r="123" ht="55" customHeight="1">
      <x:c r="A123" s="3" t="str">
        <x:v>WA-0122</x:v>
      </x:c>
      <x:c r="B123" s="3" t="str">
        <x:v>Retrospective Progress-Aware Self-Refinement for LLM Agent Training</x:v>
      </x:c>
      <x:c r="C123" s="3" t="str">
        <x:v>RePro</x:v>
      </x:c>
      <x:c r="D123" s="4" t="n">
        <x:v>2026</x:v>
      </x:c>
      <x:c r="E123" s="7" t="str">
        <x:v>https://arxiv.org/abs/2606.14302</x:v>
      </x:c>
      <x:c r="F123" s="3" t="str">
        <x:v>Shanghai Jiao Tong University; National University of Singapore; OPPO Research Institute</x:v>
      </x:c>
      <x:c r="G123" s="3" t="str">
        <x:v>Method</x:v>
      </x:c>
      <x:c r="H123" s="3" t="str">
        <x:v>harness</x:v>
      </x:c>
      <x:c r="I123" s="3" t="str">
        <x:v>Retrospective progress-aware self-refinement training</x:v>
      </x:c>
      <x:c r="J123" s="3" t="str">
        <x:v>reasoning;execution;verification;learning</x:v>
      </x:c>
      <x:c r="K123" s="3" t="str">
        <x:v>self-improving-training</x:v>
      </x:c>
      <x:c r="L123" s="3" t="str">
        <x:v>5.2.4</x:v>
      </x:c>
      <x:c r="M123" s="3" t="str">
        <x:v>先前向执行再回顾整条轨迹评估逐步进度，以自生成进度差分改进 agent 训练。</x:v>
      </x:c>
      <x:c r="N123" s="3" t="str"/>
      <x:c r="O123" s="3" t="str"/>
      <x:c r="P123" s="3" t="str">
        <x:v>verified</x:v>
      </x:c>
      <x:c r="Q123" s="7" t="str">
        <x:v>https://arxiv.org/html/2606.14302v2</x:v>
      </x:c>
      <x:c r="R123" s="7" t="str">
        <x:v>https://arxiv.org/abs/2606.14302</x:v>
      </x:c>
      <x:c r="S123" s="3" t="str">
        <x:v>122</x:v>
      </x:c>
      <x:c r="T123" s="3" t="str">
        <x:v>survey bibliography</x:v>
      </x:c>
      <x:c r="U123" s="5" t="d">
        <x:v>2026-10-16T00:00:00.000Z</x:v>
      </x:c>
      <x:c r="V123" s="6" t="str">
        <x:v>未分配</x:v>
      </x:c>
      <x:c r="W123" s="6" t="str"/>
      <x:c r="X123" s="6" t="str"/>
      <x:c r="Y123" s="6" t="str"/>
      <x:c r="Z123" s="3" t="str"/>
    </x:row>
    <x:row r="124" ht="55" customHeight="1">
      <x:c r="A124" s="3" t="str">
        <x:v>WA-0123</x:v>
      </x:c>
      <x:c r="B124" s="3" t="str">
        <x:v>Socratic-SWE: Self-Evolving Coding Agents via Trace-Derived Agent Skills</x:v>
      </x:c>
      <x:c r="C124" s="3" t="str">
        <x:v>Socratic-SWE</x:v>
      </x:c>
      <x:c r="D124" s="4" t="n">
        <x:v>2026</x:v>
      </x:c>
      <x:c r="E124" s="7" t="str">
        <x:v>https://arxiv.org/abs/2606.07412</x:v>
      </x:c>
      <x:c r="F124" s="3" t="str">
        <x:v>AI Data, Alibaba Group; Shanghai Jiao Tong University</x:v>
      </x:c>
      <x:c r="G124" s="3" t="str">
        <x:v>Method</x:v>
      </x:c>
      <x:c r="H124" s="3" t="str">
        <x:v>swe-science</x:v>
      </x:c>
      <x:c r="I124" s="3" t="str">
        <x:v>Trace-derived skills for failure-driven task evolution</x:v>
      </x:c>
      <x:c r="J124" s="3" t="str">
        <x:v>reasoning;memory;execution;learning</x:v>
      </x:c>
      <x:c r="K124" s="3" t="str">
        <x:v>self-improving-training</x:v>
      </x:c>
      <x:c r="L124" s="3" t="str">
        <x:v>5.2.4</x:v>
      </x:c>
      <x:c r="M124" s="3" t="str">
        <x:v>从历史求解轨迹提炼失败与修复技能，用技能引导针对当前弱点的新 SWE 任务生成和训练。</x:v>
      </x:c>
      <x:c r="N124" s="3" t="str"/>
      <x:c r="O124" s="3" t="str"/>
      <x:c r="P124" s="3" t="str">
        <x:v>verified</x:v>
      </x:c>
      <x:c r="Q124" s="7" t="str">
        <x:v>https://arxiv.org/html/2606.07412v1</x:v>
      </x:c>
      <x:c r="R124" s="7" t="str">
        <x:v>https://arxiv.org/abs/2606.07412</x:v>
      </x:c>
      <x:c r="S124" s="3" t="str">
        <x:v>123</x:v>
      </x:c>
      <x:c r="T124" s="3" t="str">
        <x:v>survey bibliography</x:v>
      </x:c>
      <x:c r="U124" s="5" t="d">
        <x:v>2026-10-16T00:00:00.000Z</x:v>
      </x:c>
      <x:c r="V124" s="6" t="str">
        <x:v>未分配</x:v>
      </x:c>
      <x:c r="W124" s="6" t="str"/>
      <x:c r="X124" s="6" t="str"/>
      <x:c r="Y124" s="6" t="str"/>
      <x:c r="Z124" s="3" t="str"/>
    </x:row>
    <x:row r="125" ht="55" customHeight="1">
      <x:c r="A125" s="3" t="str">
        <x:v>WA-0124</x:v>
      </x:c>
      <x:c r="B125" s="3" t="str">
        <x:v>Function-Aware Fill-in-the-Middle as Mid-Training for Coding Agent Foundation Models</x:v>
      </x:c>
      <x:c r="C125" s="3" t="str">
        <x:v>Function-Aware FIM</x:v>
      </x:c>
      <x:c r="D125" s="4" t="n">
        <x:v>2026</x:v>
      </x:c>
      <x:c r="E125" s="7" t="str">
        <x:v>https://arxiv.org/abs/2607.12463</x:v>
      </x:c>
      <x:c r="F125" s="3" t="str">
        <x:v>University of Waterloo; University of British Columbia; NVIDIA; Verdent AI; Vector Institute</x:v>
      </x:c>
      <x:c r="G125" s="3" t="str">
        <x:v>Method</x:v>
      </x:c>
      <x:c r="H125" s="3" t="str">
        <x:v>swe-science</x:v>
      </x:c>
      <x:c r="I125" s="3" t="str">
        <x:v>Function-aware fill-in-the-middle mid-training</x:v>
      </x:c>
      <x:c r="J125" s="3" t="str">
        <x:v>reasoning;execution;learning</x:v>
      </x:c>
      <x:c r="K125" s="3" t="str">
        <x:v>mid-training-sft</x:v>
      </x:c>
      <x:c r="L125" s="3" t="str">
        <x:v>5.2.1</x:v>
      </x:c>
      <x:c r="M125" s="3" t="str">
        <x:v>利用函数调用与 agent 动作–观测–继续推理的同构关系，通过函数级 FIM 中训练增强工具返回利用。</x:v>
      </x:c>
      <x:c r="N125" s="7" t="str">
        <x:v>https://github.com/TIGER-AI-Lab/FIM-Midtraining</x:v>
      </x:c>
      <x:c r="O125" s="3" t="str"/>
      <x:c r="P125" s="3" t="str">
        <x:v>verified</x:v>
      </x:c>
      <x:c r="Q125" s="7" t="str">
        <x:v>https://arxiv.org/html/2607.12463v3</x:v>
      </x:c>
      <x:c r="R125" s="7" t="str">
        <x:v>https://arxiv.org/abs/2607.12463</x:v>
      </x:c>
      <x:c r="S125" s="3" t="str">
        <x:v>124</x:v>
      </x:c>
      <x:c r="T125" s="3" t="str">
        <x:v>survey bibliography</x:v>
      </x:c>
      <x:c r="U125" s="5" t="d">
        <x:v>2026-10-16T00:00:00.000Z</x:v>
      </x:c>
      <x:c r="V125" s="6" t="str">
        <x:v>未分配</x:v>
      </x:c>
      <x:c r="W125" s="6" t="str"/>
      <x:c r="X125" s="6" t="str"/>
      <x:c r="Y125" s="6" t="str"/>
      <x:c r="Z125" s="3" t="str"/>
    </x:row>
    <x:row r="126" ht="55" customHeight="1">
      <x:c r="A126" s="3" t="str">
        <x:v>WA-0125</x:v>
      </x:c>
      <x:c r="B126" s="3" t="str">
        <x:v>UI-Mate: Advancing Open-Weight Foundation GUI Agents with In-Context Demonstrations</x:v>
      </x:c>
      <x:c r="C126" s="3" t="str">
        <x:v>UI-Mate</x:v>
      </x:c>
      <x:c r="D126" s="4" t="n">
        <x:v>2026</x:v>
      </x:c>
      <x:c r="E126" s="7" t="str">
        <x:v>https://arxiv.org/abs/2608.15930</x:v>
      </x:c>
      <x:c r="F126" s="3" t="str">
        <x:v>Tencent Hy Frontier Team</x:v>
      </x:c>
      <x:c r="G126" s="3" t="str">
        <x:v>Method;Framework</x:v>
      </x:c>
      <x:c r="H126" s="3" t="str">
        <x:v>computer-use</x:v>
      </x:c>
      <x:c r="I126" s="3" t="str">
        <x:v>Environment-grounded training and in-context demonstrations</x:v>
      </x:c>
      <x:c r="J126" s="3" t="str">
        <x:v>perception;planning;execution;verification;learning</x:v>
      </x:c>
      <x:c r="K126" s="3" t="str">
        <x:v>mid-training-sft;agentic-rl</x:v>
      </x:c>
      <x:c r="L126" s="3" t="str">
        <x:v>5.2.1;5.2.2</x:v>
      </x:c>
      <x:c r="M126" s="3" t="str">
        <x:v>统一环境构建、轨迹过滤、能力平衡、SFT 与在线 RL，并通过上下文示范约束用户特定操作。</x:v>
      </x:c>
      <x:c r="N126" s="3" t="str"/>
      <x:c r="O126" s="3" t="str"/>
      <x:c r="P126" s="3" t="str">
        <x:v>verified</x:v>
      </x:c>
      <x:c r="Q126" s="7" t="str">
        <x:v>https://arxiv.org/html/2608.15930v1</x:v>
      </x:c>
      <x:c r="R126" s="7" t="str">
        <x:v>https://arxiv.org/abs/2608.15930</x:v>
      </x:c>
      <x:c r="S126" s="3" t="str">
        <x:v>125</x:v>
      </x:c>
      <x:c r="T126" s="3" t="str">
        <x:v>survey bibliography</x:v>
      </x:c>
      <x:c r="U126" s="5" t="d">
        <x:v>2026-10-16T00:00:00.000Z</x:v>
      </x:c>
      <x:c r="V126" s="6" t="str">
        <x:v>未分配</x:v>
      </x:c>
      <x:c r="W126" s="6" t="str"/>
      <x:c r="X126" s="6" t="str"/>
      <x:c r="Y126" s="6" t="str"/>
      <x:c r="Z126" s="3" t="str">
        <x:v>当前首页署名团队，保留可核实的团队/机构名称。</x:v>
      </x:c>
    </x:row>
    <x:row r="127" ht="55" customHeight="1">
      <x:c r="A127" s="3" t="str">
        <x:v>WA-0126</x:v>
      </x:c>
      <x:c r="B127" s="3" t="str">
        <x:v>MiLDEdit: Reasoning-Based Multi-Layer Design Document Editing</x:v>
      </x:c>
      <x:c r="C127" s="3" t="str">
        <x:v>MiLDEdit / MiLDEAgent</x:v>
      </x:c>
      <x:c r="D127" s="4" t="n">
        <x:v>2026</x:v>
      </x:c>
      <x:c r="E127" s="7" t="str">
        <x:v>https://arxiv.org/abs/2601.04589</x:v>
      </x:c>
      <x:c r="F127" s="3" t="str">
        <x:v>University of California, Davis; Adobe; University of Wisconsin–Madison; Princeton University</x:v>
      </x:c>
      <x:c r="G127" s="3" t="str">
        <x:v>Method;Benchmark</x:v>
      </x:c>
      <x:c r="H127" s="3" t="str">
        <x:v>artifact</x:v>
      </x:c>
      <x:c r="I127" s="3" t="str">
        <x:v>Layer-aware design-document editing</x:v>
      </x:c>
      <x:c r="J127" s="3" t="str">
        <x:v>perception;reasoning;execution;verification;learning</x:v>
      </x:c>
      <x:c r="K127" s="3" t="str">
        <x:v>agentic-rl</x:v>
      </x:c>
      <x:c r="L127" s="3" t="str">
        <x:v>5.2.2</x:v>
      </x:c>
      <x:c r="M127" s="3" t="str">
        <x:v>结合 RL 多模态推理器与图像编辑器进行分层文档修改，并提出 MiLDEBench 和 MiLDEEval。</x:v>
      </x:c>
      <x:c r="N127" s="3" t="str"/>
      <x:c r="O127" s="3" t="str"/>
      <x:c r="P127" s="3" t="str">
        <x:v>verified</x:v>
      </x:c>
      <x:c r="Q127" s="7" t="str">
        <x:v>https://arxiv.org/pdf/2601.04589</x:v>
      </x:c>
      <x:c r="R127" s="7" t="str">
        <x:v>https://arxiv.org/abs/2601.04589</x:v>
      </x:c>
      <x:c r="S127" s="3" t="str">
        <x:v>126</x:v>
      </x:c>
      <x:c r="T127" s="3" t="str">
        <x:v>survey bibliography</x:v>
      </x:c>
      <x:c r="U127" s="5" t="d">
        <x:v>2026-10-16T00:00:00.000Z</x:v>
      </x:c>
      <x:c r="V127" s="6" t="str">
        <x:v>未分配</x:v>
      </x:c>
      <x:c r="W127" s="6" t="str"/>
      <x:c r="X127" s="6" t="str"/>
      <x:c r="Y127" s="6" t="str"/>
      <x:c r="Z127" s="3" t="str">
        <x:v>机构由 PDF 首页核实；包含方法、基准与专用评价协议，不能归为纯文档问答。</x:v>
      </x:c>
    </x:row>
    <x:row r="128" ht="55" customHeight="1">
      <x:c r="A128" s="3" t="str">
        <x:v>WA-0127</x:v>
      </x:c>
      <x:c r="B128" s="3" t="str">
        <x:v>Revisiting DAgger in the Era of LLM-Agents</x:v>
      </x:c>
      <x:c r="C128" s="3" t="str">
        <x:v>Revisiting DAgger</x:v>
      </x:c>
      <x:c r="D128" s="4" t="n">
        <x:v>2026</x:v>
      </x:c>
      <x:c r="E128" s="7" t="str">
        <x:v>https://arxiv.org/abs/2605.12913</x:v>
      </x:c>
      <x:c r="F128" s="3" t="str">
        <x:v>Georgia Institute of Technology; ETH Zurich</x:v>
      </x:c>
      <x:c r="G128" s="3" t="str">
        <x:v>Method</x:v>
      </x:c>
      <x:c r="H128" s="3" t="str">
        <x:v>harness</x:v>
      </x:c>
      <x:c r="I128" s="3" t="str">
        <x:v>Turn-level student–teacher data aggregation</x:v>
      </x:c>
      <x:c r="J128" s="3" t="str">
        <x:v>execution;recovery;learning</x:v>
      </x:c>
      <x:c r="K128" s="3" t="str">
        <x:v>on-policy-distillation</x:v>
      </x:c>
      <x:c r="L128" s="3" t="str">
        <x:v>5.2.3</x:v>
      </x:c>
      <x:c r="M128" s="3" t="str">
        <x:v>在多轮 rollout 中逐轮混合学生与教师动作，再监督训练以缓解离策略模仿的分布偏移。</x:v>
      </x:c>
      <x:c r="N128" s="3" t="str"/>
      <x:c r="O128" s="3" t="str"/>
      <x:c r="P128" s="3" t="str">
        <x:v>verified</x:v>
      </x:c>
      <x:c r="Q128" s="7" t="str">
        <x:v>https://arxiv.org/html/2605.12913v1</x:v>
      </x:c>
      <x:c r="R128" s="7" t="str">
        <x:v>https://arxiv.org/abs/2605.12913</x:v>
      </x:c>
      <x:c r="S128" s="3" t="str">
        <x:v>127</x:v>
      </x:c>
      <x:c r="T128" s="3" t="str">
        <x:v>survey bibliography</x:v>
      </x:c>
      <x:c r="U128" s="5" t="d">
        <x:v>2026-10-16T00:00:00.000Z</x:v>
      </x:c>
      <x:c r="V128" s="6" t="str">
        <x:v>未分配</x:v>
      </x:c>
      <x:c r="W128" s="6" t="str"/>
      <x:c r="X128" s="6" t="str"/>
      <x:c r="Y128" s="6" t="str"/>
      <x:c r="Z128" s="3" t="str"/>
    </x:row>
    <x:row r="129" ht="85" customHeight="1">
      <x:c r="A129" s="3" t="str">
        <x:v>WA-0128</x:v>
      </x:c>
      <x:c r="B129" s="3" t="str">
        <x:v>On-Policy Distillation with Curriculum Turn-level Guidance for Multi-turn Agents</x:v>
      </x:c>
      <x:c r="C129" s="3" t="str">
        <x:v>Guided-OPD</x:v>
      </x:c>
      <x:c r="D129" s="4" t="n">
        <x:v>2026</x:v>
      </x:c>
      <x:c r="E129" s="7" t="str">
        <x:v>https://arxiv.org/abs/2606.15912</x:v>
      </x:c>
      <x:c r="F129" s="3" t="str">
        <x:v>Institute of Automation, Chinese Academy of Sciences; University of Chinese Academy of Sciences; Tencent Large Language Model Department; University of Science and Technology of China; Zhejiang University; National University of Singapore; Wuhan AI Research</x:v>
      </x:c>
      <x:c r="G129" s="3" t="str">
        <x:v>Method</x:v>
      </x:c>
      <x:c r="H129" s="3" t="str">
        <x:v>harness</x:v>
      </x:c>
      <x:c r="I129" s="3" t="str">
        <x:v>Curriculum turn-level teacher guidance</x:v>
      </x:c>
      <x:c r="J129" s="3" t="str">
        <x:v>execution;recovery;learning</x:v>
      </x:c>
      <x:c r="K129" s="3" t="str">
        <x:v>on-policy-distillation</x:v>
      </x:c>
      <x:c r="L129" s="3" t="str">
        <x:v>5.2.3</x:v>
      </x:c>
      <x:c r="M129" s="3" t="str">
        <x:v>在 rollout 内按课程混合教师与学生轮次，让教师监督覆盖学生误差导致的偏移状态。</x:v>
      </x:c>
      <x:c r="N129" s="3" t="str"/>
      <x:c r="O129" s="3" t="str"/>
      <x:c r="P129" s="3" t="str">
        <x:v>verified</x:v>
      </x:c>
      <x:c r="Q129" s="7" t="str">
        <x:v>https://arxiv.org/html/2606.15912v2</x:v>
      </x:c>
      <x:c r="R129" s="7" t="str">
        <x:v>https://arxiv.org/abs/2606.15912</x:v>
      </x:c>
      <x:c r="S129" s="3" t="str">
        <x:v>128</x:v>
      </x:c>
      <x:c r="T129" s="3" t="str">
        <x:v>survey bibliography</x:v>
      </x:c>
      <x:c r="U129" s="5" t="d">
        <x:v>2026-10-16T00:00:00.000Z</x:v>
      </x:c>
      <x:c r="V129" s="6" t="str">
        <x:v>未分配</x:v>
      </x:c>
      <x:c r="W129" s="6" t="str"/>
      <x:c r="X129" s="6" t="str"/>
      <x:c r="Y129" s="6" t="str"/>
      <x:c r="Z129" s="3" t="str">
        <x:v>论文给出的官方仓库 https://github.com/Zzzz-166/Guided-OPD 在 2026-10-16 检查返回404，保留为待恢复资源，不列为可用代码。</x:v>
      </x:c>
    </x:row>
    <x:row r="130" ht="55" customHeight="1">
      <x:c r="A130" s="3" t="str">
        <x:v>WA-0129</x:v>
      </x:c>
      <x:c r="B130" s="3" t="str">
        <x:v>SOD: Step-wise On-policy Distillation for Small Language Model Agents</x:v>
      </x:c>
      <x:c r="C130" s="3" t="str">
        <x:v>SOD</x:v>
      </x:c>
      <x:c r="D130" s="4" t="n">
        <x:v>2026</x:v>
      </x:c>
      <x:c r="E130" s="7" t="str">
        <x:v>https://arxiv.org/abs/2605.07725</x:v>
      </x:c>
      <x:c r="F130" s="3" t="str">
        <x:v>Zhejiang University; Tencent Large Language Model Department; University of Science and Technology of China; National University of Singapore</x:v>
      </x:c>
      <x:c r="G130" s="3" t="str">
        <x:v>Method</x:v>
      </x:c>
      <x:c r="H130" s="3" t="str">
        <x:v>harness</x:v>
      </x:c>
      <x:c r="I130" s="3" t="str">
        <x:v>Step-wise on-policy distillation</x:v>
      </x:c>
      <x:c r="J130" s="3" t="str">
        <x:v>reasoning;execution;recovery;learning</x:v>
      </x:c>
      <x:c r="K130" s="3" t="str">
        <x:v>on-policy-distillation</x:v>
      </x:c>
      <x:c r="L130" s="3" t="str">
        <x:v>5.2.3</x:v>
      </x:c>
      <x:c r="M130" s="3" t="str">
        <x:v>按步骤蒸馏小模型工具推理，抑制错误调用在后续推理中级联及师生偏离。</x:v>
      </x:c>
      <x:c r="N130" s="7" t="str">
        <x:v>https://github.com/YoungZ365/SOD</x:v>
      </x:c>
      <x:c r="O130" s="3" t="str"/>
      <x:c r="P130" s="3" t="str">
        <x:v>verified</x:v>
      </x:c>
      <x:c r="Q130" s="7" t="str">
        <x:v>https://arxiv.org/html/2605.07725v3</x:v>
      </x:c>
      <x:c r="R130" s="7" t="str">
        <x:v>https://arxiv.org/abs/2605.07725</x:v>
      </x:c>
      <x:c r="S130" s="3" t="str">
        <x:v>129</x:v>
      </x:c>
      <x:c r="T130" s="3" t="str">
        <x:v>survey bibliography</x:v>
      </x:c>
      <x:c r="U130" s="5" t="d">
        <x:v>2026-10-16T00:00:00.000Z</x:v>
      </x:c>
      <x:c r="V130" s="6" t="str">
        <x:v>未分配</x:v>
      </x:c>
      <x:c r="W130" s="6" t="str"/>
      <x:c r="X130" s="6" t="str"/>
      <x:c r="Y130" s="6" t="str"/>
      <x:c r="Z130" s="3" t="str"/>
    </x:row>
    <x:row r="131" ht="55" customHeight="1">
      <x:c r="A131" s="3" t="str">
        <x:v>WA-0130</x:v>
      </x:c>
      <x:c r="B131" s="3" t="str">
        <x:v>Skill-SD: Skill-Conditioned Self-Distillation for Multi-turn LLM Agents</x:v>
      </x:c>
      <x:c r="C131" s="3" t="str">
        <x:v>Skill-SD</x:v>
      </x:c>
      <x:c r="D131" s="4" t="n">
        <x:v>2026</x:v>
      </x:c>
      <x:c r="E131" s="7" t="str">
        <x:v>https://arxiv.org/abs/2604.10674</x:v>
      </x:c>
      <x:c r="F131" s="3" t="str">
        <x:v>University of Chinese Academy of Sciences; vivo AI Lab; University of Science and Technology of China; The Chinese University of Hong Kong</x:v>
      </x:c>
      <x:c r="G131" s="3" t="str">
        <x:v>Method</x:v>
      </x:c>
      <x:c r="H131" s="3" t="str">
        <x:v>harness</x:v>
      </x:c>
      <x:c r="I131" s="3" t="str">
        <x:v>Skill-conditioned on-policy self-distillation</x:v>
      </x:c>
      <x:c r="J131" s="3" t="str">
        <x:v>reasoning;memory;execution;learning</x:v>
      </x:c>
      <x:c r="K131" s="3" t="str">
        <x:v>self-improving-training;on-policy-distillation</x:v>
      </x:c>
      <x:c r="L131" s="3" t="str">
        <x:v>5.2.4</x:v>
      </x:c>
      <x:c r="M131" s="3" t="str">
        <x:v>把已完成轨迹总结为训练期技能条件，为多轮 agent 提供动态密集自蒸馏信号。</x:v>
      </x:c>
      <x:c r="N131" s="3" t="str"/>
      <x:c r="O131" s="3" t="str"/>
      <x:c r="P131" s="3" t="str">
        <x:v>verified</x:v>
      </x:c>
      <x:c r="Q131" s="7" t="str">
        <x:v>https://arxiv.org/html/2604.10674v1</x:v>
      </x:c>
      <x:c r="R131" s="7" t="str">
        <x:v>https://arxiv.org/abs/2604.10674</x:v>
      </x:c>
      <x:c r="S131" s="3" t="str">
        <x:v>130</x:v>
      </x:c>
      <x:c r="T131" s="3" t="str">
        <x:v>survey bibliography</x:v>
      </x:c>
      <x:c r="U131" s="5" t="d">
        <x:v>2026-10-16T00:00:00.000Z</x:v>
      </x:c>
      <x:c r="V131" s="6" t="str">
        <x:v>未分配</x:v>
      </x:c>
      <x:c r="W131" s="6" t="str"/>
      <x:c r="X131" s="6" t="str"/>
      <x:c r="Y131" s="6" t="str"/>
      <x:c r="Z131" s="3" t="str"/>
    </x:row>
    <x:row r="132" ht="55" customHeight="1">
      <x:c r="A132" s="3" t="str">
        <x:v>WA-0131</x:v>
      </x:c>
      <x:c r="B132" s="3" t="str">
        <x:v>Self-Retrospection Distillation: Turning Post-hoc Experiences into Prior Foresight</x:v>
      </x:c>
      <x:c r="C132" s="3" t="str">
        <x:v>SRD</x:v>
      </x:c>
      <x:c r="D132" s="4" t="n">
        <x:v>2026</x:v>
      </x:c>
      <x:c r="E132" s="7" t="str">
        <x:v>https://arxiv.org/abs/2610.08077</x:v>
      </x:c>
      <x:c r="F132" s="3" t="str">
        <x:v>Salesforce AI Research; University of California, San Diego; Texas A&amp;M University; Stanford University</x:v>
      </x:c>
      <x:c r="G132" s="3" t="str">
        <x:v>Method</x:v>
      </x:c>
      <x:c r="H132" s="3" t="str">
        <x:v>harness</x:v>
      </x:c>
      <x:c r="I132" s="3" t="str">
        <x:v>Hindsight-to-foresight self-retrospection distillation</x:v>
      </x:c>
      <x:c r="J132" s="3" t="str">
        <x:v>reasoning;execution;learning</x:v>
      </x:c>
      <x:c r="K132" s="3" t="str">
        <x:v>self-improving-training</x:v>
      </x:c>
      <x:c r="L132" s="3" t="str">
        <x:v>5.2.4</x:v>
      </x:c>
      <x:c r="M132" s="3" t="str">
        <x:v>由事后经历监督交互前应预见的知识与陷阱，在奖励相同的 rollout 组中仍提取学习信号。</x:v>
      </x:c>
      <x:c r="N132" s="7" t="str">
        <x:v>https://github.com/SalesforceAIResearch/SRD</x:v>
      </x:c>
      <x:c r="O132" s="3" t="str"/>
      <x:c r="P132" s="3" t="str">
        <x:v>verified</x:v>
      </x:c>
      <x:c r="Q132" s="7" t="str">
        <x:v>https://arxiv.org/html/2610.08077v3</x:v>
      </x:c>
      <x:c r="R132" s="7" t="str">
        <x:v>https://arxiv.org/abs/2610.08077</x:v>
      </x:c>
      <x:c r="S132" s="3" t="str">
        <x:v>131</x:v>
      </x:c>
      <x:c r="T132" s="3" t="str">
        <x:v>survey bibliography</x:v>
      </x:c>
      <x:c r="U132" s="5" t="d">
        <x:v>2026-10-16T00:00:00.000Z</x:v>
      </x:c>
      <x:c r="V132" s="6" t="str">
        <x:v>未分配</x:v>
      </x:c>
      <x:c r="W132" s="6" t="str"/>
      <x:c r="X132" s="6" t="str"/>
      <x:c r="Y132" s="6" t="str"/>
      <x:c r="Z132" s="3" t="str"/>
    </x:row>
    <x:row r="133" ht="55" customHeight="1">
      <x:c r="A133" s="3" t="str">
        <x:v>WA-0132</x:v>
      </x:c>
      <x:c r="B133" s="3" t="str">
        <x:v>A Self-Evolving Framework for Efficient Terminal Agents via Observational Context Compression</x:v>
      </x:c>
      <x:c r="C133" s="3" t="str">
        <x:v>TACO</x:v>
      </x:c>
      <x:c r="D133" s="4" t="n">
        <x:v>2026</x:v>
      </x:c>
      <x:c r="E133" s="7" t="str">
        <x:v>https://arxiv.org/abs/2604.19572</x:v>
      </x:c>
      <x:c r="F133" s="3" t="str">
        <x:v>University of Manchester; Multimodal Art Projection (MAP); HKUST (Guangzhou); HKUST; Beihang University</x:v>
      </x:c>
      <x:c r="G133" s="3" t="str">
        <x:v>Method</x:v>
      </x:c>
      <x:c r="H133" s="3" t="str">
        <x:v>harness</x:v>
      </x:c>
      <x:c r="I133" s="3" t="str">
        <x:v>Self-evolving terminal observation compression</x:v>
      </x:c>
      <x:c r="J133" s="3" t="str">
        <x:v>perception;state-management;memory;learning</x:v>
      </x:c>
      <x:c r="K133" s="3" t="str">
        <x:v>tool-interface</x:v>
      </x:c>
      <x:c r="L133" s="3" t="str">
        <x:v>5.3.1</x:v>
      </x:c>
      <x:c r="M133" s="3" t="str">
        <x:v>自动发现、修订并复用结构化终端观测压缩策略，减少历史噪声同时保留任务关键信息。</x:v>
      </x:c>
      <x:c r="N133" s="7" t="str">
        <x:v>https://github.com/multimodal-art-projection/TACO</x:v>
      </x:c>
      <x:c r="O133" s="3" t="str"/>
      <x:c r="P133" s="3" t="str">
        <x:v>verified</x:v>
      </x:c>
      <x:c r="Q133" s="7" t="str">
        <x:v>https://arxiv.org/html/2604.19572v3</x:v>
      </x:c>
      <x:c r="R133" s="7" t="str">
        <x:v>https://arxiv.org/abs/2604.19572</x:v>
      </x:c>
      <x:c r="S133" s="3" t="str">
        <x:v>132</x:v>
      </x:c>
      <x:c r="T133" s="3" t="str">
        <x:v>survey bibliography</x:v>
      </x:c>
      <x:c r="U133" s="5" t="d">
        <x:v>2026-10-16T00:00:00.000Z</x:v>
      </x:c>
      <x:c r="V133" s="6" t="str">
        <x:v>未分配</x:v>
      </x:c>
      <x:c r="W133" s="6" t="str"/>
      <x:c r="X133" s="6" t="str"/>
      <x:c r="Y133" s="6" t="str"/>
      <x:c r="Z133" s="3" t="str"/>
    </x:row>
    <x:row r="134" ht="55" customHeight="1">
      <x:c r="A134" s="3" t="str">
        <x:v>WA-0133</x:v>
      </x:c>
      <x:c r="B134" s="3" t="str">
        <x:v>JTPRO: A Joint Tool-Prompt Reflective Optimization Framework for Language Agents</x:v>
      </x:c>
      <x:c r="C134" s="3" t="str">
        <x:v>JTPRO</x:v>
      </x:c>
      <x:c r="D134" s="4" t="n">
        <x:v>2026</x:v>
      </x:c>
      <x:c r="E134" s="7" t="str">
        <x:v>https://arxiv.org/abs/2604.19821</x:v>
      </x:c>
      <x:c r="F134" s="3" t="str">
        <x:v>Oracle AI</x:v>
      </x:c>
      <x:c r="G134" s="3" t="str">
        <x:v>Method</x:v>
      </x:c>
      <x:c r="H134" s="3" t="str">
        <x:v>harness</x:v>
      </x:c>
      <x:c r="I134" s="3" t="str">
        <x:v>Joint prompt and tool-schema optimization</x:v>
      </x:c>
      <x:c r="J134" s="3" t="str">
        <x:v>reasoning;execution;verification;learning</x:v>
      </x:c>
      <x:c r="K134" s="3" t="str">
        <x:v>tool-interface</x:v>
      </x:c>
      <x:c r="L134" s="3" t="str">
        <x:v>5.3.1</x:v>
      </x:c>
      <x:c r="M134" s="3" t="str">
        <x:v>从 rollout 反思共同优化全局指令和单工具 schema，提高工具选择与参数实例化可靠性。</x:v>
      </x:c>
      <x:c r="N134" s="3" t="str"/>
      <x:c r="O134" s="3" t="str"/>
      <x:c r="P134" s="3" t="str">
        <x:v>verified</x:v>
      </x:c>
      <x:c r="Q134" s="7" t="str">
        <x:v>https://arxiv.org/html/2604.19821v1</x:v>
      </x:c>
      <x:c r="R134" s="7" t="str">
        <x:v>https://arxiv.org/abs/2604.19821</x:v>
      </x:c>
      <x:c r="S134" s="3" t="str">
        <x:v>133</x:v>
      </x:c>
      <x:c r="T134" s="3" t="str">
        <x:v>survey bibliography</x:v>
      </x:c>
      <x:c r="U134" s="5" t="d">
        <x:v>2026-10-16T00:00:00.000Z</x:v>
      </x:c>
      <x:c r="V134" s="6" t="str">
        <x:v>未分配</x:v>
      </x:c>
      <x:c r="W134" s="6" t="str"/>
      <x:c r="X134" s="6" t="str"/>
      <x:c r="Y134" s="6" t="str"/>
      <x:c r="Z134" s="3" t="str"/>
    </x:row>
    <x:row r="135" ht="55" customHeight="1">
      <x:c r="A135" s="3" t="str">
        <x:v>WA-0134</x:v>
      </x:c>
      <x:c r="B135" s="3" t="str">
        <x:v>Beyond Prompts: Measuring and Optimizing LLM Tool-Agent Harnesses</x:v>
      </x:c>
      <x:c r="C135" s="3" t="str">
        <x:v>PRISM / Beyond Prompts</x:v>
      </x:c>
      <x:c r="D135" s="4" t="n">
        <x:v>2026</x:v>
      </x:c>
      <x:c r="E135" s="7" t="str">
        <x:v>https://arxiv.org/abs/2609.05736</x:v>
      </x:c>
      <x:c r="F135" s="3" t="str">
        <x:v>Airbnb, Inc.</x:v>
      </x:c>
      <x:c r="G135" s="3" t="str">
        <x:v>Method</x:v>
      </x:c>
      <x:c r="H135" s="3" t="str">
        <x:v>harness</x:v>
      </x:c>
      <x:c r="I135" s="3" t="str">
        <x:v>Budgeted prompt and tool-boundary middleware optimization</x:v>
      </x:c>
      <x:c r="J135" s="3" t="str">
        <x:v>execution;state-management;verification;recovery;learning</x:v>
      </x:c>
      <x:c r="K135" s="3" t="str">
        <x:v>tool-interface</x:v>
      </x:c>
      <x:c r="L135" s="3" t="str">
        <x:v>5.3.1</x:v>
      </x:c>
      <x:c r="M135" s="3" t="str">
        <x:v>在固定模型下优化提示与受控工具边界中间件，评估预算、重复性和最差条件下的增益。</x:v>
      </x:c>
      <x:c r="N135" s="7" t="str">
        <x:v>https://github.com/airbnb/agent-harness-optimizer</x:v>
      </x:c>
      <x:c r="O135" s="3" t="str"/>
      <x:c r="P135" s="3" t="str">
        <x:v>verified</x:v>
      </x:c>
      <x:c r="Q135" s="7" t="str">
        <x:v>https://arxiv.org/html/2609.05736v2</x:v>
      </x:c>
      <x:c r="R135" s="7" t="str">
        <x:v>https://arxiv.org/abs/2609.05736</x:v>
      </x:c>
      <x:c r="S135" s="3" t="str">
        <x:v>134</x:v>
      </x:c>
      <x:c r="T135" s="3" t="str">
        <x:v>survey bibliography</x:v>
      </x:c>
      <x:c r="U135" s="5" t="d">
        <x:v>2026-10-16T00:00:00.000Z</x:v>
      </x:c>
      <x:c r="V135" s="6" t="str">
        <x:v>未分配</x:v>
      </x:c>
      <x:c r="W135" s="6" t="str"/>
      <x:c r="X135" s="6" t="str"/>
      <x:c r="Y135" s="6" t="str"/>
      <x:c r="Z135" s="3" t="str"/>
    </x:row>
    <x:row r="136" ht="55" customHeight="1">
      <x:c r="A136" s="3" t="str">
        <x:v>WA-0135</x:v>
      </x:c>
      <x:c r="B136" s="3" t="str">
        <x:v>GEPA: Reflective Prompt Evolution Can Outperform Reinforcement Learning</x:v>
      </x:c>
      <x:c r="C136" s="3" t="str">
        <x:v>GEPA</x:v>
      </x:c>
      <x:c r="D136" s="4" t="n">
        <x:v>2025</x:v>
      </x:c>
      <x:c r="E136" s="7" t="str">
        <x:v>https://arxiv.org/abs/2507.19457</x:v>
      </x:c>
      <x:c r="F136" s="3" t="str">
        <x:v>UC Berkeley; Stanford University; University of Notre Dame; Databricks; BespokeLabs.ai; Massachusetts Institute of Technology</x:v>
      </x:c>
      <x:c r="G136" s="3" t="str">
        <x:v>Method;Framework</x:v>
      </x:c>
      <x:c r="H136" s="3" t="str">
        <x:v>harness</x:v>
      </x:c>
      <x:c r="I136" s="3" t="str">
        <x:v>Reflective genetic-Pareto prompt evolution</x:v>
      </x:c>
      <x:c r="J136" s="3" t="str">
        <x:v>reasoning;verification;learning</x:v>
      </x:c>
      <x:c r="K136" s="3" t="str">
        <x:v>prompt-workflow</x:v>
      </x:c>
      <x:c r="L136" s="3" t="str">
        <x:v>5.3.2</x:v>
      </x:c>
      <x:c r="M136" s="3" t="str">
        <x:v>以自然语言反思诊断执行轨迹，再演化并筛选能跨任务保留优势的提示候选。</x:v>
      </x:c>
      <x:c r="N136" s="7" t="str">
        <x:v>https://github.com/gepa-ai/gepa</x:v>
      </x:c>
      <x:c r="O136" s="3" t="str"/>
      <x:c r="P136" s="3" t="str">
        <x:v>verified</x:v>
      </x:c>
      <x:c r="Q136" s="7" t="str">
        <x:v>https://arxiv.org/html/2507.19457v2</x:v>
      </x:c>
      <x:c r="R136" s="7" t="str">
        <x:v>https://arxiv.org/abs/2507.19457</x:v>
      </x:c>
      <x:c r="S136" s="3" t="str">
        <x:v>135</x:v>
      </x:c>
      <x:c r="T136" s="3" t="str">
        <x:v>survey bibliography</x:v>
      </x:c>
      <x:c r="U136" s="5" t="d">
        <x:v>2026-10-16T00:00:00.000Z</x:v>
      </x:c>
      <x:c r="V136" s="6" t="str">
        <x:v>未分配</x:v>
      </x:c>
      <x:c r="W136" s="6" t="str"/>
      <x:c r="X136" s="6" t="str"/>
      <x:c r="Y136" s="6" t="str"/>
      <x:c r="Z136" s="3" t="str">
        <x:v>首次预印本 2025；机构按当前论文版本首页记录。</x:v>
      </x:c>
    </x:row>
    <x:row r="137" ht="55" customHeight="1">
      <x:c r="A137" s="3" t="str">
        <x:v>WA-0136</x:v>
      </x:c>
      <x:c r="B137" s="3" t="str">
        <x:v>Meta-Harness: End-to-End Optimization of Model Harnesses</x:v>
      </x:c>
      <x:c r="C137" s="3" t="str">
        <x:v>Meta-Harness</x:v>
      </x:c>
      <x:c r="D137" s="4" t="n">
        <x:v>2026</x:v>
      </x:c>
      <x:c r="E137" s="7" t="str">
        <x:v>https://arxiv.org/abs/2603.28052</x:v>
      </x:c>
      <x:c r="F137" s="3" t="str">
        <x:v>Stanford University; KRAFTON; Massachusetts Institute of Technology</x:v>
      </x:c>
      <x:c r="G137" s="3" t="str">
        <x:v>Method</x:v>
      </x:c>
      <x:c r="H137" s="3" t="str">
        <x:v>harness</x:v>
      </x:c>
      <x:c r="I137" s="3" t="str">
        <x:v>End-to-end harness code optimization</x:v>
      </x:c>
      <x:c r="J137" s="3" t="str">
        <x:v>reasoning;memory;execution;verification;learning</x:v>
      </x:c>
      <x:c r="K137" s="3" t="str">
        <x:v>prompt-workflow</x:v>
      </x:c>
      <x:c r="L137" s="3" t="str">
        <x:v>5.3.2</x:v>
      </x:c>
      <x:c r="M137" s="3" t="str">
        <x:v>让提案 agent 通过文件系统访问历次代码、分数与完整轨迹，搜索模型外围 harness 代码。</x:v>
      </x:c>
      <x:c r="N137" s="7" t="str">
        <x:v>https://github.com/stanford-iris-lab/meta-harness-tbench2-artifact</x:v>
      </x:c>
      <x:c r="O137" s="3" t="str"/>
      <x:c r="P137" s="3" t="str">
        <x:v>verified</x:v>
      </x:c>
      <x:c r="Q137" s="7" t="str">
        <x:v>https://arxiv.org/html/2603.28052v1</x:v>
      </x:c>
      <x:c r="R137" s="7" t="str">
        <x:v>https://arxiv.org/abs/2603.28052</x:v>
      </x:c>
      <x:c r="S137" s="3" t="str">
        <x:v>136</x:v>
      </x:c>
      <x:c r="T137" s="3" t="str">
        <x:v>survey bibliography</x:v>
      </x:c>
      <x:c r="U137" s="5" t="d">
        <x:v>2026-10-16T00:00:00.000Z</x:v>
      </x:c>
      <x:c r="V137" s="6" t="str">
        <x:v>未分配</x:v>
      </x:c>
      <x:c r="W137" s="6" t="str"/>
      <x:c r="X137" s="6" t="str"/>
      <x:c r="Y137" s="6" t="str"/>
      <x:c r="Z137" s="3" t="str">
        <x:v>官方论文链接提供 Terminal-Bench 2.0 复现实验 artifact 仓库。</x:v>
      </x:c>
    </x:row>
    <x:row r="138" ht="85" customHeight="1">
      <x:c r="A138" s="3" t="str">
        <x:v>WA-0137</x:v>
      </x:c>
      <x:c r="B138" s="3" t="str">
        <x:v>AutoDesign: Meta-Harness Optimization for Long-Horizon Agentic Design</x:v>
      </x:c>
      <x:c r="C138" s="3" t="str">
        <x:v>AutoDesign</x:v>
      </x:c>
      <x:c r="D138" s="4" t="n">
        <x:v>2026</x:v>
      </x:c>
      <x:c r="E138" s="7" t="str">
        <x:v>https://arxiv.org/abs/2608.13560</x:v>
      </x:c>
      <x:c r="F138" s="3" t="str">
        <x:v>Meituan; Mohamed bin Zayed University of Artificial Intelligence; Huazhong University of Science and Technology; Peking University; Tsinghua University; The Chinese University of Hong Kong; Shanghai Jiao Tong University</x:v>
      </x:c>
      <x:c r="G138" s="3" t="str">
        <x:v>Method;Benchmark</x:v>
      </x:c>
      <x:c r="H138" s="3" t="str">
        <x:v>artifact</x:v>
      </x:c>
      <x:c r="I138" s="3" t="str">
        <x:v>Meta-harness optimization for paper-to-poster design</x:v>
      </x:c>
      <x:c r="J138" s="3" t="str">
        <x:v>perception;planning;execution;verification;learning</x:v>
      </x:c>
      <x:c r="K138" s="3" t="str">
        <x:v>prompt-workflow</x:v>
      </x:c>
      <x:c r="L138" s="3" t="str">
        <x:v>5.3.2</x:v>
      </x:c>
      <x:c r="M138" s="3" t="str">
        <x:v>用执行反馈驱动元 harness 优化代码 agent 的设计流程，并以 PosterBench 评价论文到海报生成。</x:v>
      </x:c>
      <x:c r="N138" s="7" t="str">
        <x:v>https://github.com/Yaxin9Luo/AutoDesign</x:v>
      </x:c>
      <x:c r="O138" s="3" t="str"/>
      <x:c r="P138" s="3" t="str">
        <x:v>verified</x:v>
      </x:c>
      <x:c r="Q138" s="7" t="str">
        <x:v>https://arxiv.org/html/2608.13560v1</x:v>
      </x:c>
      <x:c r="R138" s="7" t="str">
        <x:v>https://arxiv.org/abs/2608.13560</x:v>
      </x:c>
      <x:c r="S138" s="3" t="str">
        <x:v>137</x:v>
      </x:c>
      <x:c r="T138" s="3" t="str">
        <x:v>survey bibliography</x:v>
      </x:c>
      <x:c r="U138" s="5" t="d">
        <x:v>2026-10-16T00:00:00.000Z</x:v>
      </x:c>
      <x:c r="V138" s="6" t="str">
        <x:v>未分配</x:v>
      </x:c>
      <x:c r="W138" s="6" t="str"/>
      <x:c r="X138" s="6" t="str"/>
      <x:c r="Y138" s="6" t="str"/>
      <x:c r="Z138" s="3" t="str">
        <x:v>同时引入 PosterBench，保持方法与基准双类型。</x:v>
      </x:c>
    </x:row>
    <x:row r="139" ht="55" customHeight="1">
      <x:c r="A139" s="3" t="str">
        <x:v>WA-0138</x:v>
      </x:c>
      <x:c r="B139" s="3" t="str">
        <x:v>ReasoningBank: Scaling Agent Self-Evolving with Reasoning Memory</x:v>
      </x:c>
      <x:c r="C139" s="3" t="str">
        <x:v>ReasoningBank</x:v>
      </x:c>
      <x:c r="D139" s="4" t="n">
        <x:v>2025</x:v>
      </x:c>
      <x:c r="E139" s="7" t="str">
        <x:v>https://arxiv.org/abs/2509.25140</x:v>
      </x:c>
      <x:c r="F139" s="3" t="str">
        <x:v>Google Cloud AI Research; Yale University; University of Illinois Urbana-Champaign</x:v>
      </x:c>
      <x:c r="G139" s="3" t="str">
        <x:v>Method</x:v>
      </x:c>
      <x:c r="H139" s="3" t="str">
        <x:v>harness</x:v>
      </x:c>
      <x:c r="I139" s="3" t="str">
        <x:v>Reasoning memory and memory-aware test-time scaling</x:v>
      </x:c>
      <x:c r="J139" s="3" t="str">
        <x:v>reasoning;memory;execution;learning</x:v>
      </x:c>
      <x:c r="K139" s="3" t="str">
        <x:v>memory-skill</x:v>
      </x:c>
      <x:c r="L139" s="3" t="str">
        <x:v>5.3.3</x:v>
      </x:c>
      <x:c r="M139" s="3" t="str">
        <x:v>从自判成功与失败经历蒸馏可泛化策略，检索记忆指导执行并通过 MaTTS 扩展经验。</x:v>
      </x:c>
      <x:c r="N139" s="7" t="str">
        <x:v>https://github.com/google-research/reasoning-bank</x:v>
      </x:c>
      <x:c r="O139" s="3" t="str"/>
      <x:c r="P139" s="3" t="str">
        <x:v>verified</x:v>
      </x:c>
      <x:c r="Q139" s="7" t="str">
        <x:v>https://arxiv.org/html/2509.25140v2</x:v>
      </x:c>
      <x:c r="R139" s="7" t="str">
        <x:v>https://arxiv.org/abs/2509.25140</x:v>
      </x:c>
      <x:c r="S139" s="3" t="str">
        <x:v>138</x:v>
      </x:c>
      <x:c r="T139" s="3" t="str">
        <x:v>survey bibliography</x:v>
      </x:c>
      <x:c r="U139" s="5" t="d">
        <x:v>2026-10-16T00:00:00.000Z</x:v>
      </x:c>
      <x:c r="V139" s="6" t="str">
        <x:v>未分配</x:v>
      </x:c>
      <x:c r="W139" s="6" t="str"/>
      <x:c r="X139" s="6" t="str"/>
      <x:c r="Y139" s="6" t="str"/>
      <x:c r="Z139" s="3" t="str">
        <x:v>首次预印本 2025。</x:v>
      </x:c>
    </x:row>
    <x:row r="140" ht="55" customHeight="1">
      <x:c r="A140" s="3" t="str">
        <x:v>WA-0139</x:v>
      </x:c>
      <x:c r="B140" s="3" t="str">
        <x:v>SkillOpt: Executive Strategy for Self-Evolving Agent Skills</x:v>
      </x:c>
      <x:c r="C140" s="3" t="str">
        <x:v>SkillOpt</x:v>
      </x:c>
      <x:c r="D140" s="4" t="n">
        <x:v>2026</x:v>
      </x:c>
      <x:c r="E140" s="7" t="str">
        <x:v>https://arxiv.org/abs/2605.23904</x:v>
      </x:c>
      <x:c r="F140" s="3" t="str">
        <x:v>Microsoft; Shanghai Jiao Tong University; Tongji University; Fudan University</x:v>
      </x:c>
      <x:c r="G140" s="3" t="str">
        <x:v>Method</x:v>
      </x:c>
      <x:c r="H140" s="3" t="str">
        <x:v>harness</x:v>
      </x:c>
      <x:c r="I140" s="3" t="str">
        <x:v>Validation-gated text-space skill optimization</x:v>
      </x:c>
      <x:c r="J140" s="3" t="str">
        <x:v>reasoning;memory;verification;learning</x:v>
      </x:c>
      <x:c r="K140" s="3" t="str">
        <x:v>memory-skill</x:v>
      </x:c>
      <x:c r="L140" s="3" t="str">
        <x:v>5.3.3</x:v>
      </x:c>
      <x:c r="M140" s="3" t="str">
        <x:v>把技能文档作为冻结 agent 的外部状态，以有界增删改、拒绝缓存和验证集接受门控稳定优化。</x:v>
      </x:c>
      <x:c r="N140" s="3" t="str"/>
      <x:c r="O140" s="3" t="str"/>
      <x:c r="P140" s="3" t="str">
        <x:v>verified</x:v>
      </x:c>
      <x:c r="Q140" s="7" t="str">
        <x:v>https://arxiv.org/html/2605.23904v2</x:v>
      </x:c>
      <x:c r="R140" s="7" t="str">
        <x:v>https://arxiv.org/abs/2605.23904</x:v>
      </x:c>
      <x:c r="S140" s="3" t="str">
        <x:v>139</x:v>
      </x:c>
      <x:c r="T140" s="3" t="str">
        <x:v>survey bibliography</x:v>
      </x:c>
      <x:c r="U140" s="5" t="d">
        <x:v>2026-10-16T00:00:00.000Z</x:v>
      </x:c>
      <x:c r="V140" s="6" t="str">
        <x:v>未分配</x:v>
      </x:c>
      <x:c r="W140" s="6" t="str"/>
      <x:c r="X140" s="6" t="str"/>
      <x:c r="Y140" s="6" t="str"/>
      <x:c r="Z140" s="3" t="str"/>
    </x:row>
    <x:row r="141" ht="70" customHeight="1">
      <x:c r="A141" s="3" t="str">
        <x:v>WA-0140</x:v>
      </x:c>
      <x:c r="B141" s="3" t="str">
        <x:v>SkillSmith: Co-Evolving Skills and Tools for Self-Improving Agent Systems</x:v>
      </x:c>
      <x:c r="C141" s="3" t="str">
        <x:v>SkillSmith</x:v>
      </x:c>
      <x:c r="D141" s="4" t="n">
        <x:v>2026</x:v>
      </x:c>
      <x:c r="E141" s="7" t="str">
        <x:v>https://arxiv.org/abs/2606.01314</x:v>
      </x:c>
      <x:c r="F141" s="3" t="str">
        <x:v>Shanghai Jiao Tong University; Eastern Institute of Technology, Ningbo; University of Science and Technology of China; Southeast University; Ningbo Institute of Digital Twin</x:v>
      </x:c>
      <x:c r="G141" s="3" t="str">
        <x:v>Method</x:v>
      </x:c>
      <x:c r="H141" s="3" t="str">
        <x:v>harness</x:v>
      </x:c>
      <x:c r="I141" s="3" t="str">
        <x:v>Budgeted skill–tool ecosystem co-evolution</x:v>
      </x:c>
      <x:c r="J141" s="3" t="str">
        <x:v>reasoning;memory;execution;recovery;learning</x:v>
      </x:c>
      <x:c r="K141" s="3" t="str">
        <x:v>memory-skill</x:v>
      </x:c>
      <x:c r="L141" s="3" t="str">
        <x:v>5.3.3</x:v>
      </x:c>
      <x:c r="M141" s="3" t="str">
        <x:v>在上下文和迭代预算约束下共同演化技能与工具，以冲突约束避免重复失败提案。</x:v>
      </x:c>
      <x:c r="N141" s="3" t="str"/>
      <x:c r="O141" s="3" t="str"/>
      <x:c r="P141" s="3" t="str">
        <x:v>verified</x:v>
      </x:c>
      <x:c r="Q141" s="7" t="str">
        <x:v>https://arxiv.org/html/2606.01314v2</x:v>
      </x:c>
      <x:c r="R141" s="7" t="str">
        <x:v>https://arxiv.org/abs/2606.01314</x:v>
      </x:c>
      <x:c r="S141" s="3" t="str">
        <x:v>140</x:v>
      </x:c>
      <x:c r="T141" s="3" t="str">
        <x:v>survey bibliography</x:v>
      </x:c>
      <x:c r="U141" s="5" t="d">
        <x:v>2026-10-16T00:00:00.000Z</x:v>
      </x:c>
      <x:c r="V141" s="6" t="str">
        <x:v>未分配</x:v>
      </x:c>
      <x:c r="W141" s="6" t="str"/>
      <x:c r="X141" s="6" t="str"/>
      <x:c r="Y141" s="6" t="str"/>
      <x:c r="Z141" s="3" t="str"/>
    </x:row>
    <x:row r="142" ht="55" customHeight="1">
      <x:c r="A142" s="3" t="str">
        <x:v>WA-0141</x:v>
      </x:c>
      <x:c r="B142" s="3" t="str">
        <x:v>Learning to Rewrite Tool Descriptions for Reliable LLM-Agent Tool Use</x:v>
      </x:c>
      <x:c r="C142" s="3" t="str">
        <x:v>Tool Description Rewriter</x:v>
      </x:c>
      <x:c r="D142" s="4" t="n">
        <x:v>2026</x:v>
      </x:c>
      <x:c r="E142" s="7" t="str">
        <x:v>https://arxiv.org/abs/2602.20426</x:v>
      </x:c>
      <x:c r="F142" s="3" t="str">
        <x:v>Intuit AI Research</x:v>
      </x:c>
      <x:c r="G142" s="3" t="str">
        <x:v>Method</x:v>
      </x:c>
      <x:c r="H142" s="3" t="str">
        <x:v>harness</x:v>
      </x:c>
      <x:c r="I142" s="3" t="str">
        <x:v>Learning generalizable tool-interface rewriting</x:v>
      </x:c>
      <x:c r="J142" s="3" t="str">
        <x:v>reasoning;execution;learning</x:v>
      </x:c>
      <x:c r="K142" s="3" t="str">
        <x:v>tool-interface</x:v>
      </x:c>
      <x:c r="L142" s="3" t="str">
        <x:v>5.3.1</x:v>
      </x:c>
      <x:c r="M142" s="3" t="str">
        <x:v>学习改写面向人的工具描述，以减少工具歧义并推广到未见 API，降低逐工具优化成本。</x:v>
      </x:c>
      <x:c r="N142" s="3" t="str"/>
      <x:c r="O142" s="3" t="str"/>
      <x:c r="P142" s="3" t="str">
        <x:v>verified</x:v>
      </x:c>
      <x:c r="Q142" s="7" t="str">
        <x:v>https://arxiv.org/html/2602.20426v2</x:v>
      </x:c>
      <x:c r="R142" s="7" t="str">
        <x:v>https://arxiv.org/abs/2602.20426</x:v>
      </x:c>
      <x:c r="S142" s="3" t="str">
        <x:v>141</x:v>
      </x:c>
      <x:c r="T142" s="3" t="str">
        <x:v>survey bibliography</x:v>
      </x:c>
      <x:c r="U142" s="5" t="d">
        <x:v>2026-10-16T00:00:00.000Z</x:v>
      </x:c>
      <x:c r="V142" s="6" t="str">
        <x:v>未分配</x:v>
      </x:c>
      <x:c r="W142" s="6" t="str"/>
      <x:c r="X142" s="6" t="str"/>
      <x:c r="Y142" s="6" t="str"/>
      <x:c r="Z142" s="3" t="str"/>
    </x:row>
    <x:row r="143" ht="70" customHeight="1">
      <x:c r="A143" s="3" t="str">
        <x:v>WA-0142</x:v>
      </x:c>
      <x:c r="B143" s="3" t="str">
        <x:v>MESH-Harness: Self-Improving Agent Harnesses via Bandit-Guided Compositional Evolution</x:v>
      </x:c>
      <x:c r="C143" s="3" t="str">
        <x:v>MESH-Harness</x:v>
      </x:c>
      <x:c r="D143" s="4" t="n">
        <x:v>2026</x:v>
      </x:c>
      <x:c r="E143" s="7" t="str">
        <x:v>https://arxiv.org/abs/2610.05300</x:v>
      </x:c>
      <x:c r="F143" s="3" t="str">
        <x:v>The Chinese University of Hong Kong, Shenzhen; The Chinese University of Hong Kong; Nanyang Technological University; Fudan University; National University of Singapore; DeepWisdom</x:v>
      </x:c>
      <x:c r="G143" s="3" t="str">
        <x:v>Method</x:v>
      </x:c>
      <x:c r="H143" s="3" t="str">
        <x:v>harness</x:v>
      </x:c>
      <x:c r="I143" s="3" t="str">
        <x:v>Bandit-guided compositional harness evolution</x:v>
      </x:c>
      <x:c r="J143" s="3" t="str">
        <x:v>reasoning;planning;execution;verification;learning</x:v>
      </x:c>
      <x:c r="K143" s="3" t="str">
        <x:v>prompt-workflow</x:v>
      </x:c>
      <x:c r="L143" s="3" t="str">
        <x:v>5.3.2</x:v>
      </x:c>
      <x:c r="M143" s="3" t="str">
        <x:v>把 harness 分解为具显式接口的功能模块，用 LinUCB 与坐标搜索选择组合并从轨迹演化局部代码。</x:v>
      </x:c>
      <x:c r="N143" s="3" t="str"/>
      <x:c r="O143" s="3" t="str"/>
      <x:c r="P143" s="3" t="str">
        <x:v>verified</x:v>
      </x:c>
      <x:c r="Q143" s="7" t="str">
        <x:v>https://arxiv.org/html/2610.05300v1</x:v>
      </x:c>
      <x:c r="R143" s="7" t="str">
        <x:v>https://arxiv.org/abs/2610.05300</x:v>
      </x:c>
      <x:c r="S143" s="3" t="str">
        <x:v>142</x:v>
      </x:c>
      <x:c r="T143" s="3" t="str">
        <x:v>survey bibliography</x:v>
      </x:c>
      <x:c r="U143" s="5" t="d">
        <x:v>2026-10-16T00:00:00.000Z</x:v>
      </x:c>
      <x:c r="V143" s="6" t="str">
        <x:v>未分配</x:v>
      </x:c>
      <x:c r="W143" s="6" t="str"/>
      <x:c r="X143" s="6" t="str"/>
      <x:c r="Y143" s="6" t="str"/>
      <x:c r="Z143" s="3" t="str"/>
    </x:row>
    <x:row r="144" ht="55" customHeight="1">
      <x:c r="A144" s="3" t="str">
        <x:v>WA-0143</x:v>
      </x:c>
      <x:c r="B144" s="3" t="str">
        <x:v>Evolving Agents in the Dark: Retrospective Harness Optimization via Self-Preference</x:v>
      </x:c>
      <x:c r="C144" s="3" t="str">
        <x:v>RHO</x:v>
      </x:c>
      <x:c r="D144" s="4" t="n">
        <x:v>2026</x:v>
      </x:c>
      <x:c r="E144" s="7" t="str">
        <x:v>https://arxiv.org/abs/2606.05922</x:v>
      </x:c>
      <x:c r="F144" s="3" t="str">
        <x:v>City University of Hong Kong; Microsoft Research Asia</x:v>
      </x:c>
      <x:c r="G144" s="3" t="str">
        <x:v>Method</x:v>
      </x:c>
      <x:c r="H144" s="3" t="str">
        <x:v>harness</x:v>
      </x:c>
      <x:c r="I144" s="3" t="str">
        <x:v>Self-preference retrospective harness optimization</x:v>
      </x:c>
      <x:c r="J144" s="3" t="str">
        <x:v>reasoning;memory;verification;learning</x:v>
      </x:c>
      <x:c r="K144" s="3" t="str">
        <x:v>prompt-workflow</x:v>
      </x:c>
      <x:c r="L144" s="3" t="str">
        <x:v>5.3.2</x:v>
      </x:c>
      <x:c r="M144" s="3" t="str">
        <x:v>仅利用历史轨迹选取难题、并行重解和自偏好比较，优化缺乏标签验证集时的 harness。</x:v>
      </x:c>
      <x:c r="N144" s="7" t="str">
        <x:v>https://github.com/wbopan/retro-harness</x:v>
      </x:c>
      <x:c r="O144" s="3" t="str"/>
      <x:c r="P144" s="3" t="str">
        <x:v>verified</x:v>
      </x:c>
      <x:c r="Q144" s="7" t="str">
        <x:v>https://arxiv.org/html/2606.05922v3</x:v>
      </x:c>
      <x:c r="R144" s="7" t="str">
        <x:v>https://arxiv.org/abs/2606.05922</x:v>
      </x:c>
      <x:c r="S144" s="3" t="str">
        <x:v>143</x:v>
      </x:c>
      <x:c r="T144" s="3" t="str">
        <x:v>survey bibliography</x:v>
      </x:c>
      <x:c r="U144" s="5" t="d">
        <x:v>2026-10-16T00:00:00.000Z</x:v>
      </x:c>
      <x:c r="V144" s="6" t="str">
        <x:v>未分配</x:v>
      </x:c>
      <x:c r="W144" s="6" t="str"/>
      <x:c r="X144" s="6" t="str"/>
      <x:c r="Y144" s="6" t="str"/>
      <x:c r="Z144" s="3" t="str"/>
    </x:row>
    <x:row r="145" ht="55" customHeight="1">
      <x:c r="A145" s="3" t="str">
        <x:v>WA-0144</x:v>
      </x:c>
      <x:c r="B145" s="3" t="str">
        <x:v>VERSE: Verified Self-Evolving Optimizer for Agent Harnesses</x:v>
      </x:c>
      <x:c r="C145" s="3" t="str">
        <x:v>VERSE</x:v>
      </x:c>
      <x:c r="D145" s="4" t="n">
        <x:v>2026</x:v>
      </x:c>
      <x:c r="E145" s="7" t="str">
        <x:v>https://arxiv.org/abs/2610.02616</x:v>
      </x:c>
      <x:c r="F145" s="3" t="str">
        <x:v>Massachusetts Institute of Technology; Amazon</x:v>
      </x:c>
      <x:c r="G145" s="3" t="str">
        <x:v>Method</x:v>
      </x:c>
      <x:c r="H145" s="3" t="str">
        <x:v>harness</x:v>
      </x:c>
      <x:c r="I145" s="3" t="str">
        <x:v>Execution-verified self-evolving harness optimizer</x:v>
      </x:c>
      <x:c r="J145" s="3" t="str">
        <x:v>reasoning;execution;verification;learning</x:v>
      </x:c>
      <x:c r="K145" s="3" t="str">
        <x:v>prompt-workflow</x:v>
      </x:c>
      <x:c r="L145" s="3" t="str">
        <x:v>5.3.2</x:v>
      </x:c>
      <x:c r="M145" s="3" t="str">
        <x:v>同时演化优化器自身的诊断工具和更新流程，以执行验证筛选对目标 agent 的 harness 修改。</x:v>
      </x:c>
      <x:c r="N145" s="7" t="str">
        <x:v>https://github.com/wzekai/VERSE</x:v>
      </x:c>
      <x:c r="O145" s="3" t="str"/>
      <x:c r="P145" s="3" t="str">
        <x:v>verified</x:v>
      </x:c>
      <x:c r="Q145" s="7" t="str">
        <x:v>https://arxiv.org/html/2610.02616v1</x:v>
      </x:c>
      <x:c r="R145" s="7" t="str">
        <x:v>https://arxiv.org/abs/2610.02616</x:v>
      </x:c>
      <x:c r="S145" s="3" t="str">
        <x:v>144</x:v>
      </x:c>
      <x:c r="T145" s="3" t="str">
        <x:v>survey bibliography</x:v>
      </x:c>
      <x:c r="U145" s="5" t="d">
        <x:v>2026-10-16T00:00:00.000Z</x:v>
      </x:c>
      <x:c r="V145" s="6" t="str">
        <x:v>未分配</x:v>
      </x:c>
      <x:c r="W145" s="6" t="str"/>
      <x:c r="X145" s="6" t="str"/>
      <x:c r="Y145" s="6" t="str"/>
      <x:c r="Z145" s="3" t="str"/>
    </x:row>
    <x:row r="146" ht="55" customHeight="1">
      <x:c r="A146" s="3" t="str">
        <x:v>WA-0145</x:v>
      </x:c>
      <x:c r="B146" s="3" t="str">
        <x:v>ActiveSaddler: Automated Curriculum Learning for Agent Harness Optimization</x:v>
      </x:c>
      <x:c r="C146" s="3" t="str">
        <x:v>ActiveSaddler</x:v>
      </x:c>
      <x:c r="D146" s="4" t="n">
        <x:v>2026</x:v>
      </x:c>
      <x:c r="E146" s="7" t="str">
        <x:v>https://arxiv.org/abs/2610.00906</x:v>
      </x:c>
      <x:c r="F146" s="3" t="str">
        <x:v>POSTECH; KAIST; Microsoft</x:v>
      </x:c>
      <x:c r="G146" s="3" t="str">
        <x:v>Method</x:v>
      </x:c>
      <x:c r="H146" s="3" t="str">
        <x:v>harness</x:v>
      </x:c>
      <x:c r="I146" s="3" t="str">
        <x:v>Adaptive curriculum for harness optimization</x:v>
      </x:c>
      <x:c r="J146" s="3" t="str">
        <x:v>reasoning;planning;learning</x:v>
      </x:c>
      <x:c r="K146" s="3" t="str">
        <x:v>prompt-workflow</x:v>
      </x:c>
      <x:c r="L146" s="3" t="str">
        <x:v>5.3.2</x:v>
      </x:c>
      <x:c r="M146" s="3" t="str">
        <x:v>把当前最有学习价值的训练场景选择建模为非平稳 bandit，使课程随 harness 能力演化。</x:v>
      </x:c>
      <x:c r="N146" s="3" t="str"/>
      <x:c r="O146" s="3" t="str"/>
      <x:c r="P146" s="3" t="str">
        <x:v>verified</x:v>
      </x:c>
      <x:c r="Q146" s="7" t="str">
        <x:v>https://arxiv.org/html/2610.00906v1</x:v>
      </x:c>
      <x:c r="R146" s="7" t="str">
        <x:v>https://arxiv.org/abs/2610.00906</x:v>
      </x:c>
      <x:c r="S146" s="3" t="str">
        <x:v>145</x:v>
      </x:c>
      <x:c r="T146" s="3" t="str">
        <x:v>survey bibliography</x:v>
      </x:c>
      <x:c r="U146" s="5" t="d">
        <x:v>2026-10-16T00:00:00.000Z</x:v>
      </x:c>
      <x:c r="V146" s="6" t="str">
        <x:v>未分配</x:v>
      </x:c>
      <x:c r="W146" s="6" t="str"/>
      <x:c r="X146" s="6" t="str"/>
      <x:c r="Y146" s="6" t="str"/>
      <x:c r="Z146" s="3" t="str"/>
    </x:row>
    <x:row r="147" ht="55" customHeight="1">
      <x:c r="A147" s="3" t="str">
        <x:v>WA-0146</x:v>
      </x:c>
      <x:c r="B147" s="3" t="str">
        <x:v>Adaptive Auto-Harness: Sustained Self-Improvement for Agentic System Deployment on Open-Ended Task Streams</x:v>
      </x:c>
      <x:c r="C147" s="3" t="str">
        <x:v>Adaptive Auto-Harness</x:v>
      </x:c>
      <x:c r="D147" s="4" t="n">
        <x:v>2026</x:v>
      </x:c>
      <x:c r="E147" s="7" t="str">
        <x:v>https://arxiv.org/abs/2606.01770</x:v>
      </x:c>
      <x:c r="F147" s="3" t="str">
        <x:v>Emory University; Amazon; The Pennsylvania State University; University of Illinois Urbana-Champaign; Northeastern University</x:v>
      </x:c>
      <x:c r="G147" s="3" t="str">
        <x:v>Method;Framework</x:v>
      </x:c>
      <x:c r="H147" s="3" t="str">
        <x:v>harness</x:v>
      </x:c>
      <x:c r="I147" s="3" t="str">
        <x:v>Task-adaptive harness optimization on open streams</x:v>
      </x:c>
      <x:c r="J147" s="3" t="str">
        <x:v>reasoning;memory;state-management;learning</x:v>
      </x:c>
      <x:c r="K147" s="3" t="str">
        <x:v>prompt-workflow</x:v>
      </x:c>
      <x:c r="L147" s="3" t="str">
        <x:v>5.3.2</x:v>
      </x:c>
      <x:c r="M147" s="3" t="str">
        <x:v>针对持续开放任务流建立按任务适配的 harness 构建机制，减少单一 harness 密集更新后的退化。</x:v>
      </x:c>
      <x:c r="N147" s="7" t="str">
        <x:v>https://github.com/A-EVO-Lab/a-evolve/tree/release/adaptive-auto-harness</x:v>
      </x:c>
      <x:c r="O147" s="3" t="str"/>
      <x:c r="P147" s="3" t="str">
        <x:v>verified</x:v>
      </x:c>
      <x:c r="Q147" s="7" t="str">
        <x:v>https://arxiv.org/html/2606.01770v2</x:v>
      </x:c>
      <x:c r="R147" s="7" t="str">
        <x:v>https://arxiv.org/abs/2606.01770</x:v>
      </x:c>
      <x:c r="S147" s="3" t="str">
        <x:v>146</x:v>
      </x:c>
      <x:c r="T147" s="3" t="str">
        <x:v>survey bibliography</x:v>
      </x:c>
      <x:c r="U147" s="5" t="d">
        <x:v>2026-10-16T00:00:00.000Z</x:v>
      </x:c>
      <x:c r="V147" s="6" t="str">
        <x:v>未分配</x:v>
      </x:c>
      <x:c r="W147" s="6" t="str"/>
      <x:c r="X147" s="6" t="str"/>
      <x:c r="Y147" s="6" t="str"/>
      <x:c r="Z147" s="3" t="str"/>
    </x:row>
    <x:row r="148" ht="55" customHeight="1">
      <x:c r="A148" s="3" t="str">
        <x:v>WA-0147</x:v>
      </x:c>
      <x:c r="B148" s="3" t="str">
        <x:v>Agentic Context Engineering: Evolving Contexts for Self-Improving Language Models</x:v>
      </x:c>
      <x:c r="C148" s="3" t="str">
        <x:v>ACE</x:v>
      </x:c>
      <x:c r="D148" s="4" t="n">
        <x:v>2025</x:v>
      </x:c>
      <x:c r="E148" s="7" t="str">
        <x:v>https://arxiv.org/abs/2510.04618</x:v>
      </x:c>
      <x:c r="F148" s="3" t="str">
        <x:v>Stanford University; SambaNova Systems; University of California, Berkeley</x:v>
      </x:c>
      <x:c r="G148" s="3" t="str">
        <x:v>Method;Framework</x:v>
      </x:c>
      <x:c r="H148" s="3" t="str">
        <x:v>harness</x:v>
      </x:c>
      <x:c r="I148" s="3" t="str">
        <x:v>Incremental context playbook evolution</x:v>
      </x:c>
      <x:c r="J148" s="3" t="str">
        <x:v>reasoning;memory;learning</x:v>
      </x:c>
      <x:c r="K148" s="3" t="str">
        <x:v>memory-skill</x:v>
      </x:c>
      <x:c r="L148" s="3" t="str">
        <x:v>5.3.3</x:v>
      </x:c>
      <x:c r="M148" s="3" t="str">
        <x:v>用生成、反思与策划模块增量更新结构化 playbook，缓解摘要偏好与反复重写造成的上下文坍缩。</x:v>
      </x:c>
      <x:c r="N148" s="7" t="str">
        <x:v>https://github.com/ace-agent/ace</x:v>
      </x:c>
      <x:c r="O148" s="3" t="str"/>
      <x:c r="P148" s="3" t="str">
        <x:v>verified</x:v>
      </x:c>
      <x:c r="Q148" s="7" t="str">
        <x:v>https://arxiv.org/html/2510.04618v3</x:v>
      </x:c>
      <x:c r="R148" s="7" t="str">
        <x:v>https://arxiv.org/abs/2510.04618</x:v>
      </x:c>
      <x:c r="S148" s="3" t="str">
        <x:v>147</x:v>
      </x:c>
      <x:c r="T148" s="3" t="str">
        <x:v>survey bibliography</x:v>
      </x:c>
      <x:c r="U148" s="5" t="d">
        <x:v>2026-10-16T00:00:00.000Z</x:v>
      </x:c>
      <x:c r="V148" s="6" t="str">
        <x:v>未分配</x:v>
      </x:c>
      <x:c r="W148" s="6" t="str"/>
      <x:c r="X148" s="6" t="str"/>
      <x:c r="Y148" s="6" t="str"/>
      <x:c r="Z148" s="3" t="str">
        <x:v>首次预印本 2025。</x:v>
      </x:c>
    </x:row>
    <x:row r="149" ht="55" customHeight="1">
      <x:c r="A149" s="3" t="str">
        <x:v>WA-0148</x:v>
      </x:c>
      <x:c r="B149" s="3" t="str">
        <x:v>UI-Copilot: Advancing Long-Horizon GUI Automation via Tool-Integrated Policy Optimization</x:v>
      </x:c>
      <x:c r="C149" s="3" t="str">
        <x:v>UI-Copilot</x:v>
      </x:c>
      <x:c r="D149" s="4" t="n">
        <x:v>2026</x:v>
      </x:c>
      <x:c r="E149" s="7" t="str">
        <x:v>https://arxiv.org/abs/2604.13822</x:v>
      </x:c>
      <x:c r="F149" s="3" t="str">
        <x:v>Zhejiang University; Apple; Tencent</x:v>
      </x:c>
      <x:c r="G149" s="3" t="str">
        <x:v>Method</x:v>
      </x:c>
      <x:c r="H149" s="3" t="str">
        <x:v>computer-use</x:v>
      </x:c>
      <x:c r="I149" s="3" t="str">
        <x:v>Tool-integrated policy training with memory decoupling</x:v>
      </x:c>
      <x:c r="J149" s="3" t="str">
        <x:v>reasoning;execution;state-management;memory;learning</x:v>
      </x:c>
      <x:c r="K149" s="3" t="str">
        <x:v>model-harness-coupling</x:v>
      </x:c>
      <x:c r="L149" s="3" t="str">
        <x:v>5.4.1</x:v>
      </x:c>
      <x:c r="M149" s="3" t="str">
        <x:v>把持久观测与临时执行上下文分离，训练 GUI 策略按需调用检索与计算 copilot。</x:v>
      </x:c>
      <x:c r="N149" s="3" t="str"/>
      <x:c r="O149" s="3" t="str"/>
      <x:c r="P149" s="3" t="str">
        <x:v>verified</x:v>
      </x:c>
      <x:c r="Q149" s="7" t="str">
        <x:v>https://arxiv.org/html/2604.13822v1</x:v>
      </x:c>
      <x:c r="R149" s="7" t="str">
        <x:v>https://arxiv.org/abs/2604.13822</x:v>
      </x:c>
      <x:c r="S149" s="3" t="str">
        <x:v>148</x:v>
      </x:c>
      <x:c r="T149" s="3" t="str">
        <x:v>survey bibliography</x:v>
      </x:c>
      <x:c r="U149" s="5" t="d">
        <x:v>2026-10-16T00:00:00.000Z</x:v>
      </x:c>
      <x:c r="V149" s="6" t="str">
        <x:v>未分配</x:v>
      </x:c>
      <x:c r="W149" s="6" t="str"/>
      <x:c r="X149" s="6" t="str"/>
      <x:c r="Y149" s="6" t="str"/>
      <x:c r="Z149" s="3" t="str"/>
    </x:row>
    <x:row r="150" ht="55" customHeight="1">
      <x:c r="A150" s="3" t="str">
        <x:v>WA-0149</x:v>
      </x:c>
      <x:c r="B150" s="3" t="str">
        <x:v>JIT-Agent: Scaling Harness Intelligence via Just-in-Time Harness Evolution</x:v>
      </x:c>
      <x:c r="C150" s="3" t="str">
        <x:v>JIT-Agent</x:v>
      </x:c>
      <x:c r="D150" s="4" t="n">
        <x:v>2026</x:v>
      </x:c>
      <x:c r="E150" s="7" t="str">
        <x:v>https://arxiv.org/abs/2608.25593</x:v>
      </x:c>
      <x:c r="F150" s="3" t="str">
        <x:v>National University of Singapore; EverMind AI; Nanyang Technological University</x:v>
      </x:c>
      <x:c r="G150" s="3" t="str">
        <x:v>Method;Framework</x:v>
      </x:c>
      <x:c r="H150" s="3" t="str">
        <x:v>harness</x:v>
      </x:c>
      <x:c r="I150" s="3" t="str">
        <x:v>Learned just-in-time harness generation</x:v>
      </x:c>
      <x:c r="J150" s="3" t="str">
        <x:v>planning;memory;execution;verification;recovery;learning</x:v>
      </x:c>
      <x:c r="K150" s="3" t="str">
        <x:v>model-harness-coupling</x:v>
      </x:c>
      <x:c r="L150" s="3" t="str">
        <x:v>5.4.2</x:v>
      </x:c>
      <x:c r="M150" s="3" t="str">
        <x:v>训练专用模型为当前任务即时生成、修复并演化包含记忆、规划、动作和能力模块的 harness。</x:v>
      </x:c>
      <x:c r="N150" s="7" t="str">
        <x:v>https://github.com/bingreeky/JIT</x:v>
      </x:c>
      <x:c r="O150" s="3" t="str"/>
      <x:c r="P150" s="3" t="str">
        <x:v>verified</x:v>
      </x:c>
      <x:c r="Q150" s="7" t="str">
        <x:v>https://arxiv.org/pdf/2608.25593</x:v>
      </x:c>
      <x:c r="R150" s="7" t="str">
        <x:v>https://arxiv.org/abs/2608.25593</x:v>
      </x:c>
      <x:c r="S150" s="3" t="str">
        <x:v>149</x:v>
      </x:c>
      <x:c r="T150" s="3" t="str">
        <x:v>survey bibliography</x:v>
      </x:c>
      <x:c r="U150" s="5" t="d">
        <x:v>2026-10-16T00:00:00.000Z</x:v>
      </x:c>
      <x:c r="V150" s="6" t="str">
        <x:v>未分配</x:v>
      </x:c>
      <x:c r="W150" s="6" t="str"/>
      <x:c r="X150" s="6" t="str"/>
      <x:c r="Y150" s="6" t="str"/>
      <x:c r="Z150" s="3" t="str">
        <x:v>单位在 PDF 作者贡献/affiliations 段核实，首页仅署名 JIT-Agent Team。</x:v>
      </x:c>
    </x:row>
    <x:row r="151" ht="55" customHeight="1">
      <x:c r="A151" s="3" t="str">
        <x:v>WA-0150</x:v>
      </x:c>
      <x:c r="B151" s="3" t="str">
        <x:v>CODESKILL: Learning Self-Evolving Skills for Coding Agents</x:v>
      </x:c>
      <x:c r="C151" s="3" t="str">
        <x:v>CODESKILL</x:v>
      </x:c>
      <x:c r="D151" s="4" t="n">
        <x:v>2026</x:v>
      </x:c>
      <x:c r="E151" s="7" t="str">
        <x:v>https://arxiv.org/abs/2605.25430</x:v>
      </x:c>
      <x:c r="F151" s="3" t="str">
        <x:v>Nanyang Technological University; Zhejiang University</x:v>
      </x:c>
      <x:c r="G151" s="3" t="str">
        <x:v>Method</x:v>
      </x:c>
      <x:c r="H151" s="3" t="str">
        <x:v>swe-science</x:v>
      </x:c>
      <x:c r="I151" s="3" t="str">
        <x:v>Learned skill extraction and bank-management policy</x:v>
      </x:c>
      <x:c r="J151" s="3" t="str">
        <x:v>reasoning;memory;execution;learning</x:v>
      </x:c>
      <x:c r="K151" s="3" t="str">
        <x:v>model-harness-coupling</x:v>
      </x:c>
      <x:c r="L151" s="3" t="str">
        <x:v>5.4.2</x:v>
      </x:c>
      <x:c r="M151" s="3" t="str">
        <x:v>把代码轨迹技能抽取和紧凑技能库维护建模为可学习的管理策略，支持多粒度经验复用。</x:v>
      </x:c>
      <x:c r="N151" s="3" t="str"/>
      <x:c r="O151" s="3" t="str"/>
      <x:c r="P151" s="3" t="str">
        <x:v>verified</x:v>
      </x:c>
      <x:c r="Q151" s="7" t="str">
        <x:v>https://arxiv.org/html/2605.25430v2</x:v>
      </x:c>
      <x:c r="R151" s="7" t="str">
        <x:v>https://arxiv.org/abs/2605.25430</x:v>
      </x:c>
      <x:c r="S151" s="3" t="str">
        <x:v>150</x:v>
      </x:c>
      <x:c r="T151" s="3" t="str">
        <x:v>survey bibliography</x:v>
      </x:c>
      <x:c r="U151" s="5" t="d">
        <x:v>2026-10-16T00:00:00.000Z</x:v>
      </x:c>
      <x:c r="V151" s="6" t="str">
        <x:v>未分配</x:v>
      </x:c>
      <x:c r="W151" s="6" t="str"/>
      <x:c r="X151" s="6" t="str"/>
      <x:c r="Y151" s="6" t="str"/>
      <x:c r="Z151" s="3" t="str"/>
    </x:row>
    <x:row r="152" ht="55" customHeight="1">
      <x:c r="A152" s="3" t="str">
        <x:v>WA-0151</x:v>
      </x:c>
      <x:c r="B152" s="3" t="str">
        <x:v>DMRL: Document-Mediated Reinforcement Learning for Skill Optimization in Advertising Recommendation</x:v>
      </x:c>
      <x:c r="C152" s="3" t="str">
        <x:v>DMRL</x:v>
      </x:c>
      <x:c r="D152" s="4" t="n">
        <x:v>2026</x:v>
      </x:c>
      <x:c r="E152" s="7" t="str">
        <x:v>https://arxiv.org/abs/2609.02170</x:v>
      </x:c>
      <x:c r="F152" s="3" t="str">
        <x:v>Shanghai Jiao Tong University; Kuaishou Technology</x:v>
      </x:c>
      <x:c r="G152" s="3" t="str">
        <x:v>Method</x:v>
      </x:c>
      <x:c r="H152" s="3" t="str">
        <x:v>tool-enterprise</x:v>
      </x:c>
      <x:c r="I152" s="3" t="str">
        <x:v>Document-mediated skill-edit reinforcement learning</x:v>
      </x:c>
      <x:c r="J152" s="3" t="str">
        <x:v>reasoning;execution;verification;learning</x:v>
      </x:c>
      <x:c r="K152" s="3" t="str">
        <x:v>model-harness-coupling</x:v>
      </x:c>
      <x:c r="L152" s="3" t="str">
        <x:v>5.4.2</x:v>
      </x:c>
      <x:c r="M152" s="3" t="str">
        <x:v>让上层 agent 执行结构化技能文档编辑，由冻结下层 agent 的广告推荐 A/B 结果提供优化信号。</x:v>
      </x:c>
      <x:c r="N152" s="3" t="str"/>
      <x:c r="O152" s="3" t="str"/>
      <x:c r="P152" s="3" t="str">
        <x:v>verified</x:v>
      </x:c>
      <x:c r="Q152" s="7" t="str">
        <x:v>https://arxiv.org/html/2609.02170v1</x:v>
      </x:c>
      <x:c r="R152" s="7" t="str">
        <x:v>https://arxiv.org/abs/2609.02170</x:v>
      </x:c>
      <x:c r="S152" s="3" t="str">
        <x:v>151</x:v>
      </x:c>
      <x:c r="T152" s="3" t="str">
        <x:v>survey bibliography</x:v>
      </x:c>
      <x:c r="U152" s="5" t="d">
        <x:v>2026-10-16T00:00:00.000Z</x:v>
      </x:c>
      <x:c r="V152" s="6" t="str">
        <x:v>未分配</x:v>
      </x:c>
      <x:c r="W152" s="6" t="str"/>
      <x:c r="X152" s="6" t="str"/>
      <x:c r="Y152" s="6" t="str"/>
      <x:c r="Z152" s="3" t="str"/>
    </x:row>
    <x:row r="153" ht="55" customHeight="1">
      <x:c r="A153" s="3" t="str">
        <x:v>WA-0152</x:v>
      </x:c>
      <x:c r="B153" s="3" t="str">
        <x:v>UI-Mem: Self-Evolving Experience Memory for Online Reinforcement Learning in Mobile GUI Agents</x:v>
      </x:c>
      <x:c r="C153" s="3" t="str">
        <x:v>UI-Mem</x:v>
      </x:c>
      <x:c r="D153" s="4" t="n">
        <x:v>2026</x:v>
      </x:c>
      <x:c r="E153" s="7" t="str">
        <x:v>https://arxiv.org/abs/2602.05832</x:v>
      </x:c>
      <x:c r="F153" s="3" t="str">
        <x:v>The Chinese University of Hong Kong, MMLab; vivo AI Lab; Princeton University; Shenzhen Loop Area Institute; Shanghai AI Laboratory</x:v>
      </x:c>
      <x:c r="G153" s="3" t="str">
        <x:v>Method</x:v>
      </x:c>
      <x:c r="H153" s="3" t="str">
        <x:v>computer-use</x:v>
      </x:c>
      <x:c r="I153" s="3" t="str">
        <x:v>Hierarchical experience memory coupled with online RL</x:v>
      </x:c>
      <x:c r="J153" s="3" t="str">
        <x:v>planning;memory;execution;learning</x:v>
      </x:c>
      <x:c r="K153" s="3" t="str">
        <x:v>model-harness-coupling</x:v>
      </x:c>
      <x:c r="L153" s="3" t="str">
        <x:v>5.4.3</x:v>
      </x:c>
      <x:c r="M153" s="3" t="str">
        <x:v>把工作流、子任务技能和失败模式存成可参数化记忆，并以分层采样将经验指导接入在线 RL。</x:v>
      </x:c>
      <x:c r="N153" s="3" t="str"/>
      <x:c r="O153" s="3" t="str"/>
      <x:c r="P153" s="3" t="str">
        <x:v>verified</x:v>
      </x:c>
      <x:c r="Q153" s="7" t="str">
        <x:v>https://arxiv.org/html/2602.05832v1</x:v>
      </x:c>
      <x:c r="R153" s="7" t="str">
        <x:v>https://arxiv.org/abs/2602.05832</x:v>
      </x:c>
      <x:c r="S153" s="3" t="str">
        <x:v>152</x:v>
      </x:c>
      <x:c r="T153" s="3" t="str">
        <x:v>survey bibliography</x:v>
      </x:c>
      <x:c r="U153" s="5" t="d">
        <x:v>2026-10-16T00:00:00.000Z</x:v>
      </x:c>
      <x:c r="V153" s="6" t="str">
        <x:v>未分配</x:v>
      </x:c>
      <x:c r="W153" s="6" t="str"/>
      <x:c r="X153" s="6" t="str"/>
      <x:c r="Y153" s="6" t="str"/>
      <x:c r="Z153" s="3" t="str"/>
    </x:row>
    <x:row r="154" ht="70" customHeight="1">
      <x:c r="A154" s="3" t="str">
        <x:v>WA-0153</x:v>
      </x:c>
      <x:c r="B154" s="3" t="str">
        <x:v>SkillRL: Evolving Agents via Recursive Skill-Augmented Reinforcement Learning</x:v>
      </x:c>
      <x:c r="C154" s="3" t="str">
        <x:v>SkillRL</x:v>
      </x:c>
      <x:c r="D154" s="4" t="n">
        <x:v>2026</x:v>
      </x:c>
      <x:c r="E154" s="7" t="str">
        <x:v>https://arxiv.org/abs/2602.08234</x:v>
      </x:c>
      <x:c r="F154" s="3" t="str">
        <x:v>University of North Carolina at Chapel Hill; University of Chicago; University of California, San Diego; NEC Laboratories America; University of California, Berkeley; University of California, Santa Cruz</x:v>
      </x:c>
      <x:c r="G154" s="3" t="str">
        <x:v>Method</x:v>
      </x:c>
      <x:c r="H154" s="3" t="str">
        <x:v>harness</x:v>
      </x:c>
      <x:c r="I154" s="3" t="str">
        <x:v>Recursive skill-bank and policy co-evolution</x:v>
      </x:c>
      <x:c r="J154" s="3" t="str">
        <x:v>reasoning;memory;execution;learning</x:v>
      </x:c>
      <x:c r="K154" s="3" t="str">
        <x:v>model-harness-coupling</x:v>
      </x:c>
      <x:c r="L154" s="3" t="str">
        <x:v>5.4.3</x:v>
      </x:c>
      <x:c r="M154" s="3" t="str">
        <x:v>从原始轨迹蒸馏分层 SkillBank，联合自适应检索与递归技能演化提升 RL agent。</x:v>
      </x:c>
      <x:c r="N154" s="7" t="str">
        <x:v>https://github.com/aiming-lab/SkillRL</x:v>
      </x:c>
      <x:c r="O154" s="3" t="str"/>
      <x:c r="P154" s="3" t="str">
        <x:v>verified</x:v>
      </x:c>
      <x:c r="Q154" s="7" t="str">
        <x:v>https://arxiv.org/html/2602.08234v2</x:v>
      </x:c>
      <x:c r="R154" s="7" t="str">
        <x:v>https://arxiv.org/abs/2602.08234</x:v>
      </x:c>
      <x:c r="S154" s="3" t="str">
        <x:v>153</x:v>
      </x:c>
      <x:c r="T154" s="3" t="str">
        <x:v>survey bibliography</x:v>
      </x:c>
      <x:c r="U154" s="5" t="d">
        <x:v>2026-10-16T00:00:00.000Z</x:v>
      </x:c>
      <x:c r="V154" s="6" t="str">
        <x:v>未分配</x:v>
      </x:c>
      <x:c r="W154" s="6" t="str"/>
      <x:c r="X154" s="6" t="str"/>
      <x:c r="Y154" s="6" t="str"/>
      <x:c r="Z154" s="3" t="str"/>
    </x:row>
    <x:row r="155" ht="55" customHeight="1">
      <x:c r="A155" s="3" t="str">
        <x:v>WA-0154</x:v>
      </x:c>
      <x:c r="B155" s="3" t="str">
        <x:v>Learning, Fast and Slow: Towards LLMs That Adapt Continually</x:v>
      </x:c>
      <x:c r="C155" s="3" t="str">
        <x:v>FST</x:v>
      </x:c>
      <x:c r="D155" s="4" t="n">
        <x:v>2026</x:v>
      </x:c>
      <x:c r="E155" s="7" t="str">
        <x:v>https://arxiv.org/abs/2605.12484</x:v>
      </x:c>
      <x:c r="F155" s="3" t="str">
        <x:v>University of California, Berkeley; Mila; University of Texas at Austin; Eragon; Periodic Labs; Mirendil</x:v>
      </x:c>
      <x:c r="G155" s="3" t="str">
        <x:v>Method</x:v>
      </x:c>
      <x:c r="H155" s="3" t="str">
        <x:v>harness</x:v>
      </x:c>
      <x:c r="I155" s="3" t="str">
        <x:v>Fast context and slow weight continual adaptation</x:v>
      </x:c>
      <x:c r="J155" s="3" t="str">
        <x:v>reasoning;memory;learning</x:v>
      </x:c>
      <x:c r="K155" s="3" t="str">
        <x:v>model-harness-coupling</x:v>
      </x:c>
      <x:c r="L155" s="3" t="str">
        <x:v>5.4.3</x:v>
      </x:c>
      <x:c r="M155" s="3" t="str">
        <x:v>把优化上下文作为快速权重、模型参数作为慢速权重，协调文本反馈适应与 RL 更新以减少遗忘。</x:v>
      </x:c>
      <x:c r="N155" s="3" t="str"/>
      <x:c r="O155" s="3" t="str"/>
      <x:c r="P155" s="3" t="str">
        <x:v>verified</x:v>
      </x:c>
      <x:c r="Q155" s="7" t="str">
        <x:v>https://arxiv.org/html/2605.12484v3</x:v>
      </x:c>
      <x:c r="R155" s="7" t="str">
        <x:v>https://arxiv.org/abs/2605.12484</x:v>
      </x:c>
      <x:c r="S155" s="3" t="str">
        <x:v>154</x:v>
      </x:c>
      <x:c r="T155" s="3" t="str">
        <x:v>survey bibliography</x:v>
      </x:c>
      <x:c r="U155" s="5" t="d">
        <x:v>2026-10-16T00:00:00.000Z</x:v>
      </x:c>
      <x:c r="V155" s="6" t="str">
        <x:v>未分配</x:v>
      </x:c>
      <x:c r="W155" s="6" t="str"/>
      <x:c r="X155" s="6" t="str"/>
      <x:c r="Y155" s="6" t="str"/>
      <x:c r="Z155" s="3" t="str"/>
    </x:row>
    <x:row r="156" ht="55" customHeight="1">
      <x:c r="A156" s="3" t="str">
        <x:v>WA-0155</x:v>
      </x:c>
      <x:c r="B156" s="3" t="str">
        <x:v>SIA: Self Improving AI with Harness &amp; Weight Updates</x:v>
      </x:c>
      <x:c r="C156" s="3" t="str">
        <x:v>SIA</x:v>
      </x:c>
      <x:c r="D156" s="4" t="n">
        <x:v>2026</x:v>
      </x:c>
      <x:c r="E156" s="7" t="str">
        <x:v>https://arxiv.org/abs/2605.27276</x:v>
      </x:c>
      <x:c r="F156" s="3" t="str">
        <x:v>Hexo Labs (Palo Alto, Brussels, Toronto); University of Oxford</x:v>
      </x:c>
      <x:c r="G156" s="3" t="str">
        <x:v>Method</x:v>
      </x:c>
      <x:c r="H156" s="3" t="str">
        <x:v>harness</x:v>
      </x:c>
      <x:c r="I156" s="3" t="str">
        <x:v>Joint self-improvement of harness and model weights</x:v>
      </x:c>
      <x:c r="J156" s="3" t="str">
        <x:v>reasoning;execution;verification;learning</x:v>
      </x:c>
      <x:c r="K156" s="3" t="str">
        <x:v>model-harness-coupling</x:v>
      </x:c>
      <x:c r="L156" s="3" t="str">
        <x:v>5.4.3</x:v>
      </x:c>
      <x:c r="M156" s="3" t="str">
        <x:v>以 Feedback-Agent 同时修改任务 agent 的 harness 与权重，跨法律分类、GPU 优化和单细胞去噪验证。</x:v>
      </x:c>
      <x:c r="N156" s="3" t="str"/>
      <x:c r="O156" s="3" t="str"/>
      <x:c r="P156" s="3" t="str">
        <x:v>verified</x:v>
      </x:c>
      <x:c r="Q156" s="7" t="str">
        <x:v>https://arxiv.org/pdf/2605.27276</x:v>
      </x:c>
      <x:c r="R156" s="7" t="str">
        <x:v>https://arxiv.org/abs/2605.27276</x:v>
      </x:c>
      <x:c r="S156" s="3" t="str">
        <x:v>155</x:v>
      </x:c>
      <x:c r="T156" s="3" t="str">
        <x:v>survey bibliography</x:v>
      </x:c>
      <x:c r="U156" s="5" t="d">
        <x:v>2026-10-16T00:00:00.000Z</x:v>
      </x:c>
      <x:c r="V156" s="6" t="str">
        <x:v>未分配</x:v>
      </x:c>
      <x:c r="W156" s="6" t="str"/>
      <x:c r="X156" s="6" t="str"/>
      <x:c r="Y156" s="6" t="str"/>
      <x:c r="Z156" s="3" t="str">
        <x:v>机构从 PDF 首页核实；HTML 作者行未完整显示单位。</x:v>
      </x:c>
    </x:row>
    <x:row r="157" ht="55" customHeight="1">
      <x:c r="A157" s="3" t="str">
        <x:v>WA-0156</x:v>
      </x:c>
      <x:c r="B157" s="3" t="str">
        <x:v>Joint Optimization of Tool Creation and Use for Large Language Model Agents</x:v>
      </x:c>
      <x:c r="C157" s="3" t="str">
        <x:v>SMITH</x:v>
      </x:c>
      <x:c r="D157" s="4" t="n">
        <x:v>2026</x:v>
      </x:c>
      <x:c r="E157" s="7" t="str">
        <x:v>https://arxiv.org/abs/2608.24571</x:v>
      </x:c>
      <x:c r="F157" s="3" t="str">
        <x:v>Appier AI Research; National Taiwan University</x:v>
      </x:c>
      <x:c r="G157" s="3" t="str">
        <x:v>Method</x:v>
      </x:c>
      <x:c r="H157" s="3" t="str">
        <x:v>harness</x:v>
      </x:c>
      <x:c r="I157" s="3" t="str">
        <x:v>Joint tool creation and tool-use policy optimization</x:v>
      </x:c>
      <x:c r="J157" s="3" t="str">
        <x:v>reasoning;execution;verification;learning</x:v>
      </x:c>
      <x:c r="K157" s="3" t="str">
        <x:v>model-harness-coupling</x:v>
      </x:c>
      <x:c r="L157" s="3" t="str">
        <x:v>5.4.1</x:v>
      </x:c>
      <x:c r="M157" s="3" t="str">
        <x:v>在同一 RL 策略内交替训练工具构建与调用，以 schema、代码和结果三个奖励轴分别归因。</x:v>
      </x:c>
      <x:c r="N157" s="7" t="str">
        <x:v>https://github.com/appier-research/smith</x:v>
      </x:c>
      <x:c r="O157" s="3" t="str"/>
      <x:c r="P157" s="3" t="str">
        <x:v>verified</x:v>
      </x:c>
      <x:c r="Q157" s="7" t="str">
        <x:v>https://arxiv.org/html/2608.24571v1</x:v>
      </x:c>
      <x:c r="R157" s="7" t="str">
        <x:v>https://arxiv.org/abs/2608.24571</x:v>
      </x:c>
      <x:c r="S157" s="3" t="str">
        <x:v>156</x:v>
      </x:c>
      <x:c r="T157" s="3" t="str">
        <x:v>survey bibliography</x:v>
      </x:c>
      <x:c r="U157" s="5" t="d">
        <x:v>2026-10-16T00:00:00.000Z</x:v>
      </x:c>
      <x:c r="V157" s="6" t="str">
        <x:v>未分配</x:v>
      </x:c>
      <x:c r="W157" s="6" t="str"/>
      <x:c r="X157" s="6" t="str"/>
      <x:c r="Y157" s="6" t="str"/>
      <x:c r="Z157" s="3" t="str"/>
    </x:row>
    <x:row r="158" ht="55" customHeight="1">
      <x:c r="A158" s="3" t="str">
        <x:v>WA-0157</x:v>
      </x:c>
      <x:c r="B158" s="3" t="str">
        <x:v>Progressive Agent Skill Generation via Reinforcement Learning</x:v>
      </x:c>
      <x:c r="C158" s="3" t="str">
        <x:v>Skill-Alpha</x:v>
      </x:c>
      <x:c r="D158" s="4" t="n">
        <x:v>2026</x:v>
      </x:c>
      <x:c r="E158" s="7" t="str">
        <x:v>https://arxiv.org/abs/2608.01678</x:v>
      </x:c>
      <x:c r="F158" s="3" t="str">
        <x:v>The Chinese University of Hong Kong; LIGHTSPEED; Independent researcher</x:v>
      </x:c>
      <x:c r="G158" s="3" t="str">
        <x:v>Method</x:v>
      </x:c>
      <x:c r="H158" s="3" t="str">
        <x:v>harness</x:v>
      </x:c>
      <x:c r="I158" s="3" t="str">
        <x:v>Progressive reinforcement learning for skill generation</x:v>
      </x:c>
      <x:c r="J158" s="3" t="str">
        <x:v>reasoning;memory;execution;learning</x:v>
      </x:c>
      <x:c r="K158" s="3" t="str">
        <x:v>model-harness-coupling</x:v>
      </x:c>
      <x:c r="L158" s="3" t="str">
        <x:v>5.4.2</x:v>
      </x:c>
      <x:c r="M158" s="3" t="str">
        <x:v>用下游任务收益监督技能生成，通过渐进强化学习从异质文档或经验学习可用技能。</x:v>
      </x:c>
      <x:c r="N158" s="7" t="str">
        <x:v>https://github.com/ejhshen/skill-alpha</x:v>
      </x:c>
      <x:c r="O158" s="3" t="str"/>
      <x:c r="P158" s="3" t="str">
        <x:v>verified</x:v>
      </x:c>
      <x:c r="Q158" s="7" t="str">
        <x:v>https://arxiv.org/html/2608.01678v3</x:v>
      </x:c>
      <x:c r="R158" s="7" t="str">
        <x:v>https://arxiv.org/abs/2608.01678</x:v>
      </x:c>
      <x:c r="S158" s="3" t="str">
        <x:v>157</x:v>
      </x:c>
      <x:c r="T158" s="3" t="str">
        <x:v>survey bibliography</x:v>
      </x:c>
      <x:c r="U158" s="5" t="d">
        <x:v>2026-10-16T00:00:00.000Z</x:v>
      </x:c>
      <x:c r="V158" s="6" t="str">
        <x:v>未分配</x:v>
      </x:c>
      <x:c r="W158" s="6" t="str"/>
      <x:c r="X158" s="6" t="str"/>
      <x:c r="Y158" s="6" t="str"/>
      <x:c r="Z158" s="3" t="str">
        <x:v>当前 primary author list 包括 Chengzhi Piao，较 survey 原始引用更完整。</x:v>
      </x:c>
    </x:row>
    <x:row r="159" ht="55" customHeight="1">
      <x:c r="A159" s="3" t="str">
        <x:v>WA-0158</x:v>
      </x:c>
      <x:c r="B159" s="3" t="str">
        <x:v>Optimas: Optimizing Compound AI Systems with Globally Aligned Local Rewards</x:v>
      </x:c>
      <x:c r="C159" s="3" t="str">
        <x:v>Optimas</x:v>
      </x:c>
      <x:c r="D159" s="4" t="n">
        <x:v>2025</x:v>
      </x:c>
      <x:c r="E159" s="7" t="str">
        <x:v>https://arxiv.org/abs/2507.03041</x:v>
      </x:c>
      <x:c r="F159" s="3" t="str">
        <x:v>Stanford University; Amazon; Jožef Stefan Institute; Rutgers University</x:v>
      </x:c>
      <x:c r="G159" s="3" t="str">
        <x:v>Method;Framework</x:v>
      </x:c>
      <x:c r="H159" s="3" t="str">
        <x:v>harness</x:v>
      </x:c>
      <x:c r="I159" s="3" t="str">
        <x:v>Globally aligned local rewards for compound systems</x:v>
      </x:c>
      <x:c r="J159" s="3" t="str">
        <x:v>reasoning;coordination;verification;learning</x:v>
      </x:c>
      <x:c r="K159" s="3" t="str">
        <x:v>model-harness-coupling</x:v>
      </x:c>
      <x:c r="L159" s="3" t="str">
        <x:v>5.4.3</x:v>
      </x:c>
      <x:c r="M159" s="3" t="str">
        <x:v>为各组件维护与系统收益对齐的局部奖励，协调提示、超参数及模型权重等异质更新。</x:v>
      </x:c>
      <x:c r="N159" s="3" t="str"/>
      <x:c r="O159" s="3" t="str"/>
      <x:c r="P159" s="3" t="str">
        <x:v>verified</x:v>
      </x:c>
      <x:c r="Q159" s="7" t="str">
        <x:v>https://arxiv.org/html/2507.03041v4</x:v>
      </x:c>
      <x:c r="R159" s="7" t="str">
        <x:v>https://arxiv.org/abs/2507.03041</x:v>
      </x:c>
      <x:c r="S159" s="3" t="str">
        <x:v>158</x:v>
      </x:c>
      <x:c r="T159" s="3" t="str">
        <x:v>survey bibliography</x:v>
      </x:c>
      <x:c r="U159" s="5" t="d">
        <x:v>2026-10-16T00:00:00.000Z</x:v>
      </x:c>
      <x:c r="V159" s="6" t="str">
        <x:v>未分配</x:v>
      </x:c>
      <x:c r="W159" s="6" t="str"/>
      <x:c r="X159" s="6" t="str"/>
      <x:c r="Y159" s="6" t="str"/>
      <x:c r="Z159" s="3" t="str">
        <x:v>首次预印本 2025；未将项目网站链接误填为代码仓库。</x:v>
      </x:c>
    </x:row>
    <x:row r="160" ht="55" customHeight="1">
      <x:c r="A160" s="3" t="str">
        <x:v>WA-0159</x:v>
      </x:c>
      <x:c r="B160" s="3" t="str">
        <x:v>Not All Experience Belongs in the Weights: Component Routing for Self-Improving GUI Agents</x:v>
      </x:c>
      <x:c r="C160" s="3" t="str">
        <x:v>Component Routing</x:v>
      </x:c>
      <x:c r="D160" s="4" t="n">
        <x:v>2026</x:v>
      </x:c>
      <x:c r="E160" s="7" t="str">
        <x:v>https://arxiv.org/abs/2610.01787</x:v>
      </x:c>
      <x:c r="F160" s="3" t="str">
        <x:v>South Dakota State University</x:v>
      </x:c>
      <x:c r="G160" s="3" t="str">
        <x:v>Method</x:v>
      </x:c>
      <x:c r="H160" s="3" t="str">
        <x:v>computer-use</x:v>
      </x:c>
      <x:c r="I160" s="3" t="str">
        <x:v>Routing decomposed experience to context versus weights</x:v>
      </x:c>
      <x:c r="J160" s="3" t="str">
        <x:v>reasoning;state-management;memory;learning</x:v>
      </x:c>
      <x:c r="K160" s="3" t="str">
        <x:v>model-harness-coupling</x:v>
      </x:c>
      <x:c r="L160" s="3" t="str">
        <x:v>5.4.3</x:v>
      </x:c>
      <x:c r="M160" s="3" t="str">
        <x:v>把 GUI 经验拆为定位器、流程、状态事实和教训，并逐项比较进入上下文或权重的收益。</x:v>
      </x:c>
      <x:c r="N160" s="3" t="str"/>
      <x:c r="O160" s="3" t="str"/>
      <x:c r="P160" s="3" t="str">
        <x:v>verified</x:v>
      </x:c>
      <x:c r="Q160" s="7" t="str">
        <x:v>https://arxiv.org/html/2610.01787v1</x:v>
      </x:c>
      <x:c r="R160" s="7" t="str">
        <x:v>https://arxiv.org/abs/2610.01787</x:v>
      </x:c>
      <x:c r="S160" s="3" t="str">
        <x:v>159</x:v>
      </x:c>
      <x:c r="T160" s="3" t="str">
        <x:v>survey bibliography</x:v>
      </x:c>
      <x:c r="U160" s="5" t="d">
        <x:v>2026-10-16T00:00:00.000Z</x:v>
      </x:c>
      <x:c r="V160" s="6" t="str">
        <x:v>未分配</x:v>
      </x:c>
      <x:c r="W160" s="6" t="str"/>
      <x:c r="X160" s="6" t="str"/>
      <x:c r="Y160" s="6" t="str"/>
      <x:c r="Z160" s="3" t="str"/>
    </x:row>
    <x:row r="161" ht="55" customHeight="1">
      <x:c r="A161" s="3" t="str">
        <x:v>WA-0160</x:v>
      </x:c>
      <x:c r="B161" s="3" t="str">
        <x:v>GAIA: a benchmark for General AI Assistants</x:v>
      </x:c>
      <x:c r="C161" s="3" t="str">
        <x:v>GAIA</x:v>
      </x:c>
      <x:c r="D161" s="4" t="n">
        <x:v>2023</x:v>
      </x:c>
      <x:c r="E161" s="7" t="str">
        <x:v>https://arxiv.org/abs/2311.12983</x:v>
      </x:c>
      <x:c r="F161" s="3" t="str">
        <x:v>Meta (FAIR; GenAI); Hugging Face; AutoGPT</x:v>
      </x:c>
      <x:c r="G161" s="3" t="str">
        <x:v>Benchmark</x:v>
      </x:c>
      <x:c r="H161" s="3" t="str">
        <x:v>workspace</x:v>
      </x:c>
      <x:c r="I161" s="3" t="str">
        <x:v>General assistant tasks</x:v>
      </x:c>
      <x:c r="J161" s="3" t="str">
        <x:v>perception;reasoning;execution</x:v>
      </x:c>
      <x:c r="K161" s="3" t="str"/>
      <x:c r="L161" s="3" t="str">
        <x:v>6.1</x:v>
      </x:c>
      <x:c r="M161" s="3" t="str">
        <x:v>以需要浏览、多模态理解与工具使用的真实问题评估通用助手；答案评测不等同于工作成果交付。</x:v>
      </x:c>
      <x:c r="N161" s="3" t="str"/>
      <x:c r="O161" s="3" t="str"/>
      <x:c r="P161" s="3" t="str">
        <x:v>verified</x:v>
      </x:c>
      <x:c r="Q161" s="7" t="str">
        <x:v>https://arxiv.org/html/2311.12983v1</x:v>
      </x:c>
      <x:c r="R161" s="7" t="str">
        <x:v>https://arxiv.org/abs/2311.12983</x:v>
      </x:c>
      <x:c r="S161" s="3" t="str">
        <x:v>160</x:v>
      </x:c>
      <x:c r="T161" s="3" t="str">
        <x:v>survey bibliography</x:v>
      </x:c>
      <x:c r="U161" s="5" t="d">
        <x:v>2026-10-16T00:00:00.000Z</x:v>
      </x:c>
      <x:c r="V161" s="6" t="str">
        <x:v>未分配</x:v>
      </x:c>
      <x:c r="W161" s="6" t="str"/>
      <x:c r="X161" s="6" t="str"/>
      <x:c r="Y161" s="6" t="str"/>
      <x:c r="Z161" s="3" t="str">
        <x:v>答案型通用助手基准；主类按跨资料工具任务归workspace，不能据此声称验证了工作产物。</x:v>
      </x:c>
    </x:row>
    <x:row r="162" ht="55" customHeight="1">
      <x:c r="A162" s="3" t="str">
        <x:v>WA-0161</x:v>
      </x:c>
      <x:c r="B162" s="3" t="str">
        <x:v>StartupBench: Benchmarking General-Purpose Agents on Market-Validated End-to-End Workflows</x:v>
      </x:c>
      <x:c r="C162" s="3" t="str">
        <x:v>StartupBench</x:v>
      </x:c>
      <x:c r="D162" s="4" t="n">
        <x:v>2026</x:v>
      </x:c>
      <x:c r="E162" s="7" t="str">
        <x:v>https://arxiv.org/abs/2608.17800</x:v>
      </x:c>
      <x:c r="F162" s="3" t="str">
        <x:v>ByteDance Seed; Nanjing University; M-A-P; TokenWave.AI</x:v>
      </x:c>
      <x:c r="G162" s="3" t="str">
        <x:v>Benchmark</x:v>
      </x:c>
      <x:c r="H162" s="3" t="str">
        <x:v>workspace</x:v>
      </x:c>
      <x:c r="I162" s="3" t="str">
        <x:v>Market-validated professional workflows</x:v>
      </x:c>
      <x:c r="J162" s="3" t="str">
        <x:v>reasoning;planning;execution;verification</x:v>
      </x:c>
      <x:c r="K162" s="3" t="str"/>
      <x:c r="L162" s="3" t="str">
        <x:v>6.1</x:v>
      </x:c>
      <x:c r="M162" s="3" t="str">
        <x:v>从已有市场需求的AI产品反推端到端工作任务，以细粒度rubric评价专业交付物。</x:v>
      </x:c>
      <x:c r="N162" s="3" t="str"/>
      <x:c r="O162" s="3" t="str"/>
      <x:c r="P162" s="3" t="str">
        <x:v>verified</x:v>
      </x:c>
      <x:c r="Q162" s="7" t="str">
        <x:v>https://arxiv.org/html/2608.17800v1</x:v>
      </x:c>
      <x:c r="R162" s="7" t="str">
        <x:v>https://arxiv.org/abs/2608.17800</x:v>
      </x:c>
      <x:c r="S162" s="3" t="str">
        <x:v>161</x:v>
      </x:c>
      <x:c r="T162" s="3" t="str">
        <x:v>survey bibliography</x:v>
      </x:c>
      <x:c r="U162" s="5" t="d">
        <x:v>2026-10-16T00:00:00.000Z</x:v>
      </x:c>
      <x:c r="V162" s="6" t="str">
        <x:v>未分配</x:v>
      </x:c>
      <x:c r="W162" s="6" t="str"/>
      <x:c r="X162" s="6" t="str"/>
      <x:c r="Y162" s="6" t="str"/>
      <x:c r="Z162" s="3" t="str">
        <x:v>论文身份与摘要已核验；分类为维护者判断。</x:v>
      </x:c>
    </x:row>
    <x:row r="163" ht="55" customHeight="1">
      <x:c r="A163" s="3" t="str">
        <x:v>WA-0162</x:v>
      </x:c>
      <x:c r="B163" s="3" t="str">
        <x:v>FinanceBench: A New Benchmark for Financial Question Answering</x:v>
      </x:c>
      <x:c r="C163" s="3" t="str">
        <x:v>FinanceBench</x:v>
      </x:c>
      <x:c r="D163" s="4" t="n">
        <x:v>2023</x:v>
      </x:c>
      <x:c r="E163" s="7" t="str">
        <x:v>https://arxiv.org/abs/2311.11944</x:v>
      </x:c>
      <x:c r="F163" s="3" t="str">
        <x:v>Patronus AI; Contextual AI; Stanford University</x:v>
      </x:c>
      <x:c r="G163" s="3" t="str">
        <x:v>Benchmark</x:v>
      </x:c>
      <x:c r="H163" s="3" t="str">
        <x:v>related</x:v>
      </x:c>
      <x:c r="I163" s="3" t="str">
        <x:v>Financial document question answering</x:v>
      </x:c>
      <x:c r="J163" s="3" t="str">
        <x:v>perception;reasoning</x:v>
      </x:c>
      <x:c r="K163" s="3" t="str"/>
      <x:c r="L163" s="3" t="str">
        <x:v>6.1</x:v>
      </x:c>
      <x:c r="M163" s="3" t="str">
        <x:v>围绕上市公司财务资料构建金融问答，适合作为文档推理背景而非状态修改基准。</x:v>
      </x:c>
      <x:c r="N163" s="7" t="str">
        <x:v>https://github.com/patronus-ai/financebench</x:v>
      </x:c>
      <x:c r="O163" s="3" t="str"/>
      <x:c r="P163" s="3" t="str">
        <x:v>verified</x:v>
      </x:c>
      <x:c r="Q163" s="7" t="str">
        <x:v>https://arxiv.org/html/2311.11944v1</x:v>
      </x:c>
      <x:c r="R163" s="7" t="str">
        <x:v>https://arxiv.org/abs/2311.11944</x:v>
      </x:c>
      <x:c r="S163" s="3" t="str">
        <x:v>162</x:v>
      </x:c>
      <x:c r="T163" s="3" t="str">
        <x:v>survey bibliography</x:v>
      </x:c>
      <x:c r="U163" s="5" t="d">
        <x:v>2026-10-16T00:00:00.000Z</x:v>
      </x:c>
      <x:c r="V163" s="6" t="str">
        <x:v>未分配</x:v>
      </x:c>
      <x:c r="W163" s="6" t="str"/>
      <x:c r="X163" s="6" t="str"/>
      <x:c r="Y163" s="6" t="str"/>
      <x:c r="Z163" s="3" t="str">
        <x:v>论文身份与摘要已核验；分类为维护者判断。</x:v>
      </x:c>
    </x:row>
    <x:row r="164" ht="55" customHeight="1">
      <x:c r="A164" s="3" t="str">
        <x:v>WA-0163</x:v>
      </x:c>
      <x:c r="B164" s="3" t="str">
        <x:v>DS-1000: A Natural and Reliable Benchmark for Data Science Code Generation</x:v>
      </x:c>
      <x:c r="C164" s="3" t="str">
        <x:v>DS-1000</x:v>
      </x:c>
      <x:c r="D164" s="4" t="n">
        <x:v>2022</x:v>
      </x:c>
      <x:c r="E164" s="7" t="str">
        <x:v>https://arxiv.org/abs/2211.11501</x:v>
      </x:c>
      <x:c r="F164" s="3" t="str">
        <x:v>The University of Hong Kong; Peking University; Stanford University; UC Berkeley; University of Washington; Meta AI; Carnegie Mellon University</x:v>
      </x:c>
      <x:c r="G164" s="3" t="str">
        <x:v>Benchmark</x:v>
      </x:c>
      <x:c r="H164" s="3" t="str">
        <x:v>swe-science</x:v>
      </x:c>
      <x:c r="I164" s="3" t="str">
        <x:v>Data science code generation</x:v>
      </x:c>
      <x:c r="J164" s="3" t="str">
        <x:v>reasoning;execution;verification</x:v>
      </x:c>
      <x:c r="K164" s="3" t="str"/>
      <x:c r="L164" s="3" t="str">
        <x:v>6.1</x:v>
      </x:c>
      <x:c r="M164" s="3" t="str">
        <x:v>从真实数据科学问题构造代码补全与插入任务，用功能性与约束检查评估代码。</x:v>
      </x:c>
      <x:c r="N164" s="3" t="str"/>
      <x:c r="O164" s="3" t="str"/>
      <x:c r="P164" s="3" t="str">
        <x:v>verified</x:v>
      </x:c>
      <x:c r="Q164" s="7" t="str">
        <x:v>https://arxiv.org/html/2211.11501v1</x:v>
      </x:c>
      <x:c r="R164" s="7" t="str">
        <x:v>https://arxiv.org/abs/2211.11501</x:v>
      </x:c>
      <x:c r="S164" s="3" t="str">
        <x:v>163</x:v>
      </x:c>
      <x:c r="T164" s="3" t="str">
        <x:v>survey bibliography</x:v>
      </x:c>
      <x:c r="U164" s="5" t="d">
        <x:v>2026-10-16T00:00:00.000Z</x:v>
      </x:c>
      <x:c r="V164" s="6" t="str">
        <x:v>未分配</x:v>
      </x:c>
      <x:c r="W164" s="6" t="str"/>
      <x:c r="X164" s="6" t="str"/>
      <x:c r="Y164" s="6" t="str"/>
      <x:c r="Z164" s="3" t="str">
        <x:v>论文身份与摘要已核验；分类为维护者判断。</x:v>
      </x:c>
    </x:row>
    <x:row r="165" ht="55" customHeight="1">
      <x:c r="A165" s="3" t="str">
        <x:v>WA-0164</x:v>
      </x:c>
      <x:c r="B165" s="3" t="str">
        <x:v>PaperBench: Evaluating AI's Ability to Replicate AI Research</x:v>
      </x:c>
      <x:c r="C165" s="3" t="str">
        <x:v>PaperBench</x:v>
      </x:c>
      <x:c r="D165" s="4" t="n">
        <x:v>2025</x:v>
      </x:c>
      <x:c r="E165" s="7" t="str">
        <x:v>https://arxiv.org/abs/2504.01848</x:v>
      </x:c>
      <x:c r="F165" s="3" t="str">
        <x:v>OpenAI</x:v>
      </x:c>
      <x:c r="G165" s="3" t="str">
        <x:v>Benchmark</x:v>
      </x:c>
      <x:c r="H165" s="3" t="str">
        <x:v>swe-science</x:v>
      </x:c>
      <x:c r="I165" s="3" t="str">
        <x:v>Research reproduction</x:v>
      </x:c>
      <x:c r="J165" s="3" t="str">
        <x:v>planning;execution;verification</x:v>
      </x:c>
      <x:c r="K165" s="3" t="str"/>
      <x:c r="L165" s="3" t="str">
        <x:v>6.1;6.3</x:v>
      </x:c>
      <x:c r="M165" s="3" t="str">
        <x:v>要求从论文重建研究代码与实验，以层级rubric及独立judge评估复现完成度。</x:v>
      </x:c>
      <x:c r="N165" s="7" t="str">
        <x:v>https://github.com/openai/preparedness</x:v>
      </x:c>
      <x:c r="O165" s="3" t="str"/>
      <x:c r="P165" s="3" t="str">
        <x:v>verified</x:v>
      </x:c>
      <x:c r="Q165" s="7" t="str">
        <x:v>https://arxiv.org/html/2504.01848v1</x:v>
      </x:c>
      <x:c r="R165" s="7" t="str">
        <x:v>https://arxiv.org/abs/2504.01848</x:v>
      </x:c>
      <x:c r="S165" s="3" t="str">
        <x:v>164</x:v>
      </x:c>
      <x:c r="T165" s="3" t="str">
        <x:v>survey bibliography</x:v>
      </x:c>
      <x:c r="U165" s="5" t="d">
        <x:v>2026-10-16T00:00:00.000Z</x:v>
      </x:c>
      <x:c r="V165" s="6" t="str">
        <x:v>未分配</x:v>
      </x:c>
      <x:c r="W165" s="6" t="str"/>
      <x:c r="X165" s="6" t="str"/>
      <x:c r="Y165" s="6" t="str"/>
      <x:c r="Z165" s="3" t="str">
        <x:v>论文身份与摘要已核验；分类为维护者判断。</x:v>
      </x:c>
    </x:row>
    <x:row r="166" ht="55" customHeight="1">
      <x:c r="A166" s="3" t="str">
        <x:v>WA-0165</x:v>
      </x:c>
      <x:c r="B166" s="3" t="str">
        <x:v>EnterpriseOps-Gym: Environments and Evaluations for Stateful Agentic Planning and Tool Use in Enterprise Settings</x:v>
      </x:c>
      <x:c r="C166" s="3" t="str">
        <x:v>EnterpriseOps-Gym</x:v>
      </x:c>
      <x:c r="D166" s="4" t="n">
        <x:v>2026</x:v>
      </x:c>
      <x:c r="E166" s="7" t="str">
        <x:v>https://arxiv.org/abs/2603.13594</x:v>
      </x:c>
      <x:c r="F166" s="3" t="str">
        <x:v>ServiceNow Research; Mila; Université de Montréal</x:v>
      </x:c>
      <x:c r="G166" s="3" t="str">
        <x:v>Benchmark;Framework</x:v>
      </x:c>
      <x:c r="H166" s="3" t="str">
        <x:v>tool-enterprise</x:v>
      </x:c>
      <x:c r="I166" s="3" t="str">
        <x:v>Stateful enterprise planning</x:v>
      </x:c>
      <x:c r="J166" s="3" t="str">
        <x:v>planning;execution;state-management;verification</x:v>
      </x:c>
      <x:c r="K166" s="3" t="str"/>
      <x:c r="L166" s="3" t="str">
        <x:v>6.1;6.4</x:v>
      </x:c>
      <x:c r="M166" s="3" t="str">
        <x:v>用企业数据库与工具沙箱评估多步骤规划、权限遵循、不可执行任务识别及最终状态。</x:v>
      </x:c>
      <x:c r="N166" s="3" t="str"/>
      <x:c r="O166" s="3" t="str"/>
      <x:c r="P166" s="3" t="str">
        <x:v>verified</x:v>
      </x:c>
      <x:c r="Q166" s="7" t="str">
        <x:v>https://arxiv.org/html/2603.13594v1</x:v>
      </x:c>
      <x:c r="R166" s="7" t="str">
        <x:v>https://arxiv.org/abs/2603.13594</x:v>
      </x:c>
      <x:c r="S166" s="3" t="str">
        <x:v>165</x:v>
      </x:c>
      <x:c r="T166" s="3" t="str">
        <x:v>survey bibliography</x:v>
      </x:c>
      <x:c r="U166" s="5" t="d">
        <x:v>2026-10-16T00:00:00.000Z</x:v>
      </x:c>
      <x:c r="V166" s="6" t="str">
        <x:v>未分配</x:v>
      </x:c>
      <x:c r="W166" s="6" t="str"/>
      <x:c r="X166" s="6" t="str"/>
      <x:c r="Y166" s="6" t="str"/>
      <x:c r="Z166" s="3" t="str">
        <x:v>README原标2025；原始预印本实际为2026年3月。</x:v>
      </x:c>
    </x:row>
    <x:row r="167" ht="55" customHeight="1">
      <x:c r="A167" s="3" t="str">
        <x:v>WA-0166</x:v>
      </x:c>
      <x:c r="B167" s="3" t="str">
        <x:v>ToolLLM: Facilitating Large Language Models to Master 16000+ Real-world APIs</x:v>
      </x:c>
      <x:c r="C167" s="3" t="str">
        <x:v>ToolLLM / ToolBench</x:v>
      </x:c>
      <x:c r="D167" s="4" t="n">
        <x:v>2023</x:v>
      </x:c>
      <x:c r="E167" s="7" t="str">
        <x:v>https://arxiv.org/abs/2307.16789</x:v>
      </x:c>
      <x:c r="F167" s="3" t="str">
        <x:v>Tsinghua University; ModelBest; Renmin University of China; Yale University; WeChat AI, Tencent; Zhihu</x:v>
      </x:c>
      <x:c r="G167" s="3" t="str">
        <x:v>Method;Benchmark</x:v>
      </x:c>
      <x:c r="H167" s="3" t="str">
        <x:v>tool-enterprise</x:v>
      </x:c>
      <x:c r="I167" s="3" t="str">
        <x:v>API selection and tool learning</x:v>
      </x:c>
      <x:c r="J167" s="3" t="str">
        <x:v>planning;execution;learning</x:v>
      </x:c>
      <x:c r="K167" s="3" t="str"/>
      <x:c r="L167" s="3" t="str">
        <x:v>4.4;5.1;6.1</x:v>
      </x:c>
      <x:c r="M167" s="3" t="str">
        <x:v>以大规模真实API构造指令与调用轨迹，并训练工具检索与执行模型。</x:v>
      </x:c>
      <x:c r="N167" s="7" t="str">
        <x:v>https://github.com/OpenBMB/ToolBench</x:v>
      </x:c>
      <x:c r="O167" s="3" t="str"/>
      <x:c r="P167" s="3" t="str">
        <x:v>verified</x:v>
      </x:c>
      <x:c r="Q167" s="7" t="str">
        <x:v>https://arxiv.org/html/2307.16789v1</x:v>
      </x:c>
      <x:c r="R167" s="7" t="str">
        <x:v>https://arxiv.org/abs/2307.16789</x:v>
      </x:c>
      <x:c r="S167" s="3" t="str">
        <x:v>166</x:v>
      </x:c>
      <x:c r="T167" s="3" t="str">
        <x:v>survey bibliography</x:v>
      </x:c>
      <x:c r="U167" s="5" t="d">
        <x:v>2026-10-16T00:00:00.000Z</x:v>
      </x:c>
      <x:c r="V167" s="6" t="str">
        <x:v>未分配</x:v>
      </x:c>
      <x:c r="W167" s="6" t="str"/>
      <x:c r="X167" s="6" t="str"/>
      <x:c r="Y167" s="6" t="str"/>
      <x:c r="Z167" s="3" t="str">
        <x:v>论文身份与摘要已核验；分类为维护者判断。</x:v>
      </x:c>
    </x:row>
    <x:row r="168" ht="55" customHeight="1">
      <x:c r="A168" s="3" t="str">
        <x:v>WA-0167</x:v>
      </x:c>
      <x:c r="B168" s="3" t="str">
        <x:v>Judging LLM-as-a-Judge with MT-Bench and Chatbot Arena</x:v>
      </x:c>
      <x:c r="C168" s="3" t="str">
        <x:v>MT-Bench / Chatbot Arena</x:v>
      </x:c>
      <x:c r="D168" s="4" t="n">
        <x:v>2023</x:v>
      </x:c>
      <x:c r="E168" s="7" t="str">
        <x:v>https://arxiv.org/abs/2306.05685</x:v>
      </x:c>
      <x:c r="F168" s="3" t="str">
        <x:v>UC Berkeley; UC San Diego; Carnegie Mellon University; Stanford University; MBZUAI</x:v>
      </x:c>
      <x:c r="G168" s="3" t="str">
        <x:v>Benchmark;Method</x:v>
      </x:c>
      <x:c r="H168" s="3" t="str">
        <x:v>verification</x:v>
      </x:c>
      <x:c r="I168" s="3" t="str">
        <x:v>LLM judging methodology</x:v>
      </x:c>
      <x:c r="J168" s="3" t="str">
        <x:v>verification</x:v>
      </x:c>
      <x:c r="K168" s="3" t="str"/>
      <x:c r="L168" s="3" t="str">
        <x:v>6.3;7.3</x:v>
      </x:c>
      <x:c r="M168" s="3" t="str">
        <x:v>研究模型裁判与人类偏好的一致性及位置、冗长度等偏差，提供MT-Bench和Arena。</x:v>
      </x:c>
      <x:c r="N168" s="7" t="str">
        <x:v>https://github.com/lm-sys/FastChat/tree/main/llm-judge</x:v>
      </x:c>
      <x:c r="O168" s="3" t="str"/>
      <x:c r="P168" s="3" t="str">
        <x:v>verified</x:v>
      </x:c>
      <x:c r="Q168" s="7" t="str">
        <x:v>https://arxiv.org/html/2306.05685v1</x:v>
      </x:c>
      <x:c r="R168" s="7" t="str">
        <x:v>https://arxiv.org/abs/2306.05685</x:v>
      </x:c>
      <x:c r="S168" s="3" t="str">
        <x:v>167</x:v>
      </x:c>
      <x:c r="T168" s="3" t="str">
        <x:v>survey bibliography</x:v>
      </x:c>
      <x:c r="U168" s="5" t="d">
        <x:v>2026-10-16T00:00:00.000Z</x:v>
      </x:c>
      <x:c r="V168" s="6" t="str">
        <x:v>未分配</x:v>
      </x:c>
      <x:c r="W168" s="6" t="str"/>
      <x:c r="X168" s="6" t="str"/>
      <x:c r="Y168" s="6" t="str"/>
      <x:c r="Z168" s="3" t="str">
        <x:v>论文身份与摘要已核验；分类为维护者判断。</x:v>
      </x:c>
    </x:row>
    <x:row r="169" ht="55" customHeight="1">
      <x:c r="A169" s="3" t="str">
        <x:v>WA-0168</x:v>
      </x:c>
      <x:c r="B169" s="3" t="str">
        <x:v>Agent-as-a-Judge: Evaluate Agents with Agents</x:v>
      </x:c>
      <x:c r="C169" s="3" t="str">
        <x:v>Agent-as-a-Judge</x:v>
      </x:c>
      <x:c r="D169" s="4" t="n">
        <x:v>2024</x:v>
      </x:c>
      <x:c r="E169" s="7" t="str">
        <x:v>https://arxiv.org/abs/2410.10934</x:v>
      </x:c>
      <x:c r="F169" s="3" t="str">
        <x:v>Meta AI; KAUST</x:v>
      </x:c>
      <x:c r="G169" s="3" t="str">
        <x:v>Method;Benchmark</x:v>
      </x:c>
      <x:c r="H169" s="3" t="str">
        <x:v>verification</x:v>
      </x:c>
      <x:c r="I169" s="3" t="str">
        <x:v>Agentic artifact evaluation</x:v>
      </x:c>
      <x:c r="J169" s="3" t="str">
        <x:v>execution;verification</x:v>
      </x:c>
      <x:c r="K169" s="3" t="str"/>
      <x:c r="L169" s="3" t="str">
        <x:v>4.5;6.3</x:v>
      </x:c>
      <x:c r="M169" s="3" t="str">
        <x:v>让裁判智能体检查文件和执行证据，面向生成式开发任务逐项核验要求。</x:v>
      </x:c>
      <x:c r="N169" s="3" t="str"/>
      <x:c r="O169" s="3" t="str"/>
      <x:c r="P169" s="3" t="str">
        <x:v>verified</x:v>
      </x:c>
      <x:c r="Q169" s="7" t="str">
        <x:v>https://arxiv.org/html/2410.10934v1</x:v>
      </x:c>
      <x:c r="R169" s="7" t="str">
        <x:v>https://arxiv.org/abs/2410.10934</x:v>
      </x:c>
      <x:c r="S169" s="3" t="str">
        <x:v>168</x:v>
      </x:c>
      <x:c r="T169" s="3" t="str">
        <x:v>survey bibliography</x:v>
      </x:c>
      <x:c r="U169" s="5" t="d">
        <x:v>2026-10-16T00:00:00.000Z</x:v>
      </x:c>
      <x:c r="V169" s="6" t="str">
        <x:v>未分配</x:v>
      </x:c>
      <x:c r="W169" s="6" t="str"/>
      <x:c r="X169" s="6" t="str"/>
      <x:c r="Y169" s="6" t="str"/>
      <x:c r="Z169" s="3" t="str">
        <x:v>论文身份与摘要已核验；分类为维护者判断。</x:v>
      </x:c>
    </x:row>
    <x:row r="170" ht="55" customHeight="1">
      <x:c r="A170" s="3" t="str">
        <x:v>WA-0169</x:v>
      </x:c>
      <x:c r="B170" s="3" t="str">
        <x:v>The BrowserGym Ecosystem for Web Agent Research</x:v>
      </x:c>
      <x:c r="C170" s="3" t="str">
        <x:v>BrowserGym</x:v>
      </x:c>
      <x:c r="D170" s="4" t="n">
        <x:v>2024</x:v>
      </x:c>
      <x:c r="E170" s="7" t="str">
        <x:v>https://arxiv.org/abs/2412.05467</x:v>
      </x:c>
      <x:c r="F170" s="3" t="str">
        <x:v>ServiceNow Research; Mila; Polytechnique Montréal; Carnegie Mellon University; McGill University; Tel Aviv University; Université de Montréal; iMean AI</x:v>
      </x:c>
      <x:c r="G170" s="3" t="str">
        <x:v>Framework</x:v>
      </x:c>
      <x:c r="H170" s="3" t="str">
        <x:v>harness</x:v>
      </x:c>
      <x:c r="I170" s="3" t="str">
        <x:v>Unified web environments</x:v>
      </x:c>
      <x:c r="J170" s="3" t="str">
        <x:v>perception;execution;state-management</x:v>
      </x:c>
      <x:c r="K170" s="3" t="str"/>
      <x:c r="L170" s="3" t="str">
        <x:v>6.4</x:v>
      </x:c>
      <x:c r="M170" s="3" t="str">
        <x:v>统一多种网页任务的观察、动作和执行接口，并提供复现实验工具链。</x:v>
      </x:c>
      <x:c r="N170" s="7" t="str">
        <x:v>https://github.com/ServiceNow/BrowserGym</x:v>
      </x:c>
      <x:c r="O170" s="3" t="str"/>
      <x:c r="P170" s="3" t="str">
        <x:v>verified</x:v>
      </x:c>
      <x:c r="Q170" s="7" t="str">
        <x:v>https://arxiv.org/html/2412.05467v1</x:v>
      </x:c>
      <x:c r="R170" s="7" t="str">
        <x:v>https://arxiv.org/abs/2412.05467</x:v>
      </x:c>
      <x:c r="S170" s="3" t="str">
        <x:v>169</x:v>
      </x:c>
      <x:c r="T170" s="3" t="str">
        <x:v>survey bibliography</x:v>
      </x:c>
      <x:c r="U170" s="5" t="d">
        <x:v>2026-10-16T00:00:00.000Z</x:v>
      </x:c>
      <x:c r="V170" s="6" t="str">
        <x:v>未分配</x:v>
      </x:c>
      <x:c r="W170" s="6" t="str"/>
      <x:c r="X170" s="6" t="str"/>
      <x:c r="Y170" s="6" t="str"/>
      <x:c r="Z170" s="3" t="str">
        <x:v>论文身份与摘要已核验；分类为维护者判断。</x:v>
      </x:c>
    </x:row>
    <x:row r="171" ht="55" customHeight="1">
      <x:c r="A171" s="3" t="str">
        <x:v>WA-0174</x:v>
      </x:c>
      <x:c r="B171" s="3" t="str">
        <x:v>Remote Labor Index: Measuring AI Automation of Remote Work</x:v>
      </x:c>
      <x:c r="C171" s="3" t="str">
        <x:v>Remote Labor Index</x:v>
      </x:c>
      <x:c r="D171" s="4" t="n">
        <x:v>2025</x:v>
      </x:c>
      <x:c r="E171" s="7" t="str">
        <x:v>https://arxiv.org/abs/2510.26787</x:v>
      </x:c>
      <x:c r="F171" s="3" t="str">
        <x:v>Center for AI Safety; Scale AI</x:v>
      </x:c>
      <x:c r="G171" s="3" t="str">
        <x:v>Benchmark</x:v>
      </x:c>
      <x:c r="H171" s="3" t="str">
        <x:v>workspace</x:v>
      </x:c>
      <x:c r="I171" s="3" t="str">
        <x:v>Paid remote-work deliverables</x:v>
      </x:c>
      <x:c r="J171" s="3" t="str">
        <x:v>reasoning;planning;execution;verification</x:v>
      </x:c>
      <x:c r="K171" s="3" t="str"/>
      <x:c r="L171" s="3" t="str">
        <x:v>6.1;7.3</x:v>
      </x:c>
      <x:c r="M171" s="3" t="str">
        <x:v>用真实远程付费工作检验自动化能力，强调可交付质量与任务经济价值。</x:v>
      </x:c>
      <x:c r="N171" s="3" t="str"/>
      <x:c r="O171" s="3" t="str"/>
      <x:c r="P171" s="3" t="str">
        <x:v>verified</x:v>
      </x:c>
      <x:c r="Q171" s="7" t="str">
        <x:v>https://arxiv.org/html/2510.26787v1</x:v>
      </x:c>
      <x:c r="R171" s="7" t="str">
        <x:v>https://arxiv.org/abs/2510.26787</x:v>
      </x:c>
      <x:c r="S171" s="3" t="str">
        <x:v>174</x:v>
      </x:c>
      <x:c r="T171" s="3" t="str">
        <x:v>survey bibliography</x:v>
      </x:c>
      <x:c r="U171" s="5" t="d">
        <x:v>2026-10-16T00:00:00.000Z</x:v>
      </x:c>
      <x:c r="V171" s="6" t="str">
        <x:v>未分配</x:v>
      </x:c>
      <x:c r="W171" s="6" t="str"/>
      <x:c r="X171" s="6" t="str"/>
      <x:c r="Y171" s="6" t="str"/>
      <x:c r="Z171" s="3" t="str">
        <x:v>论文身份与摘要已核验；分类为维护者判断。</x:v>
      </x:c>
    </x:row>
    <x:row r="172" ht="55" customHeight="1">
      <x:c r="A172" s="3" t="str">
        <x:v>WA-0175</x:v>
      </x:c>
      <x:c r="B172" s="3" t="str">
        <x:v>Future of Work with AI Agents: Auditing Automation and Augmentation Potential across the U.S. Workforce</x:v>
      </x:c>
      <x:c r="C172" s="3" t="str">
        <x:v>Future of Work with AI Agents</x:v>
      </x:c>
      <x:c r="D172" s="4" t="n">
        <x:v>2025</x:v>
      </x:c>
      <x:c r="E172" s="7" t="str">
        <x:v>https://arxiv.org/abs/2506.06576</x:v>
      </x:c>
      <x:c r="F172" s="3" t="str">
        <x:v>Stanford University</x:v>
      </x:c>
      <x:c r="G172" s="3" t="str">
        <x:v>Background</x:v>
      </x:c>
      <x:c r="H172" s="3" t="str">
        <x:v>related</x:v>
      </x:c>
      <x:c r="I172" s="3" t="str">
        <x:v>Workforce automation and augmentation</x:v>
      </x:c>
      <x:c r="J172" s="3" t="str">
        <x:v>coordination</x:v>
      </x:c>
      <x:c r="K172" s="3" t="str"/>
      <x:c r="L172" s="3" t="str">
        <x:v>7.3;7.4</x:v>
      </x:c>
      <x:c r="M172" s="3" t="str">
        <x:v>结合劳动者需求与专家判断审计职业活动的自动化和增强潜力。</x:v>
      </x:c>
      <x:c r="N172" s="3" t="str"/>
      <x:c r="O172" s="3" t="str"/>
      <x:c r="P172" s="3" t="str">
        <x:v>verified</x:v>
      </x:c>
      <x:c r="Q172" s="7" t="str">
        <x:v>https://arxiv.org/html/2506.06576v1</x:v>
      </x:c>
      <x:c r="R172" s="7" t="str">
        <x:v>https://arxiv.org/abs/2506.06576</x:v>
      </x:c>
      <x:c r="S172" s="3" t="str">
        <x:v>175</x:v>
      </x:c>
      <x:c r="T172" s="3" t="str">
        <x:v>survey bibliography</x:v>
      </x:c>
      <x:c r="U172" s="5" t="d">
        <x:v>2026-10-16T00:00:00.000Z</x:v>
      </x:c>
      <x:c r="V172" s="6" t="str">
        <x:v>未分配</x:v>
      </x:c>
      <x:c r="W172" s="6" t="str"/>
      <x:c r="X172" s="6" t="str"/>
      <x:c r="Y172" s="6" t="str"/>
      <x:c r="Z172" s="3" t="str">
        <x:v>论文身份与摘要已核验；分类为维护者判断。</x:v>
      </x:c>
    </x:row>
    <x:row r="173" ht="55" customHeight="1">
      <x:c r="A173" s="3" t="str">
        <x:v>WA-0176</x:v>
      </x:c>
      <x:c r="B173" s="3" t="str">
        <x:v>Training Software Engineering Agents and Verifiers with SWE-Gym</x:v>
      </x:c>
      <x:c r="C173" s="3" t="str">
        <x:v>SWE-Gym</x:v>
      </x:c>
      <x:c r="D173" s="4" t="n">
        <x:v>2024</x:v>
      </x:c>
      <x:c r="E173" s="7" t="str">
        <x:v>https://arxiv.org/abs/2412.21139</x:v>
      </x:c>
      <x:c r="F173" s="3" t="str">
        <x:v>UC Berkeley; University of Illinois Urbana-Champaign; Carnegie Mellon University; Apple</x:v>
      </x:c>
      <x:c r="G173" s="3" t="str">
        <x:v>Framework;Method</x:v>
      </x:c>
      <x:c r="H173" s="3" t="str">
        <x:v>swe-science</x:v>
      </x:c>
      <x:c r="I173" s="3" t="str">
        <x:v>Executable SWE training</x:v>
      </x:c>
      <x:c r="J173" s="3" t="str">
        <x:v>execution;verification;learning</x:v>
      </x:c>
      <x:c r="K173" s="3" t="str">
        <x:v>environment-synthesis</x:v>
      </x:c>
      <x:c r="L173" s="3" t="str">
        <x:v>5.1;6.4</x:v>
      </x:c>
      <x:c r="M173" s="3" t="str">
        <x:v>把软件仓库问题变成可执行训练环境，并训练工程代理与验证器。</x:v>
      </x:c>
      <x:c r="N173" s="7" t="str">
        <x:v>https://github.com/SWE-Gym/SWE-Gym</x:v>
      </x:c>
      <x:c r="O173" s="3" t="str"/>
      <x:c r="P173" s="3" t="str">
        <x:v>verified</x:v>
      </x:c>
      <x:c r="Q173" s="7" t="str">
        <x:v>https://arxiv.org/html/2412.21139v1</x:v>
      </x:c>
      <x:c r="R173" s="7" t="str">
        <x:v>https://arxiv.org/abs/2412.21139</x:v>
      </x:c>
      <x:c r="S173" s="3" t="str">
        <x:v>176</x:v>
      </x:c>
      <x:c r="T173" s="3" t="str">
        <x:v>survey bibliography</x:v>
      </x:c>
      <x:c r="U173" s="5" t="d">
        <x:v>2026-10-16T00:00:00.000Z</x:v>
      </x:c>
      <x:c r="V173" s="6" t="str">
        <x:v>未分配</x:v>
      </x:c>
      <x:c r="W173" s="6" t="str"/>
      <x:c r="X173" s="6" t="str"/>
      <x:c r="Y173" s="6" t="str"/>
      <x:c r="Z173" s="3" t="str">
        <x:v>论文身份与摘要已核验；分类为维护者判断。</x:v>
      </x:c>
    </x:row>
    <x:row r="174" ht="55" customHeight="1">
      <x:c r="A174" s="3" t="str">
        <x:v>WA-0177</x:v>
      </x:c>
      <x:c r="B174" s="3" t="str">
        <x:v>R2E-Gym: Procedural Environments and Hybrid Verifiers for Scaling Open-Weights SWE Agents</x:v>
      </x:c>
      <x:c r="C174" s="3" t="str">
        <x:v>R2E-Gym</x:v>
      </x:c>
      <x:c r="D174" s="4" t="n">
        <x:v>2025</x:v>
      </x:c>
      <x:c r="E174" s="7" t="str">
        <x:v>https://arxiv.org/abs/2504.07164</x:v>
      </x:c>
      <x:c r="F174" s="3" t="str">
        <x:v>UC Berkeley; Australian National University</x:v>
      </x:c>
      <x:c r="G174" s="3" t="str">
        <x:v>Framework;Method</x:v>
      </x:c>
      <x:c r="H174" s="3" t="str">
        <x:v>swe-science</x:v>
      </x:c>
      <x:c r="I174" s="3" t="str">
        <x:v>Procedural environments and verifiers</x:v>
      </x:c>
      <x:c r="J174" s="3" t="str">
        <x:v>execution;verification;learning</x:v>
      </x:c>
      <x:c r="K174" s="3" t="str">
        <x:v>environment-synthesis;reward-verification</x:v>
      </x:c>
      <x:c r="L174" s="3" t="str">
        <x:v>5.1;6.4</x:v>
      </x:c>
      <x:c r="M174" s="3" t="str">
        <x:v>程序化构建可运行的软件工程环境，以混合验证器扩大开放模型代理训练。</x:v>
      </x:c>
      <x:c r="N174" s="3" t="str"/>
      <x:c r="O174" s="3" t="str"/>
      <x:c r="P174" s="3" t="str">
        <x:v>verified</x:v>
      </x:c>
      <x:c r="Q174" s="7" t="str">
        <x:v>https://arxiv.org/html/2504.07164v1</x:v>
      </x:c>
      <x:c r="R174" s="7" t="str">
        <x:v>https://arxiv.org/abs/2504.07164</x:v>
      </x:c>
      <x:c r="S174" s="3" t="str">
        <x:v>177</x:v>
      </x:c>
      <x:c r="T174" s="3" t="str">
        <x:v>survey bibliography</x:v>
      </x:c>
      <x:c r="U174" s="5" t="d">
        <x:v>2026-10-16T00:00:00.000Z</x:v>
      </x:c>
      <x:c r="V174" s="6" t="str">
        <x:v>未分配</x:v>
      </x:c>
      <x:c r="W174" s="6" t="str"/>
      <x:c r="X174" s="6" t="str"/>
      <x:c r="Y174" s="6" t="str"/>
      <x:c r="Z174" s="3" t="str">
        <x:v>论文身份与摘要已核验；分类为维护者判断。</x:v>
      </x:c>
    </x:row>
    <x:row r="175" ht="55" customHeight="1">
      <x:c r="A175" s="3" t="str">
        <x:v>WA-0178</x:v>
      </x:c>
      <x:c r="B175" s="3" t="str">
        <x:v>Collaborative Gym: A Framework for Enabling and Evaluating Human-Agent Collaboration</x:v>
      </x:c>
      <x:c r="C175" s="3" t="str">
        <x:v>Collaborative Gym</x:v>
      </x:c>
      <x:c r="D175" s="4" t="n">
        <x:v>2024</x:v>
      </x:c>
      <x:c r="E175" s="7" t="str">
        <x:v>https://arxiv.org/abs/2412.15701</x:v>
      </x:c>
      <x:c r="F175" s="3" t="str">
        <x:v>Stanford University; Carnegie Mellon University</x:v>
      </x:c>
      <x:c r="G175" s="3" t="str">
        <x:v>Framework;Benchmark</x:v>
      </x:c>
      <x:c r="H175" s="3" t="str">
        <x:v>workspace</x:v>
      </x:c>
      <x:c r="I175" s="3" t="str">
        <x:v>Human-agent collaboration</x:v>
      </x:c>
      <x:c r="J175" s="3" t="str">
        <x:v>planning;coordination;execution</x:v>
      </x:c>
      <x:c r="K175" s="3" t="str"/>
      <x:c r="L175" s="3" t="str">
        <x:v>4.3;6.4;7.4</x:v>
      </x:c>
      <x:c r="M175" s="3" t="str">
        <x:v>为人类与代理共同处理真实任务提供协作环境、交互接口与评估框架。</x:v>
      </x:c>
      <x:c r="N175" s="7" t="str">
        <x:v>https://github.com/SALT-NLP/collaborative-gym</x:v>
      </x:c>
      <x:c r="O175" s="3" t="str"/>
      <x:c r="P175" s="3" t="str">
        <x:v>verified</x:v>
      </x:c>
      <x:c r="Q175" s="7" t="str">
        <x:v>https://arxiv.org/html/2412.15701v1</x:v>
      </x:c>
      <x:c r="R175" s="7" t="str">
        <x:v>https://arxiv.org/abs/2412.15701</x:v>
      </x:c>
      <x:c r="S175" s="3" t="str">
        <x:v>178</x:v>
      </x:c>
      <x:c r="T175" s="3" t="str">
        <x:v>survey bibliography</x:v>
      </x:c>
      <x:c r="U175" s="5" t="d">
        <x:v>2026-10-16T00:00:00.000Z</x:v>
      </x:c>
      <x:c r="V175" s="6" t="str">
        <x:v>未分配</x:v>
      </x:c>
      <x:c r="W175" s="6" t="str"/>
      <x:c r="X175" s="6" t="str"/>
      <x:c r="Y175" s="6" t="str"/>
      <x:c r="Z175" s="3" t="str">
        <x:v>论文身份与摘要已核验；分类为维护者判断。</x:v>
      </x:c>
    </x:row>
    <x:row r="176" ht="55" customHeight="1">
      <x:c r="A176" s="3" t="str">
        <x:v>WA-0179</x:v>
      </x:c>
      <x:c r="B176" s="3" t="str">
        <x:v>Mind the Sim2Real Gap in User Simulation for Agentic Tasks</x:v>
      </x:c>
      <x:c r="C176" s="3" t="str">
        <x:v>Sim2Real User Simulation</x:v>
      </x:c>
      <x:c r="D176" s="4" t="n">
        <x:v>2026</x:v>
      </x:c>
      <x:c r="E176" s="7" t="str">
        <x:v>https://arxiv.org/abs/2603.11245</x:v>
      </x:c>
      <x:c r="F176" s="3" t="str">
        <x:v>Carnegie Mellon University</x:v>
      </x:c>
      <x:c r="G176" s="3" t="str">
        <x:v>Background</x:v>
      </x:c>
      <x:c r="H176" s="3" t="str">
        <x:v>verification</x:v>
      </x:c>
      <x:c r="I176" s="3" t="str">
        <x:v>User simulator validity</x:v>
      </x:c>
      <x:c r="J176" s="3" t="str">
        <x:v>coordination;verification</x:v>
      </x:c>
      <x:c r="K176" s="3" t="str"/>
      <x:c r="L176" s="3" t="str">
        <x:v>6.3;7.1</x:v>
      </x:c>
      <x:c r="M176" s="3" t="str">
        <x:v>比较模拟用户与真实用户的交互差异，检验代理评测中用户仿真的外部有效性。</x:v>
      </x:c>
      <x:c r="N176" s="3" t="str"/>
      <x:c r="O176" s="3" t="str"/>
      <x:c r="P176" s="3" t="str">
        <x:v>verified</x:v>
      </x:c>
      <x:c r="Q176" s="7" t="str">
        <x:v>https://arxiv.org/html/2603.11245v1</x:v>
      </x:c>
      <x:c r="R176" s="7" t="str">
        <x:v>https://arxiv.org/abs/2603.11245</x:v>
      </x:c>
      <x:c r="S176" s="3" t="str">
        <x:v>179</x:v>
      </x:c>
      <x:c r="T176" s="3" t="str">
        <x:v>survey bibliography</x:v>
      </x:c>
      <x:c r="U176" s="5" t="d">
        <x:v>2026-10-16T00:00:00.000Z</x:v>
      </x:c>
      <x:c r="V176" s="6" t="str">
        <x:v>未分配</x:v>
      </x:c>
      <x:c r="W176" s="6" t="str"/>
      <x:c r="X176" s="6" t="str"/>
      <x:c r="Y176" s="6" t="str"/>
      <x:c r="Z176" s="3" t="str">
        <x:v>论文身份与摘要已核验；分类为维护者判断。</x:v>
      </x:c>
    </x:row>
    <x:row r="177" ht="55" customHeight="1">
      <x:c r="A177" s="3" t="str">
        <x:v>WA-0180</x:v>
      </x:c>
      <x:c r="B177" s="3" t="str">
        <x:v>DeepSeek Elastic Compute (DSec): A Sandbox Infrastructure for Effective Agentic Training at Scale</x:v>
      </x:c>
      <x:c r="C177" s="3" t="str">
        <x:v>DSec</x:v>
      </x:c>
      <x:c r="D177" s="4" t="n">
        <x:v>2026</x:v>
      </x:c>
      <x:c r="E177" s="7" t="str">
        <x:v>https://arxiv.org/abs/2609.22978</x:v>
      </x:c>
      <x:c r="F177" s="3" t="str">
        <x:v>DeepSeek-AI; Tsinghua University</x:v>
      </x:c>
      <x:c r="G177" s="3" t="str">
        <x:v>Framework</x:v>
      </x:c>
      <x:c r="H177" s="3" t="str">
        <x:v>harness</x:v>
      </x:c>
      <x:c r="I177" s="3" t="str">
        <x:v>Scalable sandbox infrastructure</x:v>
      </x:c>
      <x:c r="J177" s="3" t="str">
        <x:v>execution;state-management</x:v>
      </x:c>
      <x:c r="K177" s="3" t="str"/>
      <x:c r="L177" s="3" t="str">
        <x:v>6.4;7.1</x:v>
      </x:c>
      <x:c r="M177" s="3" t="str">
        <x:v>用统一SDK管理多种隔离后端与沙箱生命周期，为大规模有状态代理训练提供弹性执行环境。</x:v>
      </x:c>
      <x:c r="N177" s="3" t="str"/>
      <x:c r="O177" s="3" t="str"/>
      <x:c r="P177" s="3" t="str">
        <x:v>verified</x:v>
      </x:c>
      <x:c r="Q177" s="7" t="str">
        <x:v>https://arxiv.org/html/2609.22978v1</x:v>
      </x:c>
      <x:c r="R177" s="7" t="str">
        <x:v>https://arxiv.org/abs/2609.22978</x:v>
      </x:c>
      <x:c r="S177" s="3" t="str">
        <x:v>180</x:v>
      </x:c>
      <x:c r="T177" s="3" t="str">
        <x:v>survey bibliography</x:v>
      </x:c>
      <x:c r="U177" s="5" t="d">
        <x:v>2026-10-16T00:00:00.000Z</x:v>
      </x:c>
      <x:c r="V177" s="6" t="str">
        <x:v>未分配</x:v>
      </x:c>
      <x:c r="W177" s="6" t="str"/>
      <x:c r="X177" s="6" t="str"/>
      <x:c r="Y177" s="6" t="str"/>
      <x:c r="Z177" s="3" t="str">
        <x:v>论文身份与摘要已核验；分类为维护者判断。</x:v>
      </x:c>
    </x:row>
    <x:row r="178" ht="55" customHeight="1">
      <x:c r="A178" s="3" t="str">
        <x:v>WA-0181</x:v>
      </x:c>
      <x:c r="B178" s="3" t="str">
        <x:v>Zep: A Temporal Knowledge Graph Architecture for Agent Memory</x:v>
      </x:c>
      <x:c r="C178" s="3" t="str">
        <x:v>Zep</x:v>
      </x:c>
      <x:c r="D178" s="4" t="n">
        <x:v>2025</x:v>
      </x:c>
      <x:c r="E178" s="7" t="str">
        <x:v>https://arxiv.org/abs/2501.13956</x:v>
      </x:c>
      <x:c r="F178" s="3" t="str">
        <x:v>Zep AI</x:v>
      </x:c>
      <x:c r="G178" s="3" t="str">
        <x:v>Method;Framework</x:v>
      </x:c>
      <x:c r="H178" s="3" t="str">
        <x:v>persistent</x:v>
      </x:c>
      <x:c r="I178" s="3" t="str">
        <x:v>Temporal graph memory</x:v>
      </x:c>
      <x:c r="J178" s="3" t="str">
        <x:v>memory;state-management</x:v>
      </x:c>
      <x:c r="K178" s="3" t="str"/>
      <x:c r="L178" s="3" t="str">
        <x:v>4.4;7.2</x:v>
      </x:c>
      <x:c r="M178" s="3" t="str">
        <x:v>用时间知识图谱组织跨会话事实与关系，支持随时间演化的代理记忆检索。</x:v>
      </x:c>
      <x:c r="N178" s="7" t="str">
        <x:v>https://github.com/getzep/graphiti</x:v>
      </x:c>
      <x:c r="O178" s="3" t="str"/>
      <x:c r="P178" s="3" t="str">
        <x:v>verified</x:v>
      </x:c>
      <x:c r="Q178" s="7" t="str">
        <x:v>https://arxiv.org/html/2501.13956v1</x:v>
      </x:c>
      <x:c r="R178" s="7" t="str">
        <x:v>https://arxiv.org/abs/2501.13956</x:v>
      </x:c>
      <x:c r="S178" s="3" t="str">
        <x:v>181</x:v>
      </x:c>
      <x:c r="T178" s="3" t="str">
        <x:v>survey bibliography</x:v>
      </x:c>
      <x:c r="U178" s="5" t="d">
        <x:v>2026-10-16T00:00:00.000Z</x:v>
      </x:c>
      <x:c r="V178" s="6" t="str">
        <x:v>未分配</x:v>
      </x:c>
      <x:c r="W178" s="6" t="str"/>
      <x:c r="X178" s="6" t="str"/>
      <x:c r="Y178" s="6" t="str"/>
      <x:c r="Z178" s="3" t="str">
        <x:v>论文身份与摘要已核验；分类为维护者判断。</x:v>
      </x:c>
    </x:row>
    <x:row r="179" ht="55" customHeight="1">
      <x:c r="A179" s="3" t="str">
        <x:v>WA-0182</x:v>
      </x:c>
      <x:c r="B179" s="3" t="str">
        <x:v>ChronoMem: Version Control and Semantic Rollback for Large Language Model Agent Memory</x:v>
      </x:c>
      <x:c r="C179" s="3" t="str">
        <x:v>ChronoMem</x:v>
      </x:c>
      <x:c r="D179" s="4" t="n">
        <x:v>2026</x:v>
      </x:c>
      <x:c r="E179" s="7" t="str">
        <x:v>https://arxiv.org/abs/2607.27773</x:v>
      </x:c>
      <x:c r="F179" s="3" t="str">
        <x:v>Purdue University; Rutgers University</x:v>
      </x:c>
      <x:c r="G179" s="3" t="str">
        <x:v>Method</x:v>
      </x:c>
      <x:c r="H179" s="3" t="str">
        <x:v>persistent</x:v>
      </x:c>
      <x:c r="I179" s="3" t="str">
        <x:v>Versioned memory and rollback</x:v>
      </x:c>
      <x:c r="J179" s="3" t="str">
        <x:v>memory;state-management;recovery</x:v>
      </x:c>
      <x:c r="K179" s="3" t="str"/>
      <x:c r="L179" s="3" t="str">
        <x:v>7.2</x:v>
      </x:c>
      <x:c r="M179" s="3" t="str">
        <x:v>为代理记忆增加版本控制与语义回滚，支持纠错及旧状态恢复。</x:v>
      </x:c>
      <x:c r="N179" s="3" t="str"/>
      <x:c r="O179" s="3" t="str"/>
      <x:c r="P179" s="3" t="str">
        <x:v>verified</x:v>
      </x:c>
      <x:c r="Q179" s="7" t="str">
        <x:v>https://arxiv.org/html/2607.27773v1</x:v>
      </x:c>
      <x:c r="R179" s="7" t="str">
        <x:v>https://arxiv.org/abs/2607.27773</x:v>
      </x:c>
      <x:c r="S179" s="3" t="str">
        <x:v>182</x:v>
      </x:c>
      <x:c r="T179" s="3" t="str">
        <x:v>survey bibliography</x:v>
      </x:c>
      <x:c r="U179" s="5" t="d">
        <x:v>2026-10-16T00:00:00.000Z</x:v>
      </x:c>
      <x:c r="V179" s="6" t="str">
        <x:v>未分配</x:v>
      </x:c>
      <x:c r="W179" s="6" t="str"/>
      <x:c r="X179" s="6" t="str"/>
      <x:c r="Y179" s="6" t="str"/>
      <x:c r="Z179" s="3" t="str">
        <x:v>论文身份与摘要已核验；分类为维护者判断。</x:v>
      </x:c>
    </x:row>
    <x:row r="180" ht="55" customHeight="1">
      <x:c r="A180" s="3" t="str">
        <x:v>WA-0183</x:v>
      </x:c>
      <x:c r="B180" s="3" t="str">
        <x:v>StreamMemBench: Streaming Evaluation of Agent Memory for Future-Oriented Assistance</x:v>
      </x:c>
      <x:c r="C180" s="3" t="str">
        <x:v>StreamMemBench</x:v>
      </x:c>
      <x:c r="D180" s="4" t="n">
        <x:v>2026</x:v>
      </x:c>
      <x:c r="E180" s="7" t="str">
        <x:v>https://arxiv.org/abs/2606.14571</x:v>
      </x:c>
      <x:c r="F180" s="3" t="str">
        <x:v>Fudan University; Amazon</x:v>
      </x:c>
      <x:c r="G180" s="3" t="str">
        <x:v>Benchmark</x:v>
      </x:c>
      <x:c r="H180" s="3" t="str">
        <x:v>persistent</x:v>
      </x:c>
      <x:c r="I180" s="3" t="str">
        <x:v>Streaming future-oriented memory</x:v>
      </x:c>
      <x:c r="J180" s="3" t="str">
        <x:v>memory;state-management;reasoning</x:v>
      </x:c>
      <x:c r="K180" s="3" t="str"/>
      <x:c r="L180" s="3" t="str">
        <x:v>6.1;7.2</x:v>
      </x:c>
      <x:c r="M180" s="3" t="str">
        <x:v>以连续信息流评估记忆能否支撑未来任务，而非只回答静态历史问题。</x:v>
      </x:c>
      <x:c r="N180" s="7" t="str">
        <x:v>https://github.com/landian60/StreamMemBench</x:v>
      </x:c>
      <x:c r="O180" s="3" t="str"/>
      <x:c r="P180" s="3" t="str">
        <x:v>verified</x:v>
      </x:c>
      <x:c r="Q180" s="7" t="str">
        <x:v>https://arxiv.org/html/2606.14571v1</x:v>
      </x:c>
      <x:c r="R180" s="7" t="str">
        <x:v>https://arxiv.org/abs/2606.14571</x:v>
      </x:c>
      <x:c r="S180" s="3" t="str">
        <x:v>183</x:v>
      </x:c>
      <x:c r="T180" s="3" t="str">
        <x:v>survey bibliography</x:v>
      </x:c>
      <x:c r="U180" s="5" t="d">
        <x:v>2026-10-16T00:00:00.000Z</x:v>
      </x:c>
      <x:c r="V180" s="6" t="str">
        <x:v>未分配</x:v>
      </x:c>
      <x:c r="W180" s="6" t="str"/>
      <x:c r="X180" s="6" t="str"/>
      <x:c r="Y180" s="6" t="str"/>
      <x:c r="Z180" s="3" t="str">
        <x:v>论文身份与摘要已核验；分类为维护者判断。</x:v>
      </x:c>
    </x:row>
    <x:row r="181" ht="55" customHeight="1">
      <x:c r="A181" s="3" t="str">
        <x:v>WA-0184</x:v>
      </x:c>
      <x:c r="B181" s="3" t="str">
        <x:v>Verified Tool Calls Improve LLM Agent Reliability Under Non-Atomic Failures</x:v>
      </x:c>
      <x:c r="C181" s="3" t="str">
        <x:v>Verified Tool Calls</x:v>
      </x:c>
      <x:c r="D181" s="4" t="n">
        <x:v>2026</x:v>
      </x:c>
      <x:c r="E181" s="7" t="str">
        <x:v>https://arxiv.org/abs/2608.02645</x:v>
      </x:c>
      <x:c r="F181" s="3" t="str">
        <x:v>Old Dominion University; Christopher Newport University</x:v>
      </x:c>
      <x:c r="G181" s="3" t="str">
        <x:v>Method</x:v>
      </x:c>
      <x:c r="H181" s="3" t="str">
        <x:v>verification</x:v>
      </x:c>
      <x:c r="I181" s="3" t="str">
        <x:v>Non-atomic tool failures</x:v>
      </x:c>
      <x:c r="J181" s="3" t="str">
        <x:v>execution;verification;recovery</x:v>
      </x:c>
      <x:c r="K181" s="3" t="str"/>
      <x:c r="L181" s="3" t="str">
        <x:v>4.5;7.2</x:v>
      </x:c>
      <x:c r="M181" s="3" t="str">
        <x:v>对工具调用结果和副作用做验证，降低非原子失败后误判成功或重复执行的风险。</x:v>
      </x:c>
      <x:c r="N181" s="3" t="str"/>
      <x:c r="O181" s="3" t="str"/>
      <x:c r="P181" s="3" t="str">
        <x:v>verified</x:v>
      </x:c>
      <x:c r="Q181" s="7" t="str">
        <x:v>https://arxiv.org/html/2608.02645v1</x:v>
      </x:c>
      <x:c r="R181" s="7" t="str">
        <x:v>https://arxiv.org/abs/2608.02645</x:v>
      </x:c>
      <x:c r="S181" s="3" t="str">
        <x:v>184</x:v>
      </x:c>
      <x:c r="T181" s="3" t="str">
        <x:v>survey bibliography</x:v>
      </x:c>
      <x:c r="U181" s="5" t="d">
        <x:v>2026-10-16T00:00:00.000Z</x:v>
      </x:c>
      <x:c r="V181" s="6" t="str">
        <x:v>未分配</x:v>
      </x:c>
      <x:c r="W181" s="6" t="str"/>
      <x:c r="X181" s="6" t="str"/>
      <x:c r="Y181" s="6" t="str"/>
      <x:c r="Z181" s="3" t="str">
        <x:v>论文身份与摘要已核验；分类为维护者判断。</x:v>
      </x:c>
    </x:row>
    <x:row r="182" ht="70" customHeight="1">
      <x:c r="A182" s="3" t="str">
        <x:v>WA-0185</x:v>
      </x:c>
      <x:c r="B182" s="3" t="str">
        <x:v>Life Beyond Distributed Transactions</x:v>
      </x:c>
      <x:c r="C182" s="3" t="str">
        <x:v>Life Beyond Distributed Transactions</x:v>
      </x:c>
      <x:c r="D182" s="4" t="n">
        <x:v>2007</x:v>
      </x:c>
      <x:c r="E182" s="7" t="str">
        <x:v>https://doi.org/10.1145/3012426.3025012</x:v>
      </x:c>
      <x:c r="F182" s="3" t="str">
        <x:v>Salesforce</x:v>
      </x:c>
      <x:c r="G182" s="3" t="str">
        <x:v>Background</x:v>
      </x:c>
      <x:c r="H182" s="3" t="str">
        <x:v>related</x:v>
      </x:c>
      <x:c r="I182" s="3" t="str">
        <x:v>Distributed transactions</x:v>
      </x:c>
      <x:c r="J182" s="3" t="str">
        <x:v>state-management;recovery</x:v>
      </x:c>
      <x:c r="K182" s="3" t="str"/>
      <x:c r="L182" s="3" t="str">
        <x:v>7.2</x:v>
      </x:c>
      <x:c r="M182" s="3" t="str">
        <x:v>讨论跨分布式事务边界的消息、业务实体与一致性，为代理副作用管理提供系统背景。</x:v>
      </x:c>
      <x:c r="N182" s="3" t="str"/>
      <x:c r="O182" s="3" t="str"/>
      <x:c r="P182" s="3" t="str">
        <x:v>verified</x:v>
      </x:c>
      <x:c r="Q182" s="7" t="str">
        <x:v>https://api.crossref.org/works/10.1145/3012426.3025012</x:v>
      </x:c>
      <x:c r="R182" s="7" t="str">
        <x:v>https://doi.org/10.1145/3012426.3025012</x:v>
      </x:c>
      <x:c r="S182" s="3" t="str">
        <x:v>185</x:v>
      </x:c>
      <x:c r="T182" s="3" t="str">
        <x:v>survey bibliography</x:v>
      </x:c>
      <x:c r="U182" s="5" t="d">
        <x:v>2026-10-16T00:00:00.000Z</x:v>
      </x:c>
      <x:c r="V182" s="6" t="str">
        <x:v>未分配</x:v>
      </x:c>
      <x:c r="W182" s="6" t="str"/>
      <x:c r="X182" s="6" t="str"/>
      <x:c r="Y182" s="6" t="str"/>
      <x:c r="Z182" s="3" t="str">
        <x:v>本条对应 ACM Queue 2016 更新重刊；Salesforce 由出版社提交的 Crossref 作者单位字段核验。原始 CIDR 2007 版本首页列 Amazon.com（https://www.cidrdb.org/cidr2007/papers/cidr07p15.pdf），不与 2016 版本单位混用。 年份列采用已确认的最早公开工作论文年份；单位证据对应所链接的正式/更新版本。</x:v>
      </x:c>
    </x:row>
    <x:row r="183" ht="55" customHeight="1">
      <x:c r="A183" s="3" t="str">
        <x:v>WA-0186</x:v>
      </x:c>
      <x:c r="B183" s="3" t="str">
        <x:v>Provenance in Databases: Why, How, and Where</x:v>
      </x:c>
      <x:c r="C183" s="3" t="str">
        <x:v>Provenance in Databases</x:v>
      </x:c>
      <x:c r="D183" s="4" t="n">
        <x:v>2009</x:v>
      </x:c>
      <x:c r="E183" s="7" t="str">
        <x:v>https://doi.org/10.1561/1900000006</x:v>
      </x:c>
      <x:c r="F183" s="3" t="str">
        <x:v>University of Edinburgh; IBM Almaden Research Center; University of California, Santa Cruz</x:v>
      </x:c>
      <x:c r="G183" s="3" t="str">
        <x:v>Survey;Background</x:v>
      </x:c>
      <x:c r="H183" s="3" t="str">
        <x:v>related</x:v>
      </x:c>
      <x:c r="I183" s="3" t="str">
        <x:v>Data lineage and provenance</x:v>
      </x:c>
      <x:c r="J183" s="3" t="str">
        <x:v>state-management;verification</x:v>
      </x:c>
      <x:c r="K183" s="3" t="str"/>
      <x:c r="L183" s="3" t="str">
        <x:v>7.2</x:v>
      </x:c>
      <x:c r="M183" s="3" t="str">
        <x:v>梳理数据来源及推导关系，为跨文件证据、依赖与结果可追溯性提供基础。</x:v>
      </x:c>
      <x:c r="N183" s="3" t="str"/>
      <x:c r="O183" s="3" t="str"/>
      <x:c r="P183" s="3" t="str">
        <x:v>verified</x:v>
      </x:c>
      <x:c r="Q183" s="7" t="str">
        <x:v>https://homepages.inf.ed.ac.uk/jcheney/publications/provdbsurvey.pdf</x:v>
      </x:c>
      <x:c r="R183" s="7" t="str">
        <x:v>https://doi.org/10.1561/1900000006</x:v>
      </x:c>
      <x:c r="S183" s="3" t="str">
        <x:v>186</x:v>
      </x:c>
      <x:c r="T183" s="3" t="str">
        <x:v>survey bibliography</x:v>
      </x:c>
      <x:c r="U183" s="5" t="d">
        <x:v>2026-10-16T00:00:00.000Z</x:v>
      </x:c>
      <x:c r="V183" s="6" t="str">
        <x:v>未分配</x:v>
      </x:c>
      <x:c r="W183" s="6" t="str"/>
      <x:c r="X183" s="6" t="str"/>
      <x:c r="Y183" s="6" t="str"/>
      <x:c r="Z183" s="3" t="str">
        <x:v>单位按作者在爱丁堡大学主页保存的论文标题页核验。PDF 卷面为 Vol. 1 No. 4 (2007)，版权与学校正式出版记录为 2009；此处保留正式出版年 2009。</x:v>
      </x:c>
    </x:row>
    <x:row r="184" ht="55" customHeight="1">
      <x:c r="A184" s="3" t="str">
        <x:v>WA-0187</x:v>
      </x:c>
      <x:c r="B184" s="3" t="str">
        <x:v>Sagas</x:v>
      </x:c>
      <x:c r="C184" s="3" t="str">
        <x:v>Sagas</x:v>
      </x:c>
      <x:c r="D184" s="4" t="n">
        <x:v>1987</x:v>
      </x:c>
      <x:c r="E184" s="7" t="str">
        <x:v>https://doi.org/10.1145/38713.38742</x:v>
      </x:c>
      <x:c r="F184" s="3" t="str">
        <x:v>Princeton University</x:v>
      </x:c>
      <x:c r="G184" s="3" t="str">
        <x:v>Background</x:v>
      </x:c>
      <x:c r="H184" s="3" t="str">
        <x:v>related</x:v>
      </x:c>
      <x:c r="I184" s="3" t="str">
        <x:v>Compensating transactions</x:v>
      </x:c>
      <x:c r="J184" s="3" t="str">
        <x:v>state-management;recovery</x:v>
      </x:c>
      <x:c r="K184" s="3" t="str"/>
      <x:c r="L184" s="3" t="str">
        <x:v>7.2</x:v>
      </x:c>
      <x:c r="M184" s="3" t="str">
        <x:v>以子事务及补偿操作处理长事务失败，是代理恢复与副作用回退的经典基础。</x:v>
      </x:c>
      <x:c r="N184" s="3" t="str"/>
      <x:c r="O184" s="3" t="str"/>
      <x:c r="P184" s="3" t="str">
        <x:v>verified</x:v>
      </x:c>
      <x:c r="Q184" s="7" t="str">
        <x:v>https://www.cs.princeton.edu/techreports/1987/070.pdf</x:v>
      </x:c>
      <x:c r="R184" s="7" t="str">
        <x:v>https://doi.org/10.1145/38713.38742</x:v>
      </x:c>
      <x:c r="S184" s="3" t="str">
        <x:v>187</x:v>
      </x:c>
      <x:c r="T184" s="3" t="str">
        <x:v>survey bibliography</x:v>
      </x:c>
      <x:c r="U184" s="5" t="d">
        <x:v>2026-10-16T00:00:00.000Z</x:v>
      </x:c>
      <x:c r="V184" s="6" t="str">
        <x:v>未分配</x:v>
      </x:c>
      <x:c r="W184" s="6" t="str"/>
      <x:c r="X184" s="6" t="str"/>
      <x:c r="Y184" s="6" t="str"/>
      <x:c r="Z184" s="3" t="str">
        <x:v>普林斯顿大学保存的 1987-01-07 原始技术报告首页明确列 Department of Computer Science, Princeton University；未采用作者后续任职。</x:v>
      </x:c>
    </x:row>
    <x:row r="185" ht="55" customHeight="1">
      <x:c r="A185" s="3" t="str">
        <x:v>WA-0188</x:v>
      </x:c>
      <x:c r="B185" s="3" t="str">
        <x:v>SagaLLM: Context Management, Validation, and Transaction Guarantees for Multi-Agent LLM Planning</x:v>
      </x:c>
      <x:c r="C185" s="3" t="str">
        <x:v>SagaLLM</x:v>
      </x:c>
      <x:c r="D185" s="4" t="n">
        <x:v>2025</x:v>
      </x:c>
      <x:c r="E185" s="7" t="str">
        <x:v>https://arxiv.org/abs/2503.11951</x:v>
      </x:c>
      <x:c r="F185" s="3" t="str">
        <x:v>Stanford University</x:v>
      </x:c>
      <x:c r="G185" s="3" t="str">
        <x:v>Method;Framework</x:v>
      </x:c>
      <x:c r="H185" s="3" t="str">
        <x:v>persistent</x:v>
      </x:c>
      <x:c r="I185" s="3" t="str">
        <x:v>Transactional multi-agent planning</x:v>
      </x:c>
      <x:c r="J185" s="3" t="str">
        <x:v>planning;coordination;state-management;verification;recovery</x:v>
      </x:c>
      <x:c r="K185" s="3" t="str"/>
      <x:c r="L185" s="3" t="str">
        <x:v>4.3;4.5;7.2</x:v>
      </x:c>
      <x:c r="M185" s="3" t="str">
        <x:v>把上下文管理、验证和事务保障引入多代理规划，处理长流程一致性与恢复。</x:v>
      </x:c>
      <x:c r="N185" s="3" t="str"/>
      <x:c r="O185" s="3" t="str"/>
      <x:c r="P185" s="3" t="str">
        <x:v>verified</x:v>
      </x:c>
      <x:c r="Q185" s="7" t="str">
        <x:v>https://arxiv.org/html/2503.11951v1</x:v>
      </x:c>
      <x:c r="R185" s="7" t="str">
        <x:v>https://arxiv.org/abs/2503.11951</x:v>
      </x:c>
      <x:c r="S185" s="3" t="str">
        <x:v>188</x:v>
      </x:c>
      <x:c r="T185" s="3" t="str">
        <x:v>survey bibliography</x:v>
      </x:c>
      <x:c r="U185" s="5" t="d">
        <x:v>2026-10-16T00:00:00.000Z</x:v>
      </x:c>
      <x:c r="V185" s="6" t="str">
        <x:v>未分配</x:v>
      </x:c>
      <x:c r="W185" s="6" t="str"/>
      <x:c r="X185" s="6" t="str"/>
      <x:c r="Y185" s="6" t="str"/>
      <x:c r="Z185" s="3" t="str">
        <x:v>当前摘要与HTML版本的作者列表可能与PDF参考文献不同，采用arXiv当前元数据。</x:v>
      </x:c>
    </x:row>
    <x:row r="186" ht="55" customHeight="1">
      <x:c r="A186" s="3" t="str">
        <x:v>WA-0189</x:v>
      </x:c>
      <x:c r="B186" s="3" t="str">
        <x:v>Proactive Agent: Shifting LLM Agents from Reactive Responses to Active Assistance</x:v>
      </x:c>
      <x:c r="C186" s="3" t="str">
        <x:v>Proactive Agent</x:v>
      </x:c>
      <x:c r="D186" s="4" t="n">
        <x:v>2024</x:v>
      </x:c>
      <x:c r="E186" s="7" t="str">
        <x:v>https://arxiv.org/abs/2410.12361</x:v>
      </x:c>
      <x:c r="F186" s="3" t="str">
        <x:v>Tsinghua University; Renmin University of China; Huawei Noah’s Ark Lab; Peng Cheng Laboratory</x:v>
      </x:c>
      <x:c r="G186" s="3" t="str">
        <x:v>Method</x:v>
      </x:c>
      <x:c r="H186" s="3" t="str">
        <x:v>persistent</x:v>
      </x:c>
      <x:c r="I186" s="3" t="str">
        <x:v>Proactive assistance</x:v>
      </x:c>
      <x:c r="J186" s="3" t="str">
        <x:v>perception;planning;execution</x:v>
      </x:c>
      <x:c r="K186" s="3" t="str"/>
      <x:c r="L186" s="3" t="str">
        <x:v>7.2</x:v>
      </x:c>
      <x:c r="M186" s="3" t="str">
        <x:v>依据用户活动与情境识别适宜的帮助时机，将被动应答扩展为主动协助。</x:v>
      </x:c>
      <x:c r="N186" s="7" t="str">
        <x:v>https://github.com/thunlp/ProactiveAgent</x:v>
      </x:c>
      <x:c r="O186" s="3" t="str"/>
      <x:c r="P186" s="3" t="str">
        <x:v>verified</x:v>
      </x:c>
      <x:c r="Q186" s="7" t="str">
        <x:v>https://arxiv.org/html/2410.12361v1</x:v>
      </x:c>
      <x:c r="R186" s="7" t="str">
        <x:v>https://arxiv.org/abs/2410.12361</x:v>
      </x:c>
      <x:c r="S186" s="3" t="str">
        <x:v>189</x:v>
      </x:c>
      <x:c r="T186" s="3" t="str">
        <x:v>survey bibliography</x:v>
      </x:c>
      <x:c r="U186" s="5" t="d">
        <x:v>2026-10-16T00:00:00.000Z</x:v>
      </x:c>
      <x:c r="V186" s="6" t="str">
        <x:v>未分配</x:v>
      </x:c>
      <x:c r="W186" s="6" t="str"/>
      <x:c r="X186" s="6" t="str"/>
      <x:c r="Y186" s="6" t="str"/>
      <x:c r="Z186" s="3" t="str">
        <x:v>论文身份与摘要已核验；分类为维护者判断。</x:v>
      </x:c>
    </x:row>
    <x:row r="187" ht="55" customHeight="1">
      <x:c r="A187" s="3" t="str">
        <x:v>WA-0190</x:v>
      </x:c>
      <x:c r="B187" s="3" t="str">
        <x:v>Foundations of Proactive Agents: Principles, Technical Layers, and Proactivity-Gym</x:v>
      </x:c>
      <x:c r="C187" s="3" t="str">
        <x:v>Proactivity-Gym</x:v>
      </x:c>
      <x:c r="D187" s="4" t="n">
        <x:v>2026</x:v>
      </x:c>
      <x:c r="E187" s="7" t="str">
        <x:v>https://arxiv.org/abs/2609.37267</x:v>
      </x:c>
      <x:c r="F187" s="3" t="str">
        <x:v>KAIST; University of Minnesota</x:v>
      </x:c>
      <x:c r="G187" s="3" t="str">
        <x:v>Framework;Benchmark;Survey</x:v>
      </x:c>
      <x:c r="H187" s="3" t="str">
        <x:v>persistent</x:v>
      </x:c>
      <x:c r="I187" s="3" t="str">
        <x:v>Proactivity principles and evaluation</x:v>
      </x:c>
      <x:c r="J187" s="3" t="str">
        <x:v>perception;planning;execution;state-management</x:v>
      </x:c>
      <x:c r="K187" s="3" t="str"/>
      <x:c r="L187" s="3" t="str">
        <x:v>7.2</x:v>
      </x:c>
      <x:c r="M187" s="3" t="str">
        <x:v>给出主动代理的原则与技术分层，并提供用于评估主动行为的环境。</x:v>
      </x:c>
      <x:c r="N187" s="3" t="str"/>
      <x:c r="O187" s="3" t="str"/>
      <x:c r="P187" s="3" t="str">
        <x:v>verified</x:v>
      </x:c>
      <x:c r="Q187" s="7" t="str">
        <x:v>https://arxiv.org/html/2609.37267v1</x:v>
      </x:c>
      <x:c r="R187" s="7" t="str">
        <x:v>https://arxiv.org/abs/2609.37267</x:v>
      </x:c>
      <x:c r="S187" s="3" t="str">
        <x:v>190</x:v>
      </x:c>
      <x:c r="T187" s="3" t="str">
        <x:v>survey bibliography</x:v>
      </x:c>
      <x:c r="U187" s="5" t="d">
        <x:v>2026-10-16T00:00:00.000Z</x:v>
      </x:c>
      <x:c r="V187" s="6" t="str">
        <x:v>未分配</x:v>
      </x:c>
      <x:c r="W187" s="6" t="str"/>
      <x:c r="X187" s="6" t="str"/>
      <x:c r="Y187" s="6" t="str"/>
      <x:c r="Z187" s="3" t="str">
        <x:v>论文身份与摘要已核验；分类为维护者判断。</x:v>
      </x:c>
    </x:row>
    <x:row r="188" ht="55" customHeight="1">
      <x:c r="A188" s="3" t="str">
        <x:v>WA-0191</x:v>
      </x:c>
      <x:c r="B188" s="3" t="str">
        <x:v>VibeLifeBench: Can Your Life Agent Be Proactive and Persistent in a Living World?</x:v>
      </x:c>
      <x:c r="C188" s="3" t="str">
        <x:v>VibeLifeBench</x:v>
      </x:c>
      <x:c r="D188" s="4" t="n">
        <x:v>2026</x:v>
      </x:c>
      <x:c r="E188" s="7" t="str">
        <x:v>https://arxiv.org/abs/2608.10875</x:v>
      </x:c>
      <x:c r="F188" s="3" t="str">
        <x:v>Xiaohongshu Dots Studio; Evolvent AI</x:v>
      </x:c>
      <x:c r="G188" s="3" t="str">
        <x:v>Benchmark</x:v>
      </x:c>
      <x:c r="H188" s="3" t="str">
        <x:v>persistent</x:v>
      </x:c>
      <x:c r="I188" s="3" t="str">
        <x:v>Persistent life assistance</x:v>
      </x:c>
      <x:c r="J188" s="3" t="str">
        <x:v>planning;memory;state-management;execution</x:v>
      </x:c>
      <x:c r="K188" s="3" t="str"/>
      <x:c r="L188" s="3" t="str">
        <x:v>6.1;7.2</x:v>
      </x:c>
      <x:c r="M188" s="3" t="str">
        <x:v>在持续演化的生活环境中评估主动性、长期记忆和持续责任。</x:v>
      </x:c>
      <x:c r="N188" s="3" t="str"/>
      <x:c r="O188" s="3" t="str"/>
      <x:c r="P188" s="3" t="str">
        <x:v>verified</x:v>
      </x:c>
      <x:c r="Q188" s="7" t="str">
        <x:v>https://arxiv.org/html/2608.10875v1</x:v>
      </x:c>
      <x:c r="R188" s="7" t="str">
        <x:v>https://arxiv.org/abs/2608.10875</x:v>
      </x:c>
      <x:c r="S188" s="3" t="str">
        <x:v>191</x:v>
      </x:c>
      <x:c r="T188" s="3" t="str">
        <x:v>survey bibliography</x:v>
      </x:c>
      <x:c r="U188" s="5" t="d">
        <x:v>2026-10-16T00:00:00.000Z</x:v>
      </x:c>
      <x:c r="V188" s="6" t="str">
        <x:v>未分配</x:v>
      </x:c>
      <x:c r="W188" s="6" t="str"/>
      <x:c r="X188" s="6" t="str"/>
      <x:c r="Y188" s="6" t="str"/>
      <x:c r="Z188" s="3" t="str">
        <x:v>原README年份2025不符；预印本首发2026年8月。</x:v>
      </x:c>
    </x:row>
    <x:row r="189" ht="55" customHeight="1">
      <x:c r="A189" s="3" t="str">
        <x:v>WA-0192</x:v>
      </x:c>
      <x:c r="B189" s="3" t="str">
        <x:v>TimeArena: Shaping Efficient Multitasking Language Agents in a Time-Aware Simulation</x:v>
      </x:c>
      <x:c r="C189" s="3" t="str">
        <x:v>TimeArena</x:v>
      </x:c>
      <x:c r="D189" s="4" t="n">
        <x:v>2024</x:v>
      </x:c>
      <x:c r="E189" s="7" t="str">
        <x:v>https://arxiv.org/abs/2402.05733</x:v>
      </x:c>
      <x:c r="F189" s="3" t="str">
        <x:v>Fudan University; Allen Institute for AI</x:v>
      </x:c>
      <x:c r="G189" s="3" t="str">
        <x:v>Benchmark</x:v>
      </x:c>
      <x:c r="H189" s="3" t="str">
        <x:v>persistent</x:v>
      </x:c>
      <x:c r="I189" s="3" t="str">
        <x:v>Time-aware multitasking</x:v>
      </x:c>
      <x:c r="J189" s="3" t="str">
        <x:v>planning;coordination;execution</x:v>
      </x:c>
      <x:c r="K189" s="3" t="str"/>
      <x:c r="L189" s="3" t="str">
        <x:v>4.3;7.2</x:v>
      </x:c>
      <x:c r="M189" s="3" t="str">
        <x:v>用带耗时和时间依赖的仿真环境评估代理多任务调度与执行效率。</x:v>
      </x:c>
      <x:c r="N189" s="3" t="str"/>
      <x:c r="O189" s="3" t="str"/>
      <x:c r="P189" s="3" t="str">
        <x:v>verified</x:v>
      </x:c>
      <x:c r="Q189" s="7" t="str">
        <x:v>https://arxiv.org/html/2402.05733v1</x:v>
      </x:c>
      <x:c r="R189" s="7" t="str">
        <x:v>https://arxiv.org/abs/2402.05733</x:v>
      </x:c>
      <x:c r="S189" s="3" t="str">
        <x:v>192</x:v>
      </x:c>
      <x:c r="T189" s="3" t="str">
        <x:v>survey bibliography</x:v>
      </x:c>
      <x:c r="U189" s="5" t="d">
        <x:v>2026-10-16T00:00:00.000Z</x:v>
      </x:c>
      <x:c r="V189" s="6" t="str">
        <x:v>未分配</x:v>
      </x:c>
      <x:c r="W189" s="6" t="str"/>
      <x:c r="X189" s="6" t="str"/>
      <x:c r="Y189" s="6" t="str"/>
      <x:c r="Z189" s="3" t="str">
        <x:v>论文身份与摘要已核验；分类为维护者判断。</x:v>
      </x:c>
    </x:row>
    <x:row r="190" ht="55" customHeight="1">
      <x:c r="A190" s="3" t="str">
        <x:v>WA-0193</x:v>
      </x:c>
      <x:c r="B190" s="3" t="str">
        <x:v>Asynchronous LLM Function Calling</x:v>
      </x:c>
      <x:c r="C190" s="3" t="str">
        <x:v>AsyncLM</x:v>
      </x:c>
      <x:c r="D190" s="4" t="n">
        <x:v>2024</x:v>
      </x:c>
      <x:c r="E190" s="7" t="str">
        <x:v>https://arxiv.org/abs/2412.07017</x:v>
      </x:c>
      <x:c r="F190" s="3" t="str">
        <x:v>Yale University</x:v>
      </x:c>
      <x:c r="G190" s="3" t="str">
        <x:v>Method;Framework</x:v>
      </x:c>
      <x:c r="H190" s="3" t="str">
        <x:v>harness</x:v>
      </x:c>
      <x:c r="I190" s="3" t="str">
        <x:v>Asynchronous function calls</x:v>
      </x:c>
      <x:c r="J190" s="3" t="str">
        <x:v>planning;coordination;execution</x:v>
      </x:c>
      <x:c r="K190" s="3" t="str"/>
      <x:c r="L190" s="3" t="str">
        <x:v>4.4;7.2</x:v>
      </x:c>
      <x:c r="M190" s="3" t="str">
        <x:v>让工具并行执行并通过中断回传结果，减少同步函数调用的阻塞开销。</x:v>
      </x:c>
      <x:c r="N190" s="3" t="str"/>
      <x:c r="O190" s="3" t="str"/>
      <x:c r="P190" s="3" t="str">
        <x:v>verified</x:v>
      </x:c>
      <x:c r="Q190" s="7" t="str">
        <x:v>https://arxiv.org/html/2412.07017v1</x:v>
      </x:c>
      <x:c r="R190" s="7" t="str">
        <x:v>https://arxiv.org/abs/2412.07017</x:v>
      </x:c>
      <x:c r="S190" s="3" t="str">
        <x:v>193</x:v>
      </x:c>
      <x:c r="T190" s="3" t="str">
        <x:v>survey bibliography</x:v>
      </x:c>
      <x:c r="U190" s="5" t="d">
        <x:v>2026-10-16T00:00:00.000Z</x:v>
      </x:c>
      <x:c r="V190" s="6" t="str">
        <x:v>未分配</x:v>
      </x:c>
      <x:c r="W190" s="6" t="str"/>
      <x:c r="X190" s="6" t="str"/>
      <x:c r="Y190" s="6" t="str"/>
      <x:c r="Z190" s="3" t="str">
        <x:v>论文身份与摘要已核验；分类为维护者判断。</x:v>
      </x:c>
    </x:row>
    <x:row r="191" ht="55" customHeight="1">
      <x:c r="A191" s="3" t="str">
        <x:v>WA-0194</x:v>
      </x:c>
      <x:c r="B191" s="3" t="str">
        <x:v>Graph-enhanced Large Language Models in Asynchronous Plan Reasoning</x:v>
      </x:c>
      <x:c r="C191" s="3" t="str">
        <x:v>Graph-enhanced Asynchronous Planning</x:v>
      </x:c>
      <x:c r="D191" s="4" t="n">
        <x:v>2024</x:v>
      </x:c>
      <x:c r="E191" s="7" t="str">
        <x:v>https://arxiv.org/abs/2402.02805</x:v>
      </x:c>
      <x:c r="F191" s="3" t="str">
        <x:v>University of Oxford; Alan Turing Institute; Allen Institute for AI; LMU Munich; University of Leeds</x:v>
      </x:c>
      <x:c r="G191" s="3" t="str">
        <x:v>Method</x:v>
      </x:c>
      <x:c r="H191" s="3" t="str">
        <x:v>tool-enterprise</x:v>
      </x:c>
      <x:c r="I191" s="3" t="str">
        <x:v>Asynchronous plan reasoning</x:v>
      </x:c>
      <x:c r="J191" s="3" t="str">
        <x:v>reasoning;planning;coordination</x:v>
      </x:c>
      <x:c r="K191" s="3" t="str"/>
      <x:c r="L191" s="3" t="str">
        <x:v>4.3;7.2</x:v>
      </x:c>
      <x:c r="M191" s="3" t="str">
        <x:v>用图结构增强语言模型对可并行、具依赖关系计划的推理与调度。</x:v>
      </x:c>
      <x:c r="N191" s="3" t="str"/>
      <x:c r="O191" s="3" t="str"/>
      <x:c r="P191" s="3" t="str">
        <x:v>verified</x:v>
      </x:c>
      <x:c r="Q191" s="7" t="str">
        <x:v>https://arxiv.org/html/2402.02805v1</x:v>
      </x:c>
      <x:c r="R191" s="7" t="str">
        <x:v>https://arxiv.org/abs/2402.02805</x:v>
      </x:c>
      <x:c r="S191" s="3" t="str">
        <x:v>194</x:v>
      </x:c>
      <x:c r="T191" s="3" t="str">
        <x:v>survey bibliography</x:v>
      </x:c>
      <x:c r="U191" s="5" t="d">
        <x:v>2026-10-16T00:00:00.000Z</x:v>
      </x:c>
      <x:c r="V191" s="6" t="str">
        <x:v>未分配</x:v>
      </x:c>
      <x:c r="W191" s="6" t="str"/>
      <x:c r="X191" s="6" t="str"/>
      <x:c r="Y191" s="6" t="str"/>
      <x:c r="Z191" s="3" t="str">
        <x:v>论文身份与摘要已核验；分类为维护者判断。</x:v>
      </x:c>
    </x:row>
    <x:row r="192" ht="55" customHeight="1">
      <x:c r="A192" s="3" t="str">
        <x:v>WA-0195</x:v>
      </x:c>
      <x:c r="B192" s="3" t="str">
        <x:v>ExpeL: LLM Agents Are Experiential Learners</x:v>
      </x:c>
      <x:c r="C192" s="3" t="str">
        <x:v>ExpeL</x:v>
      </x:c>
      <x:c r="D192" s="4" t="n">
        <x:v>2023</x:v>
      </x:c>
      <x:c r="E192" s="7" t="str">
        <x:v>https://arxiv.org/abs/2308.10144</x:v>
      </x:c>
      <x:c r="F192" s="3" t="str">
        <x:v>Tsinghua University</x:v>
      </x:c>
      <x:c r="G192" s="3" t="str">
        <x:v>Method</x:v>
      </x:c>
      <x:c r="H192" s="3" t="str">
        <x:v>persistent</x:v>
      </x:c>
      <x:c r="I192" s="3" t="str">
        <x:v>Experiential memory learning</x:v>
      </x:c>
      <x:c r="J192" s="3" t="str">
        <x:v>memory;learning;planning</x:v>
      </x:c>
      <x:c r="K192" s="3" t="str">
        <x:v>memory-skill</x:v>
      </x:c>
      <x:c r="L192" s="3" t="str">
        <x:v>5.3;7.2</x:v>
      </x:c>
      <x:c r="M192" s="3" t="str">
        <x:v>从成功和失败轨迹提炼自然语言经验，并在新任务中检索使用，无需更新模型参数。</x:v>
      </x:c>
      <x:c r="N192" s="3" t="str"/>
      <x:c r="O192" s="3" t="str"/>
      <x:c r="P192" s="3" t="str">
        <x:v>verified</x:v>
      </x:c>
      <x:c r="Q192" s="7" t="str">
        <x:v>https://arxiv.org/html/2308.10144v1</x:v>
      </x:c>
      <x:c r="R192" s="7" t="str">
        <x:v>https://arxiv.org/abs/2308.10144</x:v>
      </x:c>
      <x:c r="S192" s="3" t="str">
        <x:v>195</x:v>
      </x:c>
      <x:c r="T192" s="3" t="str">
        <x:v>survey bibliography</x:v>
      </x:c>
      <x:c r="U192" s="5" t="d">
        <x:v>2026-10-16T00:00:00.000Z</x:v>
      </x:c>
      <x:c r="V192" s="6" t="str">
        <x:v>未分配</x:v>
      </x:c>
      <x:c r="W192" s="6" t="str"/>
      <x:c r="X192" s="6" t="str"/>
      <x:c r="Y192" s="6" t="str"/>
      <x:c r="Z192" s="3" t="str">
        <x:v>论文身份与摘要已核验；分类为维护者判断。</x:v>
      </x:c>
    </x:row>
    <x:row r="193" ht="55" customHeight="1">
      <x:c r="A193" s="3" t="str">
        <x:v>WA-0196</x:v>
      </x:c>
      <x:c r="B193" s="3" t="str">
        <x:v>Voyager: An Open-Ended Embodied Agent with Large Language Models</x:v>
      </x:c>
      <x:c r="C193" s="3" t="str">
        <x:v>Voyager</x:v>
      </x:c>
      <x:c r="D193" s="4" t="n">
        <x:v>2023</x:v>
      </x:c>
      <x:c r="E193" s="7" t="str">
        <x:v>https://arxiv.org/abs/2305.16291</x:v>
      </x:c>
      <x:c r="F193" s="3" t="str">
        <x:v>Caltech; University of Texas at Austin; Arizona State University; NVIDIA; Stanford University</x:v>
      </x:c>
      <x:c r="G193" s="3" t="str">
        <x:v>Method</x:v>
      </x:c>
      <x:c r="H193" s="3" t="str">
        <x:v>persistent</x:v>
      </x:c>
      <x:c r="I193" s="3" t="str">
        <x:v>Open-ended skill accumulation</x:v>
      </x:c>
      <x:c r="J193" s="3" t="str">
        <x:v>planning;execution;memory;learning</x:v>
      </x:c>
      <x:c r="K193" s="3" t="str">
        <x:v>memory-skill</x:v>
      </x:c>
      <x:c r="L193" s="3" t="str">
        <x:v>5.3;7.2</x:v>
      </x:c>
      <x:c r="M193" s="3" t="str">
        <x:v>在Minecraft中持续探索、验证并积累可执行技能，展示开放环境下的终身学习。</x:v>
      </x:c>
      <x:c r="N193" s="3" t="str"/>
      <x:c r="O193" s="3" t="str"/>
      <x:c r="P193" s="3" t="str">
        <x:v>verified</x:v>
      </x:c>
      <x:c r="Q193" s="7" t="str">
        <x:v>https://arxiv.org/html/2305.16291v1</x:v>
      </x:c>
      <x:c r="R193" s="7" t="str">
        <x:v>https://arxiv.org/abs/2305.16291</x:v>
      </x:c>
      <x:c r="S193" s="3" t="str">
        <x:v>196</x:v>
      </x:c>
      <x:c r="T193" s="3" t="str">
        <x:v>survey bibliography</x:v>
      </x:c>
      <x:c r="U193" s="5" t="d">
        <x:v>2026-10-16T00:00:00.000Z</x:v>
      </x:c>
      <x:c r="V193" s="6" t="str">
        <x:v>未分配</x:v>
      </x:c>
      <x:c r="W193" s="6" t="str"/>
      <x:c r="X193" s="6" t="str"/>
      <x:c r="Y193" s="6" t="str"/>
      <x:c r="Z193" s="3" t="str">
        <x:v>Minecraft为相邻开放环境，非办公工作直接评测。</x:v>
      </x:c>
    </x:row>
    <x:row r="194" ht="55" customHeight="1">
      <x:c r="A194" s="3" t="str">
        <x:v>WA-0197</x:v>
      </x:c>
      <x:c r="B194" s="3" t="str">
        <x:v>PAST-Bench: Benchmarking the Foundations of Recursive Self-Improvement in Personal Agents</x:v>
      </x:c>
      <x:c r="C194" s="3" t="str">
        <x:v>PAST-Bench / Hermes+</x:v>
      </x:c>
      <x:c r="D194" s="4" t="n">
        <x:v>2026</x:v>
      </x:c>
      <x:c r="E194" s="7" t="str">
        <x:v>https://arxiv.org/abs/2608.04003</x:v>
      </x:c>
      <x:c r="F194" s="3" t="str">
        <x:v>Pending verification</x:v>
      </x:c>
      <x:c r="G194" s="3" t="str">
        <x:v>Benchmark;Method</x:v>
      </x:c>
      <x:c r="H194" s="3" t="str">
        <x:v>persistent</x:v>
      </x:c>
      <x:c r="I194" s="3" t="str">
        <x:v>Cross-session self-improvement</x:v>
      </x:c>
      <x:c r="J194" s="3" t="str">
        <x:v>memory;state-management;learning;verification</x:v>
      </x:c>
      <x:c r="K194" s="3" t="str"/>
      <x:c r="L194" s="3" t="str">
        <x:v>5.3;7.2</x:v>
      </x:c>
      <x:c r="M194" s="3" t="str">
        <x:v>以有无保留经验的配对跨会话任务检验真实改进，并检查存储、检索、更新路径。</x:v>
      </x:c>
      <x:c r="N194" s="7" t="str">
        <x:v>https://github.com/Gen-Verse/PAST-Bench</x:v>
      </x:c>
      <x:c r="O194" s="3" t="str"/>
      <x:c r="P194" s="3" t="str">
        <x:v>metadata-only</x:v>
      </x:c>
      <x:c r="Q194" s="3" t="str"/>
      <x:c r="R194" s="7" t="str">
        <x:v>https://arxiv.org/abs/2608.04003</x:v>
      </x:c>
      <x:c r="S194" s="3" t="str">
        <x:v>197</x:v>
      </x:c>
      <x:c r="T194" s="3" t="str">
        <x:v>survey bibliography</x:v>
      </x:c>
      <x:c r="U194" s="5" t="d">
        <x:v>2026-10-16T00:00:00.000Z</x:v>
      </x:c>
      <x:c r="V194" s="6" t="str">
        <x:v>未分配</x:v>
      </x:c>
      <x:c r="W194" s="6" t="str"/>
      <x:c r="X194" s="6" t="str"/>
      <x:c r="Y194" s="6" t="str"/>
      <x:c r="Z194" s="3" t="str">
        <x:v>论文身份与机制已核验；PDF首页未列机构，不依据作者当前履历推断单位。</x:v>
      </x:c>
    </x:row>
    <x:row r="195" ht="55" customHeight="1">
      <x:c r="A195" s="3" t="str">
        <x:v>WA-0198</x:v>
      </x:c>
      <x:c r="B195" s="3" t="str">
        <x:v>Gradient Episodic Memory for Continual Learning</x:v>
      </x:c>
      <x:c r="C195" s="3" t="str">
        <x:v>Gradient Episodic Memory</x:v>
      </x:c>
      <x:c r="D195" s="4" t="n">
        <x:v>2017</x:v>
      </x:c>
      <x:c r="E195" s="7" t="str">
        <x:v>https://arxiv.org/abs/1706.08840</x:v>
      </x:c>
      <x:c r="F195" s="3" t="str">
        <x:v>Facebook AI Research</x:v>
      </x:c>
      <x:c r="G195" s="3" t="str">
        <x:v>Method;Background</x:v>
      </x:c>
      <x:c r="H195" s="3" t="str">
        <x:v>related</x:v>
      </x:c>
      <x:c r="I195" s="3" t="str">
        <x:v>Continual-learning foundations</x:v>
      </x:c>
      <x:c r="J195" s="3" t="str">
        <x:v>memory;learning</x:v>
      </x:c>
      <x:c r="K195" s="3" t="str"/>
      <x:c r="L195" s="3" t="str">
        <x:v>5.3;7.2</x:v>
      </x:c>
      <x:c r="M195" s="3" t="str">
        <x:v>通过情景记忆约束参数更新以缓解灾难性遗忘，为持续学习提供经典基础。</x:v>
      </x:c>
      <x:c r="N195" s="3" t="str"/>
      <x:c r="O195" s="3" t="str"/>
      <x:c r="P195" s="3" t="str">
        <x:v>verified</x:v>
      </x:c>
      <x:c r="Q195" s="7" t="str">
        <x:v>https://arxiv.org/html/1706.08840v1</x:v>
      </x:c>
      <x:c r="R195" s="7" t="str">
        <x:v>https://arxiv.org/abs/1706.08840</x:v>
      </x:c>
      <x:c r="S195" s="3" t="str">
        <x:v>198</x:v>
      </x:c>
      <x:c r="T195" s="3" t="str">
        <x:v>survey bibliography</x:v>
      </x:c>
      <x:c r="U195" s="5" t="d">
        <x:v>2026-10-16T00:00:00.000Z</x:v>
      </x:c>
      <x:c r="V195" s="6" t="str">
        <x:v>未分配</x:v>
      </x:c>
      <x:c r="W195" s="6" t="str"/>
      <x:c r="X195" s="6" t="str"/>
      <x:c r="Y195" s="6" t="str"/>
      <x:c r="Z195" s="3" t="str">
        <x:v>持续学习基础论文，非数字工作代理。</x:v>
      </x:c>
    </x:row>
    <x:row r="196" ht="55" customHeight="1">
      <x:c r="A196" s="3" t="str">
        <x:v>WA-0199</x:v>
      </x:c>
      <x:c r="B196" s="3" t="str">
        <x:v>Auditing Self-Evolution in Financial Agents: Capability Gains, Security Drift, and Execution-Interface Mismatch</x:v>
      </x:c>
      <x:c r="C196" s="3" t="str">
        <x:v>Auditing Financial Agent Self-Evolution</x:v>
      </x:c>
      <x:c r="D196" s="4" t="n">
        <x:v>2026</x:v>
      </x:c>
      <x:c r="E196" s="7" t="str">
        <x:v>https://arxiv.org/abs/2608.17684</x:v>
      </x:c>
      <x:c r="F196" s="3" t="str">
        <x:v>Independent Researcher</x:v>
      </x:c>
      <x:c r="G196" s="3" t="str">
        <x:v>Benchmark;Background</x:v>
      </x:c>
      <x:c r="H196" s="3" t="str">
        <x:v>safety</x:v>
      </x:c>
      <x:c r="I196" s="3" t="str">
        <x:v>Security drift during adaptation</x:v>
      </x:c>
      <x:c r="J196" s="3" t="str">
        <x:v>learning;verification;execution</x:v>
      </x:c>
      <x:c r="K196" s="3" t="str"/>
      <x:c r="L196" s="3" t="str">
        <x:v>7.2;7.4</x:v>
      </x:c>
      <x:c r="M196" s="3" t="str">
        <x:v>联合审计金融代理自我演化中的能力收益、安全漂移和执行接口错配。</x:v>
      </x:c>
      <x:c r="N196" s="3" t="str"/>
      <x:c r="O196" s="3" t="str"/>
      <x:c r="P196" s="3" t="str">
        <x:v>verified</x:v>
      </x:c>
      <x:c r="Q196" s="7" t="str">
        <x:v>https://arxiv.org/html/2608.17684v1</x:v>
      </x:c>
      <x:c r="R196" s="7" t="str">
        <x:v>https://arxiv.org/abs/2608.17684</x:v>
      </x:c>
      <x:c r="S196" s="3" t="str">
        <x:v>199</x:v>
      </x:c>
      <x:c r="T196" s="3" t="str">
        <x:v>survey bibliography</x:v>
      </x:c>
      <x:c r="U196" s="5" t="d">
        <x:v>2026-10-16T00:00:00.000Z</x:v>
      </x:c>
      <x:c r="V196" s="6" t="str">
        <x:v>未分配</x:v>
      </x:c>
      <x:c r="W196" s="6" t="str"/>
      <x:c r="X196" s="6" t="str"/>
      <x:c r="Y196" s="6" t="str"/>
      <x:c r="Z196" s="3" t="str">
        <x:v>论文身份与摘要已核验；分类为维护者判断。</x:v>
      </x:c>
    </x:row>
    <x:row r="197" ht="55" customHeight="1">
      <x:c r="A197" s="3" t="str">
        <x:v>WA-0200</x:v>
      </x:c>
      <x:c r="B197" s="3" t="str">
        <x:v>LLM Evaluators Recognize and Favor Their Own Generations</x:v>
      </x:c>
      <x:c r="C197" s="3" t="str">
        <x:v>Self-Preference in LLM Evaluators</x:v>
      </x:c>
      <x:c r="D197" s="4" t="n">
        <x:v>2024</x:v>
      </x:c>
      <x:c r="E197" s="7" t="str">
        <x:v>https://arxiv.org/abs/2404.13076</x:v>
      </x:c>
      <x:c r="F197" s="3" t="str">
        <x:v>MATS; New York University; Anthropic</x:v>
      </x:c>
      <x:c r="G197" s="3" t="str">
        <x:v>Background</x:v>
      </x:c>
      <x:c r="H197" s="3" t="str">
        <x:v>verification</x:v>
      </x:c>
      <x:c r="I197" s="3" t="str">
        <x:v>Judge self-preference bias</x:v>
      </x:c>
      <x:c r="J197" s="3" t="str">
        <x:v>verification</x:v>
      </x:c>
      <x:c r="K197" s="3" t="str"/>
      <x:c r="L197" s="3" t="str">
        <x:v>6.3;7.3</x:v>
      </x:c>
      <x:c r="M197" s="3" t="str">
        <x:v>实验证明模型裁判能够识别并偏好自身生成，提醒避免把裁判分数直接视为独立质量证据。</x:v>
      </x:c>
      <x:c r="N197" s="3" t="str"/>
      <x:c r="O197" s="3" t="str"/>
      <x:c r="P197" s="3" t="str">
        <x:v>verified</x:v>
      </x:c>
      <x:c r="Q197" s="7" t="str">
        <x:v>https://arxiv.org/html/2404.13076v1</x:v>
      </x:c>
      <x:c r="R197" s="7" t="str">
        <x:v>https://arxiv.org/abs/2404.13076</x:v>
      </x:c>
      <x:c r="S197" s="3" t="str">
        <x:v>200</x:v>
      </x:c>
      <x:c r="T197" s="3" t="str">
        <x:v>survey bibliography</x:v>
      </x:c>
      <x:c r="U197" s="5" t="d">
        <x:v>2026-10-16T00:00:00.000Z</x:v>
      </x:c>
      <x:c r="V197" s="6" t="str">
        <x:v>未分配</x:v>
      </x:c>
      <x:c r="W197" s="6" t="str"/>
      <x:c r="X197" s="6" t="str"/>
      <x:c r="Y197" s="6" t="str"/>
      <x:c r="Z197" s="3" t="str">
        <x:v>论文身份与摘要已核验；分类为维护者判断。</x:v>
      </x:c>
    </x:row>
    <x:row r="198" ht="70" customHeight="1">
      <x:c r="A198" s="3" t="str">
        <x:v>WA-0201</x:v>
      </x:c>
      <x:c r="B198" s="3" t="str">
        <x:v>Great Models Think Alike and this Undermines AI Oversight</x:v>
      </x:c>
      <x:c r="C198" s="3" t="str">
        <x:v>Great Models Think Alike</x:v>
      </x:c>
      <x:c r="D198" s="4" t="n">
        <x:v>2025</x:v>
      </x:c>
      <x:c r="E198" s="7" t="str">
        <x:v>https://arxiv.org/abs/2502.04313</x:v>
      </x:c>
      <x:c r="F198" s="3" t="str">
        <x:v>ELLIS Institute Tübingen; Max Planck Institute for Intelligent Systems; Tübingen AI Center; University of Tübingen; IIIT Hyderabad; Contextual AI; Stanford University</x:v>
      </x:c>
      <x:c r="G198" s="3" t="str">
        <x:v>Background</x:v>
      </x:c>
      <x:c r="H198" s="3" t="str">
        <x:v>verification</x:v>
      </x:c>
      <x:c r="I198" s="3" t="str">
        <x:v>Correlated errors in oversight</x:v>
      </x:c>
      <x:c r="J198" s="3" t="str">
        <x:v>verification;learning</x:v>
      </x:c>
      <x:c r="K198" s="3" t="str"/>
      <x:c r="L198" s="3" t="str">
        <x:v>6.3;7.3</x:v>
      </x:c>
      <x:c r="M198" s="3" t="str">
        <x:v>用模型错误重合度分析裁判偏好与弱到强监督，揭示相关性失败对自动监督的影响。</x:v>
      </x:c>
      <x:c r="N198" s="7" t="str">
        <x:v>https://github.com/model-similarity/lm-similarity</x:v>
      </x:c>
      <x:c r="O198" s="3" t="str"/>
      <x:c r="P198" s="3" t="str">
        <x:v>verified</x:v>
      </x:c>
      <x:c r="Q198" s="7" t="str">
        <x:v>https://arxiv.org/html/2502.04313v1</x:v>
      </x:c>
      <x:c r="R198" s="7" t="str">
        <x:v>https://arxiv.org/abs/2502.04313</x:v>
      </x:c>
      <x:c r="S198" s="3" t="str">
        <x:v>201</x:v>
      </x:c>
      <x:c r="T198" s="3" t="str">
        <x:v>survey bibliography</x:v>
      </x:c>
      <x:c r="U198" s="5" t="d">
        <x:v>2026-10-16T00:00:00.000Z</x:v>
      </x:c>
      <x:c r="V198" s="6" t="str">
        <x:v>未分配</x:v>
      </x:c>
      <x:c r="W198" s="6" t="str"/>
      <x:c r="X198" s="6" t="str"/>
      <x:c r="Y198" s="6" t="str"/>
      <x:c r="Z198" s="3" t="str">
        <x:v>论文身份与摘要已核验；分类为维护者判断。</x:v>
      </x:c>
    </x:row>
    <x:row r="199" ht="55" customHeight="1">
      <x:c r="A199" s="3" t="str">
        <x:v>WA-0202</x:v>
      </x:c>
      <x:c r="B199" s="3" t="str">
        <x:v>StateGuard: Analytical-State Management with Validity-Aware Intervention for Long-Horizon Data Agents</x:v>
      </x:c>
      <x:c r="C199" s="3" t="str">
        <x:v>StateGuard</x:v>
      </x:c>
      <x:c r="D199" s="4" t="n">
        <x:v>2026</x:v>
      </x:c>
      <x:c r="E199" s="7" t="str">
        <x:v>https://arxiv.org/abs/2609.34134</x:v>
      </x:c>
      <x:c r="F199" s="3" t="str">
        <x:v>Renmin University of China</x:v>
      </x:c>
      <x:c r="G199" s="3" t="str">
        <x:v>Method</x:v>
      </x:c>
      <x:c r="H199" s="3" t="str">
        <x:v>persistent</x:v>
      </x:c>
      <x:c r="I199" s="3" t="str">
        <x:v>Validity-aware analytical state</x:v>
      </x:c>
      <x:c r="J199" s="3" t="str">
        <x:v>state-management;verification;recovery</x:v>
      </x:c>
      <x:c r="K199" s="3" t="str"/>
      <x:c r="L199" s="3" t="str">
        <x:v>4.4;4.5;7.2</x:v>
      </x:c>
      <x:c r="M199" s="3" t="str">
        <x:v>显式管理长程数据分析状态及其有效性，在状态失效时介入并恢复分析流程。</x:v>
      </x:c>
      <x:c r="N199" s="3" t="str"/>
      <x:c r="O199" s="3" t="str"/>
      <x:c r="P199" s="3" t="str">
        <x:v>verified</x:v>
      </x:c>
      <x:c r="Q199" s="7" t="str">
        <x:v>https://arxiv.org/html/2609.34134v1</x:v>
      </x:c>
      <x:c r="R199" s="7" t="str">
        <x:v>https://arxiv.org/abs/2609.34134</x:v>
      </x:c>
      <x:c r="S199" s="3" t="str">
        <x:v>202</x:v>
      </x:c>
      <x:c r="T199" s="3" t="str">
        <x:v>survey bibliography</x:v>
      </x:c>
      <x:c r="U199" s="5" t="d">
        <x:v>2026-10-16T00:00:00.000Z</x:v>
      </x:c>
      <x:c r="V199" s="6" t="str">
        <x:v>未分配</x:v>
      </x:c>
      <x:c r="W199" s="6" t="str"/>
      <x:c r="X199" s="6" t="str"/>
      <x:c r="Y199" s="6" t="str"/>
      <x:c r="Z199" s="3" t="str">
        <x:v>论文身份与摘要已核验；分类为维护者判断。</x:v>
      </x:c>
    </x:row>
    <x:row r="200" ht="55" customHeight="1">
      <x:c r="A200" s="3" t="str">
        <x:v>WA-0203</x:v>
      </x:c>
      <x:c r="B200" s="3" t="str">
        <x:v>Scaling Laws for Reward Model Overoptimization</x:v>
      </x:c>
      <x:c r="C200" s="3" t="str">
        <x:v>Reward Model Overoptimization</x:v>
      </x:c>
      <x:c r="D200" s="4" t="n">
        <x:v>2022</x:v>
      </x:c>
      <x:c r="E200" s="7" t="str">
        <x:v>https://arxiv.org/abs/2210.10760</x:v>
      </x:c>
      <x:c r="F200" s="3" t="str">
        <x:v>OpenAI</x:v>
      </x:c>
      <x:c r="G200" s="3" t="str">
        <x:v>Background</x:v>
      </x:c>
      <x:c r="H200" s="3" t="str">
        <x:v>verification</x:v>
      </x:c>
      <x:c r="I200" s="3" t="str">
        <x:v>Reward hacking and proxy validity</x:v>
      </x:c>
      <x:c r="J200" s="3" t="str">
        <x:v>verification;learning</x:v>
      </x:c>
      <x:c r="K200" s="3" t="str"/>
      <x:c r="L200" s="3" t="str">
        <x:v>5.1;7.3</x:v>
      </x:c>
      <x:c r="M200" s="3" t="str">
        <x:v>量化对代理奖励模型过度优化时真实质量退化的规律，为奖励设计提供基础。</x:v>
      </x:c>
      <x:c r="N200" s="3" t="str"/>
      <x:c r="O200" s="3" t="str"/>
      <x:c r="P200" s="3" t="str">
        <x:v>verified</x:v>
      </x:c>
      <x:c r="Q200" s="7" t="str">
        <x:v>https://arxiv.org/html/2210.10760v1</x:v>
      </x:c>
      <x:c r="R200" s="7" t="str">
        <x:v>https://arxiv.org/abs/2210.10760</x:v>
      </x:c>
      <x:c r="S200" s="3" t="str">
        <x:v>203</x:v>
      </x:c>
      <x:c r="T200" s="3" t="str">
        <x:v>survey bibliography</x:v>
      </x:c>
      <x:c r="U200" s="5" t="d">
        <x:v>2026-10-16T00:00:00.000Z</x:v>
      </x:c>
      <x:c r="V200" s="6" t="str">
        <x:v>未分配</x:v>
      </x:c>
      <x:c r="W200" s="6" t="str"/>
      <x:c r="X200" s="6" t="str"/>
      <x:c r="Y200" s="6" t="str"/>
      <x:c r="Z200" s="3" t="str">
        <x:v>论文身份与摘要已核验；分类为维护者判断。</x:v>
      </x:c>
    </x:row>
    <x:row r="201" ht="55" customHeight="1">
      <x:c r="A201" s="3" t="str">
        <x:v>WA-0204</x:v>
      </x:c>
      <x:c r="B201" s="3" t="str">
        <x:v>Who Verifies the Verifier? Co-Evolving Inspectable Graders with Self-Improving Agents</x:v>
      </x:c>
      <x:c r="C201" s="3" t="str">
        <x:v>Who Verifies the Verifier?</x:v>
      </x:c>
      <x:c r="D201" s="4" t="n">
        <x:v>2026</x:v>
      </x:c>
      <x:c r="E201" s="7" t="str">
        <x:v>https://arxiv.org/abs/2610.11464</x:v>
      </x:c>
      <x:c r="F201" s="3" t="str">
        <x:v>Amazon Web Services; HSBC</x:v>
      </x:c>
      <x:c r="G201" s="3" t="str">
        <x:v>Method</x:v>
      </x:c>
      <x:c r="H201" s="3" t="str">
        <x:v>verification</x:v>
      </x:c>
      <x:c r="I201" s="3" t="str">
        <x:v>Inspectable adaptive graders</x:v>
      </x:c>
      <x:c r="J201" s="3" t="str">
        <x:v>verification;learning</x:v>
      </x:c>
      <x:c r="K201" s="3" t="str"/>
      <x:c r="L201" s="3" t="str">
        <x:v>7.3</x:v>
      </x:c>
      <x:c r="M201" s="3" t="str">
        <x:v>让可检查的评分器随自我改进代理共同演化，研究如何持续保持验证有效。</x:v>
      </x:c>
      <x:c r="N201" s="3" t="str"/>
      <x:c r="O201" s="3" t="str"/>
      <x:c r="P201" s="3" t="str">
        <x:v>verified</x:v>
      </x:c>
      <x:c r="Q201" s="7" t="str">
        <x:v>https://arxiv.org/html/2610.11464v1</x:v>
      </x:c>
      <x:c r="R201" s="7" t="str">
        <x:v>https://arxiv.org/abs/2610.11464</x:v>
      </x:c>
      <x:c r="S201" s="3" t="str">
        <x:v>204</x:v>
      </x:c>
      <x:c r="T201" s="3" t="str">
        <x:v>survey bibliography</x:v>
      </x:c>
      <x:c r="U201" s="5" t="d">
        <x:v>2026-10-16T00:00:00.000Z</x:v>
      </x:c>
      <x:c r="V201" s="6" t="str">
        <x:v>未分配</x:v>
      </x:c>
      <x:c r="W201" s="6" t="str"/>
      <x:c r="X201" s="6" t="str"/>
      <x:c r="Y201" s="6" t="str"/>
      <x:c r="Z201" s="3" t="str">
        <x:v>论文身份与摘要已核验；分类为维护者判断。</x:v>
      </x:c>
    </x:row>
    <x:row r="202" ht="55" customHeight="1">
      <x:c r="A202" s="3" t="str">
        <x:v>WA-0205</x:v>
      </x:c>
      <x:c r="B202" s="3" t="str">
        <x:v>Case handling: a new paradigm for business process support</x:v>
      </x:c>
      <x:c r="C202" s="3" t="str">
        <x:v>Case Handling</x:v>
      </x:c>
      <x:c r="D202" s="4" t="n">
        <x:v>2005</x:v>
      </x:c>
      <x:c r="E202" s="7" t="str">
        <x:v>https://doi.org/10.1016/j.datak.2004.07.003</x:v>
      </x:c>
      <x:c r="F202" s="3" t="str">
        <x:v>Eindhoven University of Technology; Hasso Plattner Institute for Software Systems Engineering; Pallas Athena</x:v>
      </x:c>
      <x:c r="G202" s="3" t="str">
        <x:v>Background</x:v>
      </x:c>
      <x:c r="H202" s="3" t="str">
        <x:v>related</x:v>
      </x:c>
      <x:c r="I202" s="3" t="str">
        <x:v>Flexible business process support</x:v>
      </x:c>
      <x:c r="J202" s="3" t="str">
        <x:v>planning;coordination;state-management</x:v>
      </x:c>
      <x:c r="K202" s="3" t="str"/>
      <x:c r="L202" s="3" t="str">
        <x:v>7.4</x:v>
      </x:c>
      <x:c r="M202" s="3" t="str">
        <x:v>以案例数据与工作者判断组织柔性业务过程，为非固定脚本式工作流提供经典视角。</x:v>
      </x:c>
      <x:c r="N202" s="3" t="str"/>
      <x:c r="O202" s="3" t="str"/>
      <x:c r="P202" s="3" t="str">
        <x:v>verified</x:v>
      </x:c>
      <x:c r="Q202" s="7" t="str">
        <x:v>https://www.vdaalst.com/publications/p252.pdf</x:v>
      </x:c>
      <x:c r="R202" s="7" t="str">
        <x:v>https://doi.org/10.1016/j.datak.2004.07.003</x:v>
      </x:c>
      <x:c r="S202" s="3" t="str">
        <x:v>205</x:v>
      </x:c>
      <x:c r="T202" s="3" t="str">
        <x:v>survey bibliography</x:v>
      </x:c>
      <x:c r="U202" s="5" t="d">
        <x:v>2026-10-16T00:00:00.000Z</x:v>
      </x:c>
      <x:c r="V202" s="6" t="str">
        <x:v>未分配</x:v>
      </x:c>
      <x:c r="W202" s="6" t="str"/>
      <x:c r="X202" s="6" t="str"/>
      <x:c r="Y202" s="6" t="str"/>
      <x:c r="Z202" s="3" t="str">
        <x:v>单位按第一作者网站保存的论文首页核验；使用论文中的 Eindhoven 单位，未采用作者当前任职。</x:v>
      </x:c>
    </x:row>
    <x:row r="203" ht="55" customHeight="1">
      <x:c r="A203" s="3" t="str">
        <x:v>WA-0206</x:v>
      </x:c>
      <x:c r="B203" s="3" t="str">
        <x:v>Magentic-One: A Generalist Multi-Agent System for Solving Complex Tasks</x:v>
      </x:c>
      <x:c r="C203" s="3" t="str">
        <x:v>Magentic-One</x:v>
      </x:c>
      <x:c r="D203" s="4" t="n">
        <x:v>2024</x:v>
      </x:c>
      <x:c r="E203" s="7" t="str">
        <x:v>https://arxiv.org/abs/2411.04468</x:v>
      </x:c>
      <x:c r="F203" s="3" t="str">
        <x:v>Microsoft Research AI Frontiers</x:v>
      </x:c>
      <x:c r="G203" s="3" t="str">
        <x:v>Method;Framework</x:v>
      </x:c>
      <x:c r="H203" s="3" t="str">
        <x:v>harness</x:v>
      </x:c>
      <x:c r="I203" s="3" t="str">
        <x:v>Generalist multi-agent orchestration</x:v>
      </x:c>
      <x:c r="J203" s="3" t="str">
        <x:v>planning;coordination;execution;recovery</x:v>
      </x:c>
      <x:c r="K203" s="3" t="str"/>
      <x:c r="L203" s="3" t="str">
        <x:v>4.3;6.4;7.4</x:v>
      </x:c>
      <x:c r="M203" s="3" t="str">
        <x:v>由编排代理分解并追踪复杂任务，协调浏览、文件和代码执行等专用代理。</x:v>
      </x:c>
      <x:c r="N203" s="7" t="str">
        <x:v>https://github.com/microsoft/autogen</x:v>
      </x:c>
      <x:c r="O203" s="3" t="str"/>
      <x:c r="P203" s="3" t="str">
        <x:v>verified</x:v>
      </x:c>
      <x:c r="Q203" s="7" t="str">
        <x:v>https://arxiv.org/html/2411.04468v1</x:v>
      </x:c>
      <x:c r="R203" s="7" t="str">
        <x:v>https://arxiv.org/abs/2411.04468</x:v>
      </x:c>
      <x:c r="S203" s="3" t="str">
        <x:v>206</x:v>
      </x:c>
      <x:c r="T203" s="3" t="str">
        <x:v>survey bibliography</x:v>
      </x:c>
      <x:c r="U203" s="5" t="d">
        <x:v>2026-10-16T00:00:00.000Z</x:v>
      </x:c>
      <x:c r="V203" s="6" t="str">
        <x:v>未分配</x:v>
      </x:c>
      <x:c r="W203" s="6" t="str"/>
      <x:c r="X203" s="6" t="str"/>
      <x:c r="Y203" s="6" t="str"/>
      <x:c r="Z203" s="3" t="str">
        <x:v>论文身份与摘要已核验；分类为维护者判断。</x:v>
      </x:c>
    </x:row>
    <x:row r="204" ht="55" customHeight="1">
      <x:c r="A204" s="3" t="str">
        <x:v>WA-0207</x:v>
      </x:c>
      <x:c r="B204" s="3" t="str">
        <x:v>Authenticated Delegation and Authorized AI Agents</x:v>
      </x:c>
      <x:c r="C204" s="3" t="str">
        <x:v>Authenticated Delegation</x:v>
      </x:c>
      <x:c r="D204" s="4" t="n">
        <x:v>2025</x:v>
      </x:c>
      <x:c r="E204" s="7" t="str">
        <x:v>https://arxiv.org/abs/2501.09674</x:v>
      </x:c>
      <x:c r="F204" s="3" t="str">
        <x:v>MIT; University of Oxford; Harvard Law School; UC Berkeley; Centre for the Governance of AI; Stanford University</x:v>
      </x:c>
      <x:c r="G204" s="3" t="str">
        <x:v>Method;Background</x:v>
      </x:c>
      <x:c r="H204" s="3" t="str">
        <x:v>safety</x:v>
      </x:c>
      <x:c r="I204" s="3" t="str">
        <x:v>Identity and authorization</x:v>
      </x:c>
      <x:c r="J204" s="3" t="str">
        <x:v>coordination;execution</x:v>
      </x:c>
      <x:c r="K204" s="3" t="str"/>
      <x:c r="L204" s="3" t="str">
        <x:v>7.4</x:v>
      </x:c>
      <x:c r="M204" s="3" t="str">
        <x:v>探讨可认证委托与可验证授权，区分代理能力、身份和可执行权限。</x:v>
      </x:c>
      <x:c r="N204" s="3" t="str"/>
      <x:c r="O204" s="3" t="str"/>
      <x:c r="P204" s="3" t="str">
        <x:v>verified</x:v>
      </x:c>
      <x:c r="Q204" s="7" t="str">
        <x:v>https://arxiv.org/html/2501.09674v1</x:v>
      </x:c>
      <x:c r="R204" s="7" t="str">
        <x:v>https://arxiv.org/abs/2501.09674</x:v>
      </x:c>
      <x:c r="S204" s="3" t="str">
        <x:v>207</x:v>
      </x:c>
      <x:c r="T204" s="3" t="str">
        <x:v>survey bibliography</x:v>
      </x:c>
      <x:c r="U204" s="5" t="d">
        <x:v>2026-10-16T00:00:00.000Z</x:v>
      </x:c>
      <x:c r="V204" s="6" t="str">
        <x:v>未分配</x:v>
      </x:c>
      <x:c r="W204" s="6" t="str"/>
      <x:c r="X204" s="6" t="str"/>
      <x:c r="Y204" s="6" t="str"/>
      <x:c r="Z204" s="3" t="str">
        <x:v>论文身份与摘要已核验；分类为维护者判断。</x:v>
      </x:c>
    </x:row>
    <x:row r="205" ht="55" customHeight="1">
      <x:c r="A205" s="3" t="str">
        <x:v>WA-0208</x:v>
      </x:c>
      <x:c r="B205" s="3" t="str">
        <x:v>Facts Without Rules: Boundary Metadata Collapse in Multi-Agent LLM Handoffs</x:v>
      </x:c>
      <x:c r="C205" s="3" t="str">
        <x:v>Facts Without Rules</x:v>
      </x:c>
      <x:c r="D205" s="4" t="n">
        <x:v>2026</x:v>
      </x:c>
      <x:c r="E205" s="7" t="str">
        <x:v>https://arxiv.org/abs/2608.29028</x:v>
      </x:c>
      <x:c r="F205" s="3" t="str">
        <x:v>University of Illinois Urbana-Champaign</x:v>
      </x:c>
      <x:c r="G205" s="3" t="str">
        <x:v>Background;Benchmark</x:v>
      </x:c>
      <x:c r="H205" s="3" t="str">
        <x:v>safety</x:v>
      </x:c>
      <x:c r="I205" s="3" t="str">
        <x:v>Constraint loss in agent handoffs</x:v>
      </x:c>
      <x:c r="J205" s="3" t="str">
        <x:v>coordination;state-management;verification</x:v>
      </x:c>
      <x:c r="K205" s="3" t="str"/>
      <x:c r="L205" s="3" t="str">
        <x:v>7.4</x:v>
      </x:c>
      <x:c r="M205" s="3" t="str">
        <x:v>分析多代理交接保留事实却丢失边界规则的现象，强调策略元数据的传播。</x:v>
      </x:c>
      <x:c r="N205" s="7" t="str">
        <x:v>https://github.com/CrowdDynamicsLab/facts_without_rules_emnlp_2026</x:v>
      </x:c>
      <x:c r="O205" s="3" t="str"/>
      <x:c r="P205" s="3" t="str">
        <x:v>verified</x:v>
      </x:c>
      <x:c r="Q205" s="7" t="str">
        <x:v>https://arxiv.org/html/2608.29028v1</x:v>
      </x:c>
      <x:c r="R205" s="7" t="str">
        <x:v>https://arxiv.org/abs/2608.29028</x:v>
      </x:c>
      <x:c r="S205" s="3" t="str">
        <x:v>208</x:v>
      </x:c>
      <x:c r="T205" s="3" t="str">
        <x:v>survey bibliography</x:v>
      </x:c>
      <x:c r="U205" s="5" t="d">
        <x:v>2026-10-16T00:00:00.000Z</x:v>
      </x:c>
      <x:c r="V205" s="6" t="str">
        <x:v>未分配</x:v>
      </x:c>
      <x:c r="W205" s="6" t="str"/>
      <x:c r="X205" s="6" t="str"/>
      <x:c r="Y205" s="6" t="str"/>
      <x:c r="Z205" s="3" t="str">
        <x:v>论文身份与摘要已核验；分类为维护者判断。</x:v>
      </x:c>
    </x:row>
    <x:row r="206" ht="55" customHeight="1">
      <x:c r="A206" s="3" t="str">
        <x:v>WA-0209</x:v>
      </x:c>
      <x:c r="B206" s="3" t="str">
        <x:v>Ten Challenges for Making Automation a “Team Player” in Joint Human-Agent Activity</x:v>
      </x:c>
      <x:c r="C206" s="3" t="str">
        <x:v>Ten Challenges for Automation Team Players</x:v>
      </x:c>
      <x:c r="D206" s="4" t="n">
        <x:v>2004</x:v>
      </x:c>
      <x:c r="E206" s="7" t="str">
        <x:v>https://doi.org/10.1109/MIS.2004.74</x:v>
      </x:c>
      <x:c r="F206" s="3" t="str">
        <x:v>Klein Associates; Ohio State University; Institute for Human and Machine Cognition (IHMC)</x:v>
      </x:c>
      <x:c r="G206" s="3" t="str">
        <x:v>Background</x:v>
      </x:c>
      <x:c r="H206" s="3" t="str">
        <x:v>related</x:v>
      </x:c>
      <x:c r="I206" s="3" t="str">
        <x:v>Human-agent teamwork</x:v>
      </x:c>
      <x:c r="J206" s="3" t="str">
        <x:v>coordination</x:v>
      </x:c>
      <x:c r="K206" s="3" t="str"/>
      <x:c r="L206" s="3" t="str">
        <x:v>7.4</x:v>
      </x:c>
      <x:c r="M206" s="3" t="str">
        <x:v>提出自动化成为团队成员所需的共同理解、可预测性与协调挑战。</x:v>
      </x:c>
      <x:c r="N206" s="3" t="str"/>
      <x:c r="O206" s="3" t="str"/>
      <x:c r="P206" s="3" t="str">
        <x:v>verified</x:v>
      </x:c>
      <x:c r="Q206" s="7" t="str">
        <x:v>https://www.dropbox.com/scl/fo/02gb29igzc4o57sdc8tzy/ALaLsLjWrSIem38-QZz8d9I/jeffreymbradshaw/publications/17._Team_Players.pdf_1.pdf?rlkey=42yzjg49rht20423qal2w0ggj&amp;dl=1</x:v>
      </x:c>
      <x:c r="R206" s="7" t="str">
        <x:v>https://doi.org/10.1109/MIS.2004.74</x:v>
      </x:c>
      <x:c r="S206" s="3" t="str">
        <x:v>209</x:v>
      </x:c>
      <x:c r="T206" s="3" t="str">
        <x:v>survey bibliography</x:v>
      </x:c>
      <x:c r="U206" s="5" t="d">
        <x:v>2026-10-16T00:00:00.000Z</x:v>
      </x:c>
      <x:c r="V206" s="6" t="str">
        <x:v>未分配</x:v>
      </x:c>
      <x:c r="W206" s="6" t="str"/>
      <x:c r="X206" s="6" t="str"/>
      <x:c r="Y206" s="6" t="str"/>
      <x:c r="Z206" s="3" t="str">
        <x:v>从共同作者 Jeffrey M. Bradshaw 官方主页（https://jeffreymbradshaw.net/）当前 PDF 链接取得原文；单位按 2004 论文首页和第 95 页作者简介核验。旧作者网站直链已失效，现链接为作者管理的 Dropbox 存档。</x:v>
      </x:c>
    </x:row>
    <x:row r="207" ht="55" customHeight="1">
      <x:c r="A207" s="3" t="str">
        <x:v>WA-0210</x:v>
      </x:c>
      <x:c r="B207" s="3" t="str">
        <x:v>Experimental evidence on the productivity effects of generative artificial intelligence</x:v>
      </x:c>
      <x:c r="C207" s="3" t="str">
        <x:v>Productivity Effects of Generative AI</x:v>
      </x:c>
      <x:c r="D207" s="4" t="n">
        <x:v>2023</x:v>
      </x:c>
      <x:c r="E207" s="7" t="str">
        <x:v>https://doi.org/10.1126/science.adh2586</x:v>
      </x:c>
      <x:c r="F207" s="3" t="str">
        <x:v>Massachusetts Institute of Technology</x:v>
      </x:c>
      <x:c r="G207" s="3" t="str">
        <x:v>Background</x:v>
      </x:c>
      <x:c r="H207" s="3" t="str">
        <x:v>related</x:v>
      </x:c>
      <x:c r="I207" s="3" t="str">
        <x:v>Human productivity evidence</x:v>
      </x:c>
      <x:c r="J207" s="3" t="str">
        <x:v>coordination</x:v>
      </x:c>
      <x:c r="K207" s="3" t="str"/>
      <x:c r="L207" s="3" t="str">
        <x:v>7.3</x:v>
      </x:c>
      <x:c r="M207" s="3" t="str">
        <x:v>通过专业写作实验评估生成式AI对完成时间和产出质量的影响。</x:v>
      </x:c>
      <x:c r="N207" s="3" t="str"/>
      <x:c r="O207" s="3" t="str"/>
      <x:c r="P207" s="3" t="str">
        <x:v>verified</x:v>
      </x:c>
      <x:c r="Q207" s="7" t="str">
        <x:v>https://economics.mit.edu/sites/default/files/inline-files/Noy_Zhang_1.pdf</x:v>
      </x:c>
      <x:c r="R207" s="7" t="str">
        <x:v>https://doi.org/10.1126/science.adh2586</x:v>
      </x:c>
      <x:c r="S207" s="3" t="str">
        <x:v>210</x:v>
      </x:c>
      <x:c r="T207" s="3" t="str">
        <x:v>survey bibliography</x:v>
      </x:c>
      <x:c r="U207" s="5" t="d">
        <x:v>2026-10-16T00:00:00.000Z</x:v>
      </x:c>
      <x:c r="V207" s="6" t="str">
        <x:v>未分配</x:v>
      </x:c>
      <x:c r="W207" s="6" t="str"/>
      <x:c r="X207" s="6" t="str"/>
      <x:c r="Y207" s="6" t="str"/>
      <x:c r="Z207" s="3" t="str">
        <x:v>MIT 经济系保存的 2023-03-02 工作论文首页两位作者均列 MIT；2023 Science 正式版出版社提交的 Crossref 作者单位也均为 MIT 经济系（https://api.crossref.org/works/10.1126/science.adh2586）。</x:v>
      </x:c>
    </x:row>
    <x:row r="208" ht="55" customHeight="1">
      <x:c r="A208" s="3" t="str">
        <x:v>WA-0211</x:v>
      </x:c>
      <x:c r="B208" s="3" t="str">
        <x:v>Measuring the Impact of Early-2025 AI on Experienced Open-Source Developer Productivity</x:v>
      </x:c>
      <x:c r="C208" s="3" t="str">
        <x:v>METR Developer Productivity RCT</x:v>
      </x:c>
      <x:c r="D208" s="4" t="n">
        <x:v>2025</x:v>
      </x:c>
      <x:c r="E208" s="7" t="str">
        <x:v>https://arxiv.org/abs/2507.09089</x:v>
      </x:c>
      <x:c r="F208" s="3" t="str">
        <x:v>METR</x:v>
      </x:c>
      <x:c r="G208" s="3" t="str">
        <x:v>Background</x:v>
      </x:c>
      <x:c r="H208" s="3" t="str">
        <x:v>swe-science</x:v>
      </x:c>
      <x:c r="I208" s="3" t="str">
        <x:v>Real-world developer productivity</x:v>
      </x:c>
      <x:c r="J208" s="3" t="str">
        <x:v>coordination;execution</x:v>
      </x:c>
      <x:c r="K208" s="3" t="str"/>
      <x:c r="L208" s="3" t="str">
        <x:v>7.3</x:v>
      </x:c>
      <x:c r="M208" s="3" t="str">
        <x:v>随机对照研究经验开源开发者使用早期2025年AI工具的实际耗时影响。</x:v>
      </x:c>
      <x:c r="N208" s="3" t="str"/>
      <x:c r="O208" s="3" t="str"/>
      <x:c r="P208" s="3" t="str">
        <x:v>verified</x:v>
      </x:c>
      <x:c r="Q208" s="7" t="str">
        <x:v>https://arxiv.org/html/2507.09089v1</x:v>
      </x:c>
      <x:c r="R208" s="7" t="str">
        <x:v>https://arxiv.org/abs/2507.09089</x:v>
      </x:c>
      <x:c r="S208" s="3" t="str">
        <x:v>211</x:v>
      </x:c>
      <x:c r="T208" s="3" t="str">
        <x:v>survey bibliography</x:v>
      </x:c>
      <x:c r="U208" s="5" t="d">
        <x:v>2026-10-16T00:00:00.000Z</x:v>
      </x:c>
      <x:c r="V208" s="6" t="str">
        <x:v>未分配</x:v>
      </x:c>
      <x:c r="W208" s="6" t="str"/>
      <x:c r="X208" s="6" t="str"/>
      <x:c r="Y208" s="6" t="str"/>
      <x:c r="Z208" s="3" t="str">
        <x:v>PDF将Beth Barnes写为Elizabeth Barnes；作者名以arXiv当前记录为准。</x:v>
      </x:c>
    </x:row>
    <x:row r="209" ht="70" customHeight="1">
      <x:c r="A209" s="3" t="str">
        <x:v>WA-0212</x:v>
      </x:c>
      <x:c r="B209" s="3" t="str">
        <x:v>The Productivity J-Curve: How Intangibles Complement General Purpose Technologies</x:v>
      </x:c>
      <x:c r="C209" s="3" t="str">
        <x:v>Productivity J-Curve</x:v>
      </x:c>
      <x:c r="D209" s="4" t="n">
        <x:v>2018</x:v>
      </x:c>
      <x:c r="E209" s="7" t="str">
        <x:v>https://doi.org/10.1257/mac.20180386</x:v>
      </x:c>
      <x:c r="F209" s="3" t="str">
        <x:v>Stanford University; University of Pennsylvania; University of Chicago; National Bureau of Economic Research (NBER)</x:v>
      </x:c>
      <x:c r="G209" s="3" t="str">
        <x:v>Background</x:v>
      </x:c>
      <x:c r="H209" s="3" t="str">
        <x:v>related</x:v>
      </x:c>
      <x:c r="I209" s="3" t="str">
        <x:v>Organizational complements</x:v>
      </x:c>
      <x:c r="J209" s="3" t="str">
        <x:v>coordination</x:v>
      </x:c>
      <x:c r="K209" s="3" t="str"/>
      <x:c r="L209" s="3" t="str">
        <x:v>7.3</x:v>
      </x:c>
      <x:c r="M209" s="3" t="str">
        <x:v>分析通用技术与无形组织投入的互补关系，解释能力提升到生产率收益的滞后。</x:v>
      </x:c>
      <x:c r="N209" s="3" t="str"/>
      <x:c r="O209" s="3" t="str"/>
      <x:c r="P209" s="3" t="str">
        <x:v>verified</x:v>
      </x:c>
      <x:c r="Q209" s="7" t="str">
        <x:v>https://api.crossref.org/works/10.1257/mac.20180386</x:v>
      </x:c>
      <x:c r="R209" s="7" t="str">
        <x:v>https://doi.org/10.1257/mac.20180386</x:v>
      </x:c>
      <x:c r="S209" s="3" t="str">
        <x:v>212</x:v>
      </x:c>
      <x:c r="T209" s="3" t="str">
        <x:v>survey bibliography</x:v>
      </x:c>
      <x:c r="U209" s="5" t="d">
        <x:v>2026-10-16T00:00:00.000Z</x:v>
      </x:c>
      <x:c r="V209" s="6" t="str">
        <x:v>未分配</x:v>
      </x:c>
      <x:c r="W209" s="6" t="str"/>
      <x:c r="X209" s="6" t="str"/>
      <x:c r="Y209" s="6" t="str"/>
      <x:c r="Z209" s="3" t="str">
        <x:v>单位按 2021 期刊版出版社提交的 Crossref 作者单位核验。2018 NBER 工作论文的首页为 MIT Sloan、University of Chicago 及 NBER（https://ide.mit.edu/sites/default/files/publications/jcurve.pdf），不混用不同版本单位。最早工作论文为 2018，现记录 2021 是正式期刊发表年。 年份列采用已确认的最早公开工作论文年份；单位证据对应所链接的正式/更新版本。</x:v>
      </x:c>
    </x:row>
    <x:row r="210" ht="85" customHeight="1">
      <x:c r="A210" s="3" t="str">
        <x:v>WA-0213</x:v>
      </x:c>
      <x:c r="B210" s="3" t="str">
        <x:v>The interdisciplinary study of coordination</x:v>
      </x:c>
      <x:c r="C210" s="3" t="str">
        <x:v>Interdisciplinary Study of Coordination</x:v>
      </x:c>
      <x:c r="D210" s="4" t="n">
        <x:v>1993</x:v>
      </x:c>
      <x:c r="E210" s="7" t="str">
        <x:v>https://doi.org/10.1145/174666.174668</x:v>
      </x:c>
      <x:c r="F210" s="3" t="str">
        <x:v>Massachusetts Institute of Technology; University of Michigan</x:v>
      </x:c>
      <x:c r="G210" s="3" t="str">
        <x:v>Survey;Background</x:v>
      </x:c>
      <x:c r="H210" s="3" t="str">
        <x:v>related</x:v>
      </x:c>
      <x:c r="I210" s="3" t="str">
        <x:v>Coordination theory</x:v>
      </x:c>
      <x:c r="J210" s="3" t="str">
        <x:v>coordination</x:v>
      </x:c>
      <x:c r="K210" s="3" t="str"/>
      <x:c r="L210" s="3" t="str">
        <x:v>7.4</x:v>
      </x:c>
      <x:c r="M210" s="3" t="str">
        <x:v>以活动之间的依赖管理统一不同领域的协调理论，为多代理工作组织提供概念基础。</x:v>
      </x:c>
      <x:c r="N210" s="3" t="str"/>
      <x:c r="O210" s="3" t="str"/>
      <x:c r="P210" s="3" t="str">
        <x:v>verified</x:v>
      </x:c>
      <x:c r="Q210" s="7" t="str">
        <x:v>https://crowston.syr.edu/sites/default/files/acmcs94.pdf</x:v>
      </x:c>
      <x:c r="R210" s="7" t="str">
        <x:v>https://doi.org/10.1145/174666.174668</x:v>
      </x:c>
      <x:c r="S210" s="3" t="str">
        <x:v>213</x:v>
      </x:c>
      <x:c r="T210" s="3" t="str">
        <x:v>survey bibliography</x:v>
      </x:c>
      <x:c r="U210" s="5" t="d">
        <x:v>2026-10-16T00:00:00.000Z</x:v>
      </x:c>
      <x:c r="V210" s="6" t="str">
        <x:v>未分配</x:v>
      </x:c>
      <x:c r="W210" s="6" t="str"/>
      <x:c r="X210" s="6" t="str"/>
      <x:c r="Y210" s="6" t="str"/>
      <x:c r="Z210" s="3" t="str">
        <x:v>按 1994 ACM Computing Surveys 正式版首页核验：Malone 属 MIT Center for Coordination Science，Crowston 属 University of Michigan School of Business Administration。Syracuse 仅是作者当前网站保存文稿的域名，不作为该论文单位；早期 MIT 工作论文发表于 1993。 年份列采用已确认的最早公开工作论文年份；单位证据对应所链接的正式/更新版本。</x:v>
      </x:c>
    </x:row>
    <x:row r="211" ht="115" customHeight="1">
      <x:c r="A211" s="3" t="str">
        <x:v>WA-0214</x:v>
      </x:c>
      <x:c r="B211" s="3" t="str">
        <x:v>A Survey of Self-Evolving Agents: What, When, How, and Where to Evolve on the Path to Artificial Super Intelligence</x:v>
      </x:c>
      <x:c r="C211" s="3" t="str">
        <x:v>A Survey of Self-Evolving Agents</x:v>
      </x:c>
      <x:c r="D211" s="4" t="n">
        <x:v>2025</x:v>
      </x:c>
      <x:c r="E211" s="7" t="str">
        <x:v>https://arxiv.org/abs/2507.21046</x:v>
      </x:c>
      <x:c r="F211" s="3" t="str">
        <x:v>HKUST (Guangzhou); Carnegie Mellon University; UC San Diego; Shanghai Jiao Tong University; University of Illinois Urbana-Champaign; Chinese University of Hong Kong; Oregon State University; Pennsylvania State University; Princeton University; Tsinghua University; University of Sydney; University of Michigan; Fudan University; University of Hong Kong; UC Santa Barbara</x:v>
      </x:c>
      <x:c r="G211" s="3" t="str">
        <x:v>Survey</x:v>
      </x:c>
      <x:c r="H211" s="3" t="str">
        <x:v>persistent</x:v>
      </x:c>
      <x:c r="I211" s="3" t="str">
        <x:v>Self-evolving-agent survey</x:v>
      </x:c>
      <x:c r="J211" s="3" t="str">
        <x:v>learning;memory;verification</x:v>
      </x:c>
      <x:c r="K211" s="3" t="str"/>
      <x:c r="L211" s="3" t="str">
        <x:v>5;7.2</x:v>
      </x:c>
      <x:c r="M211" s="3" t="str">
        <x:v>综述代理通过经验反馈持续更新模型或外部组件的方法与挑战。</x:v>
      </x:c>
      <x:c r="N211" s="3" t="str"/>
      <x:c r="O211" s="3" t="str"/>
      <x:c r="P211" s="3" t="str">
        <x:v>verified</x:v>
      </x:c>
      <x:c r="Q211" s="7" t="str">
        <x:v>https://arxiv.org/html/2507.21046v1</x:v>
      </x:c>
      <x:c r="R211" s="7" t="str">
        <x:v>https://arxiv.org/abs/2507.21046</x:v>
      </x:c>
      <x:c r="S211" s="3" t="str"/>
      <x:c r="T211" s="3" t="str">
        <x:v>previous README / supplementary search</x:v>
      </x:c>
      <x:c r="U211" s="5" t="d">
        <x:v>2026-10-16T00:00:00.000Z</x:v>
      </x:c>
      <x:c r="V211" s="6" t="str">
        <x:v>未分配</x:v>
      </x:c>
      <x:c r="W211" s="6" t="str"/>
      <x:c r="X211" s="6" t="str"/>
      <x:c r="Y211" s="6" t="str"/>
      <x:c r="Z211" s="3" t="str">
        <x:v>新增/保留README来源；论文身份与摘要已核验；分类为维护者判断。</x:v>
      </x:c>
    </x:row>
    <x:row r="212" ht="55" customHeight="1">
      <x:c r="A212" s="3" t="str">
        <x:v>WA-0215</x:v>
      </x:c>
      <x:c r="B212" s="3" t="str">
        <x:v>A Survey on Latent Reasoning</x:v>
      </x:c>
      <x:c r="C212" s="3" t="str">
        <x:v>A Survey on Latent Reasoning</x:v>
      </x:c>
      <x:c r="D212" s="4" t="n">
        <x:v>2025</x:v>
      </x:c>
      <x:c r="E212" s="7" t="str">
        <x:v>https://arxiv.org/abs/2507.06203</x:v>
      </x:c>
      <x:c r="F212" s="3" t="str">
        <x:v>UCSC; FDU; NJU; PKU; RUC; UoM; UW-Madison; PolyU; M-A-P</x:v>
      </x:c>
      <x:c r="G212" s="3" t="str">
        <x:v>Survey</x:v>
      </x:c>
      <x:c r="H212" s="3" t="str">
        <x:v>related</x:v>
      </x:c>
      <x:c r="I212" s="3" t="str">
        <x:v>Latent reasoning background</x:v>
      </x:c>
      <x:c r="J212" s="3" t="str">
        <x:v>reasoning</x:v>
      </x:c>
      <x:c r="K212" s="3" t="str"/>
      <x:c r="L212" s="3" t="str">
        <x:v>4.2</x:v>
      </x:c>
      <x:c r="M212" s="3" t="str">
        <x:v>梳理潜在空间推理机制，为任务推理能力提供相邻研究背景。</x:v>
      </x:c>
      <x:c r="N212" s="3" t="str"/>
      <x:c r="O212" s="3" t="str"/>
      <x:c r="P212" s="3" t="str">
        <x:v>verified</x:v>
      </x:c>
      <x:c r="Q212" s="7" t="str">
        <x:v>https://arxiv.org/html/2507.06203v1</x:v>
      </x:c>
      <x:c r="R212" s="7" t="str">
        <x:v>https://arxiv.org/abs/2507.06203</x:v>
      </x:c>
      <x:c r="S212" s="3" t="str"/>
      <x:c r="T212" s="3" t="str">
        <x:v>previous README / supplementary search</x:v>
      </x:c>
      <x:c r="U212" s="5" t="d">
        <x:v>2026-10-16T00:00:00.000Z</x:v>
      </x:c>
      <x:c r="V212" s="6" t="str">
        <x:v>未分配</x:v>
      </x:c>
      <x:c r="W212" s="6" t="str"/>
      <x:c r="X212" s="6" t="str"/>
      <x:c r="Y212" s="6" t="str"/>
      <x:c r="Z212" s="3" t="str">
        <x:v>前置机构使用论文给定缩写保留，UoM等歧义不擅自展开；相邻推理综述，非数字工作直接评测。</x:v>
      </x:c>
    </x:row>
    <x:row r="213" ht="55" customHeight="1">
      <x:c r="A213" s="3" t="str">
        <x:v>WA-0218</x:v>
      </x:c>
      <x:c r="B213" s="3" t="str">
        <x:v>Automated Design of Agentic Systems</x:v>
      </x:c>
      <x:c r="C213" s="3" t="str">
        <x:v>ADAS</x:v>
      </x:c>
      <x:c r="D213" s="4" t="n">
        <x:v>2024</x:v>
      </x:c>
      <x:c r="E213" s="7" t="str">
        <x:v>https://arxiv.org/abs/2408.08435</x:v>
      </x:c>
      <x:c r="F213" s="3" t="str">
        <x:v>University of British Columbia; Vector Institute</x:v>
      </x:c>
      <x:c r="G213" s="3" t="str">
        <x:v>Method</x:v>
      </x:c>
      <x:c r="H213" s="3" t="str">
        <x:v>harness</x:v>
      </x:c>
      <x:c r="I213" s="3" t="str">
        <x:v>Automated agent design</x:v>
      </x:c>
      <x:c r="J213" s="3" t="str">
        <x:v>planning;verification;learning</x:v>
      </x:c>
      <x:c r="K213" s="3" t="str"/>
      <x:c r="L213" s="3" t="str">
        <x:v>5.3</x:v>
      </x:c>
      <x:c r="M213" s="3" t="str">
        <x:v>让元代理在代码设计空间中自动搜索和评估新的代理系统。</x:v>
      </x:c>
      <x:c r="N213" s="3" t="str"/>
      <x:c r="O213" s="3" t="str"/>
      <x:c r="P213" s="3" t="str">
        <x:v>verified</x:v>
      </x:c>
      <x:c r="Q213" s="7" t="str">
        <x:v>https://arxiv.org/html/2408.08435v1</x:v>
      </x:c>
      <x:c r="R213" s="7" t="str">
        <x:v>https://arxiv.org/abs/2408.08435</x:v>
      </x:c>
      <x:c r="S213" s="3" t="str"/>
      <x:c r="T213" s="3" t="str">
        <x:v>previous README / supplementary search</x:v>
      </x:c>
      <x:c r="U213" s="5" t="d">
        <x:v>2026-10-16T00:00:00.000Z</x:v>
      </x:c>
      <x:c r="V213" s="6" t="str">
        <x:v>未分配</x:v>
      </x:c>
      <x:c r="W213" s="6" t="str"/>
      <x:c r="X213" s="6" t="str"/>
      <x:c r="Y213" s="6" t="str"/>
      <x:c r="Z213" s="3" t="str">
        <x:v>新增/保留README来源；论文身份与摘要已核验；分类为维护者判断。</x:v>
      </x:c>
    </x:row>
    <x:row r="214" ht="55" customHeight="1">
      <x:c r="A214" s="3" t="str">
        <x:v>WA-0219</x:v>
      </x:c>
      <x:c r="B214" s="3" t="str">
        <x:v>Agent Q: Advanced Reasoning and Learning for Autonomous AI Agents</x:v>
      </x:c>
      <x:c r="C214" s="3" t="str">
        <x:v>Agent Q</x:v>
      </x:c>
      <x:c r="D214" s="4" t="n">
        <x:v>2024</x:v>
      </x:c>
      <x:c r="E214" s="7" t="str">
        <x:v>https://arxiv.org/abs/2408.07199</x:v>
      </x:c>
      <x:c r="F214" s="3" t="str">
        <x:v>The AGI Company (MultiOn); Stanford University</x:v>
      </x:c>
      <x:c r="G214" s="3" t="str">
        <x:v>Method</x:v>
      </x:c>
      <x:c r="H214" s="3" t="str">
        <x:v>computer-use</x:v>
      </x:c>
      <x:c r="I214" s="3" t="str">
        <x:v>Search and learning for web agents</x:v>
      </x:c>
      <x:c r="J214" s="3" t="str">
        <x:v>planning;execution;learning</x:v>
      </x:c>
      <x:c r="K214" s="3" t="str"/>
      <x:c r="L214" s="3" t="str">
        <x:v>4.3;5.2</x:v>
      </x:c>
      <x:c r="M214" s="3" t="str">
        <x:v>结合搜索、反馈与策略学习提高网页代理对复杂任务的执行能力。</x:v>
      </x:c>
      <x:c r="N214" s="3" t="str"/>
      <x:c r="O214" s="3" t="str"/>
      <x:c r="P214" s="3" t="str">
        <x:v>verified</x:v>
      </x:c>
      <x:c r="Q214" s="7" t="str">
        <x:v>https://arxiv.org/html/2408.07199v1</x:v>
      </x:c>
      <x:c r="R214" s="7" t="str">
        <x:v>https://arxiv.org/abs/2408.07199</x:v>
      </x:c>
      <x:c r="S214" s="3" t="str"/>
      <x:c r="T214" s="3" t="str">
        <x:v>previous README / supplementary search</x:v>
      </x:c>
      <x:c r="U214" s="5" t="d">
        <x:v>2026-10-16T00:00:00.000Z</x:v>
      </x:c>
      <x:c r="V214" s="6" t="str">
        <x:v>未分配</x:v>
      </x:c>
      <x:c r="W214" s="6" t="str"/>
      <x:c r="X214" s="6" t="str"/>
      <x:c r="Y214" s="6" t="str"/>
      <x:c r="Z214" s="3" t="str">
        <x:v>新增/保留README来源；论文身份与摘要已核验；分类为维护者判断。</x:v>
      </x:c>
    </x:row>
    <x:row r="215" ht="55" customHeight="1">
      <x:c r="A215" s="3" t="str">
        <x:v>WA-0220</x:v>
      </x:c>
      <x:c r="B215" s="3" t="str">
        <x:v>AgentBoard: An Analytical Evaluation Board of Multi-turn LLM Agents</x:v>
      </x:c>
      <x:c r="C215" s="3" t="str">
        <x:v>AgentBoard</x:v>
      </x:c>
      <x:c r="D215" s="4" t="n">
        <x:v>2024</x:v>
      </x:c>
      <x:c r="E215" s="7" t="str">
        <x:v>https://arxiv.org/abs/2401.13178</x:v>
      </x:c>
      <x:c r="F215" s="3" t="str">
        <x:v>Tsinghua University; Shanghai Jiao Tong University; Westlake University; The University of Hong Kong; HKUST; Zhejiang University</x:v>
      </x:c>
      <x:c r="G215" s="3" t="str">
        <x:v>Benchmark;Framework</x:v>
      </x:c>
      <x:c r="H215" s="3" t="str">
        <x:v>harness</x:v>
      </x:c>
      <x:c r="I215" s="3" t="str">
        <x:v>Multiturn agent diagnostics</x:v>
      </x:c>
      <x:c r="J215" s="3" t="str">
        <x:v>planning;execution;verification</x:v>
      </x:c>
      <x:c r="K215" s="3" t="str"/>
      <x:c r="L215" s="3" t="str">
        <x:v>6.1;6.4</x:v>
      </x:c>
      <x:c r="M215" s="3" t="str">
        <x:v>统一多类多轮代理任务，提供进度和行为分析以诊断最终成功率之外的差异。</x:v>
      </x:c>
      <x:c r="N215" s="3" t="str"/>
      <x:c r="O215" s="3" t="str"/>
      <x:c r="P215" s="3" t="str">
        <x:v>verified</x:v>
      </x:c>
      <x:c r="Q215" s="7" t="str">
        <x:v>https://arxiv.org/html/2401.13178v1</x:v>
      </x:c>
      <x:c r="R215" s="7" t="str">
        <x:v>https://arxiv.org/abs/2401.13178</x:v>
      </x:c>
      <x:c r="S215" s="3" t="str"/>
      <x:c r="T215" s="3" t="str">
        <x:v>previous README / supplementary search</x:v>
      </x:c>
      <x:c r="U215" s="5" t="d">
        <x:v>2026-10-16T00:00:00.000Z</x:v>
      </x:c>
      <x:c r="V215" s="6" t="str">
        <x:v>未分配</x:v>
      </x:c>
      <x:c r="W215" s="6" t="str"/>
      <x:c r="X215" s="6" t="str"/>
      <x:c r="Y215" s="6" t="str"/>
      <x:c r="Z215" s="3" t="str">
        <x:v>新增/保留README来源；论文身份与摘要已核验；分类为维护者判断。</x:v>
      </x:c>
    </x:row>
    <x:row r="216" ht="55" customHeight="1">
      <x:c r="A216" s="3" t="str">
        <x:v>WA-0221</x:v>
      </x:c>
      <x:c r="B216" s="3" t="str">
        <x:v>AgentHarm: A Benchmark for Measuring Harmfulness of LLM Agents</x:v>
      </x:c>
      <x:c r="C216" s="3" t="str">
        <x:v>AgentHarm</x:v>
      </x:c>
      <x:c r="D216" s="4" t="n">
        <x:v>2024</x:v>
      </x:c>
      <x:c r="E216" s="7" t="str">
        <x:v>https://arxiv.org/abs/2410.09024</x:v>
      </x:c>
      <x:c r="F216" s="3" t="str">
        <x:v>Gray Swan AI; UK AI Safety Institute</x:v>
      </x:c>
      <x:c r="G216" s="3" t="str">
        <x:v>Benchmark</x:v>
      </x:c>
      <x:c r="H216" s="3" t="str">
        <x:v>safety</x:v>
      </x:c>
      <x:c r="I216" s="3" t="str">
        <x:v>Harmful agent-task completion</x:v>
      </x:c>
      <x:c r="J216" s="3" t="str">
        <x:v>planning;execution;verification</x:v>
      </x:c>
      <x:c r="K216" s="3" t="str"/>
      <x:c r="L216" s="3" t="str">
        <x:v>6.1;7.4</x:v>
      </x:c>
      <x:c r="M216" s="3" t="str">
        <x:v>测试代理对多步骤有害请求的拒绝与执行行为。</x:v>
      </x:c>
      <x:c r="N216" s="3" t="str"/>
      <x:c r="O216" s="3" t="str"/>
      <x:c r="P216" s="3" t="str">
        <x:v>verified</x:v>
      </x:c>
      <x:c r="Q216" s="7" t="str">
        <x:v>https://arxiv.org/html/2410.09024v1</x:v>
      </x:c>
      <x:c r="R216" s="7" t="str">
        <x:v>https://arxiv.org/abs/2410.09024</x:v>
      </x:c>
      <x:c r="S216" s="3" t="str"/>
      <x:c r="T216" s="3" t="str">
        <x:v>previous README / supplementary search</x:v>
      </x:c>
      <x:c r="U216" s="5" t="d">
        <x:v>2026-10-16T00:00:00.000Z</x:v>
      </x:c>
      <x:c r="V216" s="6" t="str">
        <x:v>未分配</x:v>
      </x:c>
      <x:c r="W216" s="6" t="str"/>
      <x:c r="X216" s="6" t="str"/>
      <x:c r="Y216" s="6" t="str"/>
      <x:c r="Z216" s="3" t="str">
        <x:v>新增/保留README来源；论文身份与摘要已核验；分类为维护者判断。</x:v>
      </x:c>
    </x:row>
    <x:row r="217" ht="55" customHeight="1">
      <x:c r="A217" s="3" t="str">
        <x:v>WA-0222</x:v>
      </x:c>
      <x:c r="B217" s="3" t="str">
        <x:v>AgentIF-OneDay: A Task-level Instruction-Following Benchmark for General AI Agents in Daily Scenarios</x:v>
      </x:c>
      <x:c r="C217" s="3" t="str">
        <x:v>AgentIF-OneDay</x:v>
      </x:c>
      <x:c r="D217" s="4" t="n">
        <x:v>2026</x:v>
      </x:c>
      <x:c r="E217" s="7" t="str">
        <x:v>https://arxiv.org/abs/2601.20613</x:v>
      </x:c>
      <x:c r="F217" s="3" t="str">
        <x:v>xbench.org</x:v>
      </x:c>
      <x:c r="G217" s="3" t="str">
        <x:v>Benchmark</x:v>
      </x:c>
      <x:c r="H217" s="3" t="str">
        <x:v>workspace</x:v>
      </x:c>
      <x:c r="I217" s="3" t="str">
        <x:v>Task-level instruction following</x:v>
      </x:c>
      <x:c r="J217" s="3" t="str">
        <x:v>planning;execution;verification</x:v>
      </x:c>
      <x:c r="K217" s="3" t="str"/>
      <x:c r="L217" s="3" t="str">
        <x:v>6.1</x:v>
      </x:c>
      <x:c r="M217" s="3" t="str">
        <x:v>在日常代理任务中评估任务级指令遵循和细粒度要求满足程度。</x:v>
      </x:c>
      <x:c r="N217" s="3" t="str"/>
      <x:c r="O217" s="3" t="str"/>
      <x:c r="P217" s="3" t="str">
        <x:v>verified</x:v>
      </x:c>
      <x:c r="Q217" s="7" t="str">
        <x:v>https://arxiv.org/html/2601.20613v1</x:v>
      </x:c>
      <x:c r="R217" s="7" t="str">
        <x:v>https://arxiv.org/abs/2601.20613</x:v>
      </x:c>
      <x:c r="S217" s="3" t="str"/>
      <x:c r="T217" s="3" t="str">
        <x:v>previous README / supplementary search</x:v>
      </x:c>
      <x:c r="U217" s="5" t="d">
        <x:v>2026-10-16T00:00:00.000Z</x:v>
      </x:c>
      <x:c r="V217" s="6" t="str">
        <x:v>未分配</x:v>
      </x:c>
      <x:c r="W217" s="6" t="str"/>
      <x:c r="X217" s="6" t="str"/>
      <x:c r="Y217" s="6" t="str"/>
      <x:c r="Z217" s="3" t="str">
        <x:v>新增/保留README来源；论文身份与摘要已核验；分类为维护者判断。</x:v>
      </x:c>
    </x:row>
    <x:row r="218" ht="55" customHeight="1">
      <x:c r="A218" s="3" t="str">
        <x:v>WA-0223</x:v>
      </x:c>
      <x:c r="B218" s="3" t="str">
        <x:v>AgentRewardBench: Evaluating Automatic Evaluations of Web Agent Trajectories</x:v>
      </x:c>
      <x:c r="C218" s="3" t="str">
        <x:v>AgentRewardBench</x:v>
      </x:c>
      <x:c r="D218" s="4" t="n">
        <x:v>2025</x:v>
      </x:c>
      <x:c r="E218" s="7" t="str">
        <x:v>https://arxiv.org/abs/2504.08942</x:v>
      </x:c>
      <x:c r="F218" s="3" t="str">
        <x:v>McGill University; Mila; Google DeepMind; Polytechnique Montréal; ServiceNow Research</x:v>
      </x:c>
      <x:c r="G218" s="3" t="str">
        <x:v>Benchmark</x:v>
      </x:c>
      <x:c r="H218" s="3" t="str">
        <x:v>verification</x:v>
      </x:c>
      <x:c r="I218" s="3" t="str">
        <x:v>Web trajectory evaluation</x:v>
      </x:c>
      <x:c r="J218" s="3" t="str">
        <x:v>verification</x:v>
      </x:c>
      <x:c r="K218" s="3" t="str"/>
      <x:c r="L218" s="3" t="str">
        <x:v>6.3</x:v>
      </x:c>
      <x:c r="M218" s="3" t="str">
        <x:v>评价网页代理轨迹的自动评测方法，检验评分器与任务完成信号的可靠性。</x:v>
      </x:c>
      <x:c r="N218" s="3" t="str"/>
      <x:c r="O218" s="3" t="str"/>
      <x:c r="P218" s="3" t="str">
        <x:v>verified</x:v>
      </x:c>
      <x:c r="Q218" s="7" t="str">
        <x:v>https://arxiv.org/html/2504.08942v1</x:v>
      </x:c>
      <x:c r="R218" s="7" t="str">
        <x:v>https://arxiv.org/abs/2504.08942</x:v>
      </x:c>
      <x:c r="S218" s="3" t="str"/>
      <x:c r="T218" s="3" t="str">
        <x:v>previous README / supplementary search</x:v>
      </x:c>
      <x:c r="U218" s="5" t="d">
        <x:v>2026-10-16T00:00:00.000Z</x:v>
      </x:c>
      <x:c r="V218" s="6" t="str">
        <x:v>未分配</x:v>
      </x:c>
      <x:c r="W218" s="6" t="str"/>
      <x:c r="X218" s="6" t="str"/>
      <x:c r="Y218" s="6" t="str"/>
      <x:c r="Z218" s="3" t="str">
        <x:v>新增/保留README来源；论文身份与摘要已核验；分类为维护者判断。</x:v>
      </x:c>
    </x:row>
    <x:row r="219" ht="55" customHeight="1">
      <x:c r="A219" s="3" t="str">
        <x:v>WA-0224</x:v>
      </x:c>
      <x:c r="B219" s="3" t="str">
        <x:v>AgentSquare: Automatic LLM Agent Search in Modular Design Space</x:v>
      </x:c>
      <x:c r="C219" s="3" t="str">
        <x:v>AgentSquare</x:v>
      </x:c>
      <x:c r="D219" s="4" t="n">
        <x:v>2024</x:v>
      </x:c>
      <x:c r="E219" s="7" t="str">
        <x:v>https://arxiv.org/abs/2410.06153</x:v>
      </x:c>
      <x:c r="F219" s="3" t="str">
        <x:v>Tsinghua University</x:v>
      </x:c>
      <x:c r="G219" s="3" t="str">
        <x:v>Method</x:v>
      </x:c>
      <x:c r="H219" s="3" t="str">
        <x:v>harness</x:v>
      </x:c>
      <x:c r="I219" s="3" t="str">
        <x:v>Modular agent search</x:v>
      </x:c>
      <x:c r="J219" s="3" t="str">
        <x:v>planning;learning;verification</x:v>
      </x:c>
      <x:c r="K219" s="3" t="str"/>
      <x:c r="L219" s="3" t="str">
        <x:v>5.3</x:v>
      </x:c>
      <x:c r="M219" s="3" t="str">
        <x:v>在模块化设计空间中自动搜索代理结构与组件组合。</x:v>
      </x:c>
      <x:c r="N219" s="3" t="str"/>
      <x:c r="O219" s="3" t="str"/>
      <x:c r="P219" s="3" t="str">
        <x:v>verified</x:v>
      </x:c>
      <x:c r="Q219" s="7" t="str">
        <x:v>https://arxiv.org/html/2410.06153v1</x:v>
      </x:c>
      <x:c r="R219" s="7" t="str">
        <x:v>https://arxiv.org/abs/2410.06153</x:v>
      </x:c>
      <x:c r="S219" s="3" t="str"/>
      <x:c r="T219" s="3" t="str">
        <x:v>previous README / supplementary search</x:v>
      </x:c>
      <x:c r="U219" s="5" t="d">
        <x:v>2026-10-16T00:00:00.000Z</x:v>
      </x:c>
      <x:c r="V219" s="6" t="str">
        <x:v>未分配</x:v>
      </x:c>
      <x:c r="W219" s="6" t="str"/>
      <x:c r="X219" s="6" t="str"/>
      <x:c r="Y219" s="6" t="str"/>
      <x:c r="Z219" s="3" t="str">
        <x:v>新增/保留README来源；论文身份与摘要已核验；分类为维护者判断。</x:v>
      </x:c>
    </x:row>
    <x:row r="220" ht="55" customHeight="1">
      <x:c r="A220" s="3" t="str">
        <x:v>WA-0225</x:v>
      </x:c>
      <x:c r="B220" s="3" t="str">
        <x:v>Agents' Last Exam</x:v>
      </x:c>
      <x:c r="C220" s="3" t="str">
        <x:v>Agents’ Last Exam</x:v>
      </x:c>
      <x:c r="D220" s="4" t="n">
        <x:v>2026</x:v>
      </x:c>
      <x:c r="E220" s="7" t="str">
        <x:v>https://arxiv.org/abs/2606.05405</x:v>
      </x:c>
      <x:c r="F220" s="3" t="str">
        <x:v>UC Berkeley RDI (lead institution; collaborating experts from other institutions)</x:v>
      </x:c>
      <x:c r="G220" s="3" t="str">
        <x:v>Benchmark</x:v>
      </x:c>
      <x:c r="H220" s="3" t="str">
        <x:v>workspace</x:v>
      </x:c>
      <x:c r="I220" s="3" t="str">
        <x:v>Long-horizon professional work</x:v>
      </x:c>
      <x:c r="J220" s="3" t="str">
        <x:v>planning;execution;verification</x:v>
      </x:c>
      <x:c r="K220" s="3" t="str"/>
      <x:c r="L220" s="3" t="str">
        <x:v>6.1</x:v>
      </x:c>
      <x:c r="M220" s="3" t="str">
        <x:v>用经济上有意义的复杂工作检验通用代理能否完成专业交付。</x:v>
      </x:c>
      <x:c r="N220" s="3" t="str"/>
      <x:c r="O220" s="3" t="str"/>
      <x:c r="P220" s="3" t="str">
        <x:v>verified</x:v>
      </x:c>
      <x:c r="Q220" s="7" t="str">
        <x:v>https://rdi.berkeley.edu/blog/agents-last-exam/</x:v>
      </x:c>
      <x:c r="R220" s="7" t="str">
        <x:v>https://arxiv.org/abs/2606.05405</x:v>
      </x:c>
      <x:c r="S220" s="3" t="str"/>
      <x:c r="T220" s="3" t="str">
        <x:v>previous README / supplementary search</x:v>
      </x:c>
      <x:c r="U220" s="5" t="d">
        <x:v>2026-10-16T00:00:00.000Z</x:v>
      </x:c>
      <x:c r="V220" s="6" t="str">
        <x:v>未分配</x:v>
      </x:c>
      <x:c r="W220" s="6" t="str"/>
      <x:c r="X220" s="6" t="str"/>
      <x:c r="Y220" s="6" t="str"/>
      <x:c r="Z220" s="3" t="str">
        <x:v>官方Berkeley RDI项目发布明确署名UC Berkeley RDI并链接此arXiv论文；机构字段记录牵头机构，不声称穷尽大量外部专家单位。ALE覆盖实际职业工作，ALE-CLI仅为其CLI子集。</x:v>
      </x:c>
    </x:row>
    <x:row r="221" ht="55" customHeight="1">
      <x:c r="A221" s="3" t="str">
        <x:v>WA-0226</x:v>
      </x:c>
      <x:c r="B221" s="3" t="str">
        <x:v>AgentTrek: Agent Trajectory Synthesis via Guiding Replay with Web Tutorials</x:v>
      </x:c>
      <x:c r="C221" s="3" t="str">
        <x:v>AgentTrek</x:v>
      </x:c>
      <x:c r="D221" s="4" t="n">
        <x:v>2024</x:v>
      </x:c>
      <x:c r="E221" s="7" t="str">
        <x:v>https://arxiv.org/abs/2412.09605</x:v>
      </x:c>
      <x:c r="F221" s="3" t="str">
        <x:v>University of Hong Kong; Salesforce Research</x:v>
      </x:c>
      <x:c r="G221" s="3" t="str">
        <x:v>Method;Framework</x:v>
      </x:c>
      <x:c r="H221" s="3" t="str">
        <x:v>computer-use</x:v>
      </x:c>
      <x:c r="I221" s="3" t="str">
        <x:v>Web data for agent training</x:v>
      </x:c>
      <x:c r="J221" s="3" t="str">
        <x:v>planning;execution;learning</x:v>
      </x:c>
      <x:c r="K221" s="3" t="str"/>
      <x:c r="L221" s="3" t="str">
        <x:v>5.1</x:v>
      </x:c>
      <x:c r="M221" s="3" t="str">
        <x:v>从网页教程自动构建任务并生成交互轨迹，为计算机代理训练提供规模化数据。</x:v>
      </x:c>
      <x:c r="N221" s="3" t="str"/>
      <x:c r="O221" s="3" t="str"/>
      <x:c r="P221" s="3" t="str">
        <x:v>verified</x:v>
      </x:c>
      <x:c r="Q221" s="7" t="str">
        <x:v>https://arxiv.org/html/2412.09605v1</x:v>
      </x:c>
      <x:c r="R221" s="7" t="str">
        <x:v>https://arxiv.org/abs/2412.09605</x:v>
      </x:c>
      <x:c r="S221" s="3" t="str"/>
      <x:c r="T221" s="3" t="str">
        <x:v>previous README / supplementary search</x:v>
      </x:c>
      <x:c r="U221" s="5" t="d">
        <x:v>2026-10-16T00:00:00.000Z</x:v>
      </x:c>
      <x:c r="V221" s="6" t="str">
        <x:v>未分配</x:v>
      </x:c>
      <x:c r="W221" s="6" t="str"/>
      <x:c r="X221" s="6" t="str"/>
      <x:c r="Y221" s="6" t="str"/>
      <x:c r="Z221" s="3" t="str">
        <x:v>新增/保留README来源；论文身份与摘要已核验；分类为维护者判断。</x:v>
      </x:c>
    </x:row>
    <x:row r="222" ht="55" customHeight="1">
      <x:c r="A222" s="3" t="str">
        <x:v>WA-0227</x:v>
      </x:c>
      <x:c r="B222" s="3" t="str">
        <x:v>APEX-Agents</x:v>
      </x:c>
      <x:c r="C222" s="3" t="str">
        <x:v>APEX-Agents</x:v>
      </x:c>
      <x:c r="D222" s="4" t="n">
        <x:v>2026</x:v>
      </x:c>
      <x:c r="E222" s="7" t="str">
        <x:v>https://arxiv.org/abs/2601.14242</x:v>
      </x:c>
      <x:c r="F222" s="3" t="str">
        <x:v>Mercor</x:v>
      </x:c>
      <x:c r="G222" s="3" t="str">
        <x:v>Benchmark</x:v>
      </x:c>
      <x:c r="H222" s="3" t="str">
        <x:v>workspace</x:v>
      </x:c>
      <x:c r="I222" s="3" t="str">
        <x:v>Professional-services workflows</x:v>
      </x:c>
      <x:c r="J222" s="3" t="str">
        <x:v>reasoning;planning;execution;verification</x:v>
      </x:c>
      <x:c r="K222" s="3" t="str"/>
      <x:c r="L222" s="3" t="str">
        <x:v>6.1</x:v>
      </x:c>
      <x:c r="M222" s="3" t="str">
        <x:v>覆盖投行、咨询与公司法务中的长程跨应用工作，以真实专业交付标准验收。</x:v>
      </x:c>
      <x:c r="N222" s="3" t="str"/>
      <x:c r="O222" s="7" t="str">
        <x:v>https://huggingface.co/datasets/mercor/apex-agents</x:v>
      </x:c>
      <x:c r="P222" s="3" t="str">
        <x:v>verified</x:v>
      </x:c>
      <x:c r="Q222" s="7" t="str">
        <x:v>https://arxiv.org/html/2601.14242v1</x:v>
      </x:c>
      <x:c r="R222" s="7" t="str">
        <x:v>https://arxiv.org/abs/2601.14242</x:v>
      </x:c>
      <x:c r="S222" s="3" t="str"/>
      <x:c r="T222" s="3" t="str">
        <x:v>previous README / supplementary search</x:v>
      </x:c>
      <x:c r="U222" s="5" t="d">
        <x:v>2026-10-16T00:00:00.000Z</x:v>
      </x:c>
      <x:c r="V222" s="6" t="str">
        <x:v>未分配</x:v>
      </x:c>
      <x:c r="W222" s="6" t="str"/>
      <x:c r="X222" s="6" t="str"/>
      <x:c r="Y222" s="6" t="str"/>
      <x:c r="Z222" s="3" t="str">
        <x:v>原README标2025且gated；论文首发2026年1月，发布方称公开基准；以当前数据卡权限为准。</x:v>
      </x:c>
    </x:row>
    <x:row r="223" ht="55" customHeight="1">
      <x:c r="A223" s="3" t="str">
        <x:v>WA-0228</x:v>
      </x:c>
      <x:c r="B223" s="3" t="str">
        <x:v>AssistantBench: Can Web Agents Solve Realistic and Time-Consuming Tasks?</x:v>
      </x:c>
      <x:c r="C223" s="3" t="str">
        <x:v>AssistantBench</x:v>
      </x:c>
      <x:c r="D223" s="4" t="n">
        <x:v>2024</x:v>
      </x:c>
      <x:c r="E223" s="7" t="str">
        <x:v>https://arxiv.org/abs/2407.15711</x:v>
      </x:c>
      <x:c r="F223" s="3" t="str">
        <x:v>Tel Aviv University; University of Pennsylvania; Allen Institute for AI; University of Washington; Princeton University</x:v>
      </x:c>
      <x:c r="G223" s="3" t="str">
        <x:v>Benchmark</x:v>
      </x:c>
      <x:c r="H223" s="3" t="str">
        <x:v>related</x:v>
      </x:c>
      <x:c r="I223" s="3" t="str">
        <x:v>Realistic web research</x:v>
      </x:c>
      <x:c r="J223" s="3" t="str">
        <x:v>perception;reasoning;planning</x:v>
      </x:c>
      <x:c r="K223" s="3" t="str"/>
      <x:c r="L223" s="3" t="str">
        <x:v>6.1</x:v>
      </x:c>
      <x:c r="M223" s="3" t="str">
        <x:v>收集真实且耗时的网页研究问题，检验跨网页信息整合和答案可靠性。</x:v>
      </x:c>
      <x:c r="N223" s="3" t="str"/>
      <x:c r="O223" s="3" t="str"/>
      <x:c r="P223" s="3" t="str">
        <x:v>verified</x:v>
      </x:c>
      <x:c r="Q223" s="7" t="str">
        <x:v>https://arxiv.org/html/2407.15711v1</x:v>
      </x:c>
      <x:c r="R223" s="7" t="str">
        <x:v>https://arxiv.org/abs/2407.15711</x:v>
      </x:c>
      <x:c r="S223" s="3" t="str"/>
      <x:c r="T223" s="3" t="str">
        <x:v>previous README / supplementary search</x:v>
      </x:c>
      <x:c r="U223" s="5" t="d">
        <x:v>2026-10-16T00:00:00.000Z</x:v>
      </x:c>
      <x:c r="V223" s="6" t="str">
        <x:v>未分配</x:v>
      </x:c>
      <x:c r="W223" s="6" t="str"/>
      <x:c r="X223" s="6" t="str"/>
      <x:c r="Y223" s="6" t="str"/>
      <x:c r="Z223" s="3" t="str">
        <x:v>由workspace移至Related：答案型网页研究，不直接验证最终工作文件。</x:v>
      </x:c>
    </x:row>
    <x:row r="224" ht="55" customHeight="1">
      <x:c r="A224" s="3" t="str">
        <x:v>WA-0229</x:v>
      </x:c>
      <x:c r="B224" s="3" t="str">
        <x:v>AutomationBench</x:v>
      </x:c>
      <x:c r="C224" s="3" t="str">
        <x:v>AutomationBench (Zapier)</x:v>
      </x:c>
      <x:c r="D224" s="4" t="n">
        <x:v>2026</x:v>
      </x:c>
      <x:c r="E224" s="7" t="str">
        <x:v>https://arxiv.org/abs/2604.18934</x:v>
      </x:c>
      <x:c r="F224" s="3" t="str">
        <x:v>Zapier</x:v>
      </x:c>
      <x:c r="G224" s="3" t="str">
        <x:v>Benchmark</x:v>
      </x:c>
      <x:c r="H224" s="3" t="str">
        <x:v>tool-enterprise</x:v>
      </x:c>
      <x:c r="I224" s="3" t="str">
        <x:v>Cross-app REST workflows</x:v>
      </x:c>
      <x:c r="J224" s="3" t="str">
        <x:v>planning;execution;state-management;verification</x:v>
      </x:c>
      <x:c r="K224" s="3" t="str"/>
      <x:c r="L224" s="3" t="str">
        <x:v>6.1</x:v>
      </x:c>
      <x:c r="M224" s="3" t="str">
        <x:v>要求代理自主发现API并遵循业务策略，在多个SaaS系统中完成最终状态正确的工作流。</x:v>
      </x:c>
      <x:c r="N224" s="7" t="str">
        <x:v>https://github.com/zapier/AutomationBench</x:v>
      </x:c>
      <x:c r="O224" s="3" t="str"/>
      <x:c r="P224" s="3" t="str">
        <x:v>verified</x:v>
      </x:c>
      <x:c r="Q224" s="7" t="str">
        <x:v>https://arxiv.org/html/2604.18934v1</x:v>
      </x:c>
      <x:c r="R224" s="7" t="str">
        <x:v>https://arxiv.org/abs/2604.18934</x:v>
      </x:c>
      <x:c r="S224" s="3" t="str"/>
      <x:c r="T224" s="3" t="str">
        <x:v>previous README / supplementary search</x:v>
      </x:c>
      <x:c r="U224" s="5" t="d">
        <x:v>2026-10-16T00:00:00.000Z</x:v>
      </x:c>
      <x:c r="V224" s="6" t="str">
        <x:v>未分配</x:v>
      </x:c>
      <x:c r="W224" s="6" t="str"/>
      <x:c r="X224" s="6" t="str"/>
      <x:c r="Y224" s="6" t="str"/>
      <x:c r="Z224" s="3" t="str">
        <x:v>原README将UpstageShareSpace镜像发布方误作作者单位。该数据卡明确溯源Zapier AutomationBench，已按同一基准合并；首发论文为2026。</x:v>
      </x:c>
    </x:row>
    <x:row r="225" ht="55" customHeight="1">
      <x:c r="A225" s="3" t="str">
        <x:v>WA-0230</x:v>
      </x:c>
      <x:c r="B225" s="3" t="str">
        <x:v>AutoPresent: Designing Structured Visuals from Scratch</x:v>
      </x:c>
      <x:c r="C225" s="3" t="str">
        <x:v>AutoPresent / SlidesBench</x:v>
      </x:c>
      <x:c r="D225" s="4" t="n">
        <x:v>2025</x:v>
      </x:c>
      <x:c r="E225" s="7" t="str">
        <x:v>https://arxiv.org/abs/2501.00912</x:v>
      </x:c>
      <x:c r="F225" s="3" t="str">
        <x:v>UC Berkeley; Carnegie Mellon University</x:v>
      </x:c>
      <x:c r="G225" s="3" t="str">
        <x:v>Method;Benchmark</x:v>
      </x:c>
      <x:c r="H225" s="3" t="str">
        <x:v>artifact</x:v>
      </x:c>
      <x:c r="I225" s="3" t="str">
        <x:v>Programmatic presentation generation</x:v>
      </x:c>
      <x:c r="J225" s="3" t="str">
        <x:v>planning;execution;learning;verification</x:v>
      </x:c>
      <x:c r="K225" s="3" t="str"/>
      <x:c r="L225" s="3" t="str">
        <x:v>4.4;6.1</x:v>
      </x:c>
      <x:c r="M225" s="3" t="str">
        <x:v>用指令到演示文稿代码生成训练AutoPresent，并以SlidesBench检验布局与视觉质量。</x:v>
      </x:c>
      <x:c r="N225" s="7" t="str">
        <x:v>https://github.com/para-lost/AutoPresent</x:v>
      </x:c>
      <x:c r="O225" s="3" t="str"/>
      <x:c r="P225" s="3" t="str">
        <x:v>verified</x:v>
      </x:c>
      <x:c r="Q225" s="7" t="str">
        <x:v>https://arxiv.org/html/2501.00912v1</x:v>
      </x:c>
      <x:c r="R225" s="7" t="str">
        <x:v>https://arxiv.org/abs/2501.00912</x:v>
      </x:c>
      <x:c r="S225" s="3" t="str"/>
      <x:c r="T225" s="3" t="str">
        <x:v>previous README / supplementary search</x:v>
      </x:c>
      <x:c r="U225" s="5" t="d">
        <x:v>2026-10-16T00:00:00.000Z</x:v>
      </x:c>
      <x:c r="V225" s="6" t="str">
        <x:v>未分配</x:v>
      </x:c>
      <x:c r="W225" s="6" t="str"/>
      <x:c r="X225" s="6" t="str"/>
      <x:c r="Y225" s="6" t="str"/>
      <x:c r="Z225" s="3" t="str">
        <x:v>新增/保留README来源；论文身份与摘要已核验；分类为维护者判断。</x:v>
      </x:c>
    </x:row>
    <x:row r="226" ht="55" customHeight="1">
      <x:c r="A226" s="3" t="str">
        <x:v>WA-0231</x:v>
      </x:c>
      <x:c r="B226" s="3" t="str">
        <x:v>BankerToolBench: Evaluating AI Agents in End-to-End Investment Banking Workflows</x:v>
      </x:c>
      <x:c r="C226" s="3" t="str">
        <x:v>BankerToolBench</x:v>
      </x:c>
      <x:c r="D226" s="4" t="n">
        <x:v>2026</x:v>
      </x:c>
      <x:c r="E226" s="7" t="str">
        <x:v>https://arxiv.org/abs/2604.11304</x:v>
      </x:c>
      <x:c r="F226" s="3" t="str">
        <x:v>Handshake AI; McGill University</x:v>
      </x:c>
      <x:c r="G226" s="3" t="str">
        <x:v>Benchmark</x:v>
      </x:c>
      <x:c r="H226" s="3" t="str">
        <x:v>workspace</x:v>
      </x:c>
      <x:c r="I226" s="3" t="str">
        <x:v>Investment banking deliverables</x:v>
      </x:c>
      <x:c r="J226" s="3" t="str">
        <x:v>perception;reasoning;planning;execution</x:v>
      </x:c>
      <x:c r="K226" s="3" t="str"/>
      <x:c r="L226" s="3" t="str">
        <x:v>6.1</x:v>
      </x:c>
      <x:c r="M226" s="3" t="str">
        <x:v>在投行数据室中导航资料与工具，完成财务模型、演示文稿及报告等成套交付。</x:v>
      </x:c>
      <x:c r="N226" s="7" t="str">
        <x:v>https://github.com/Handshake-AI-Research/bankertoolbench</x:v>
      </x:c>
      <x:c r="O226" s="3" t="str"/>
      <x:c r="P226" s="3" t="str">
        <x:v>verified</x:v>
      </x:c>
      <x:c r="Q226" s="7" t="str">
        <x:v>https://arxiv.org/html/2604.11304v1</x:v>
      </x:c>
      <x:c r="R226" s="7" t="str">
        <x:v>https://arxiv.org/abs/2604.11304</x:v>
      </x:c>
      <x:c r="S226" s="3" t="str"/>
      <x:c r="T226" s="3" t="str">
        <x:v>previous README / supplementary search</x:v>
      </x:c>
      <x:c r="U226" s="5" t="d">
        <x:v>2026-10-16T00:00:00.000Z</x:v>
      </x:c>
      <x:c r="V226" s="6" t="str">
        <x:v>未分配</x:v>
      </x:c>
      <x:c r="W226" s="6" t="str"/>
      <x:c r="X226" s="6" t="str"/>
      <x:c r="Y226" s="6" t="str"/>
      <x:c r="Z226" s="3" t="str">
        <x:v>新增/保留README来源；论文身份与摘要已核验；分类为维护者判断。</x:v>
      </x:c>
    </x:row>
    <x:row r="227" ht="55" customHeight="1">
      <x:c r="A227" s="3" t="str">
        <x:v>WA-0233</x:v>
      </x:c>
      <x:c r="B227" s="3" t="str">
        <x:v>BlueFin: Benchmarking LLM Agents on Financial Spreadsheets</x:v>
      </x:c>
      <x:c r="C227" s="3" t="str">
        <x:v>BlueFin</x:v>
      </x:c>
      <x:c r="D227" s="4" t="n">
        <x:v>2026</x:v>
      </x:c>
      <x:c r="E227" s="7" t="str">
        <x:v>https://arxiv.org/abs/2605.30907</x:v>
      </x:c>
      <x:c r="F227" s="3" t="str">
        <x:v>Longitude Labs; Cornell University; Carnegie Mellon University</x:v>
      </x:c>
      <x:c r="G227" s="3" t="str">
        <x:v>Benchmark</x:v>
      </x:c>
      <x:c r="H227" s="3" t="str">
        <x:v>artifact</x:v>
      </x:c>
      <x:c r="I227" s="3" t="str">
        <x:v>Financial spreadsheets</x:v>
      </x:c>
      <x:c r="J227" s="3" t="str">
        <x:v>reasoning;execution;verification</x:v>
      </x:c>
      <x:c r="K227" s="3" t="str"/>
      <x:c r="L227" s="3" t="str">
        <x:v>6.1</x:v>
      </x:c>
      <x:c r="M227" s="3" t="str">
        <x:v>用金融电子表格任务检验代理生成与编辑可用工作簿的能力。</x:v>
      </x:c>
      <x:c r="N227" s="3" t="str"/>
      <x:c r="O227" s="3" t="str"/>
      <x:c r="P227" s="3" t="str">
        <x:v>verified</x:v>
      </x:c>
      <x:c r="Q227" s="7" t="str">
        <x:v>https://arxiv.org/html/2605.30907v1</x:v>
      </x:c>
      <x:c r="R227" s="7" t="str">
        <x:v>https://arxiv.org/abs/2605.30907</x:v>
      </x:c>
      <x:c r="S227" s="3" t="str"/>
      <x:c r="T227" s="3" t="str">
        <x:v>previous README / supplementary search</x:v>
      </x:c>
      <x:c r="U227" s="5" t="d">
        <x:v>2026-10-16T00:00:00.000Z</x:v>
      </x:c>
      <x:c r="V227" s="6" t="str">
        <x:v>未分配</x:v>
      </x:c>
      <x:c r="W227" s="6" t="str"/>
      <x:c r="X227" s="6" t="str"/>
      <x:c r="Y227" s="6" t="str"/>
      <x:c r="Z227" s="3" t="str">
        <x:v>新增/保留README来源；论文身份与摘要已核验；分类为维护者判断。</x:v>
      </x:c>
    </x:row>
    <x:row r="228" ht="55" customHeight="1">
      <x:c r="A228" s="3" t="str">
        <x:v>WA-0234</x:v>
      </x:c>
      <x:c r="B228" s="3" t="str">
        <x:v>BrowseComp: A Simple Yet Challenging Benchmark for Browsing Agents</x:v>
      </x:c>
      <x:c r="C228" s="3" t="str">
        <x:v>BrowseComp</x:v>
      </x:c>
      <x:c r="D228" s="4" t="n">
        <x:v>2025</x:v>
      </x:c>
      <x:c r="E228" s="7" t="str">
        <x:v>https://arxiv.org/abs/2504.12516</x:v>
      </x:c>
      <x:c r="F228" s="3" t="str">
        <x:v>OpenAI</x:v>
      </x:c>
      <x:c r="G228" s="3" t="str">
        <x:v>Benchmark</x:v>
      </x:c>
      <x:c r="H228" s="3" t="str">
        <x:v>related</x:v>
      </x:c>
      <x:c r="I228" s="3" t="str">
        <x:v>Challenging web browsing</x:v>
      </x:c>
      <x:c r="J228" s="3" t="str">
        <x:v>perception;reasoning;planning</x:v>
      </x:c>
      <x:c r="K228" s="3" t="str"/>
      <x:c r="L228" s="3" t="str">
        <x:v>6.1</x:v>
      </x:c>
      <x:c r="M228" s="3" t="str">
        <x:v>用难以直接检索的短答案问题测试持续浏览和信息发现能力。</x:v>
      </x:c>
      <x:c r="N228" s="3" t="str"/>
      <x:c r="O228" s="3" t="str"/>
      <x:c r="P228" s="3" t="str">
        <x:v>verified</x:v>
      </x:c>
      <x:c r="Q228" s="7" t="str">
        <x:v>https://arxiv.org/html/2504.12516v1</x:v>
      </x:c>
      <x:c r="R228" s="7" t="str">
        <x:v>https://arxiv.org/abs/2504.12516</x:v>
      </x:c>
      <x:c r="S228" s="3" t="str"/>
      <x:c r="T228" s="3" t="str">
        <x:v>previous README / supplementary search</x:v>
      </x:c>
      <x:c r="U228" s="5" t="d">
        <x:v>2026-10-16T00:00:00.000Z</x:v>
      </x:c>
      <x:c r="V228" s="6" t="str">
        <x:v>未分配</x:v>
      </x:c>
      <x:c r="W228" s="6" t="str"/>
      <x:c r="X228" s="6" t="str"/>
      <x:c r="Y228" s="6" t="str"/>
      <x:c r="Z228" s="3" t="str">
        <x:v>由workspace移至Related：最终短答案评估。</x:v>
      </x:c>
    </x:row>
    <x:row r="229" ht="55" customHeight="1">
      <x:c r="A229" s="3" t="str">
        <x:v>WA-0235</x:v>
      </x:c>
      <x:c r="B229" s="3" t="str">
        <x:v>CAMEL: Communicative Agents for "Mind" Exploration of Large Language Model Society</x:v>
      </x:c>
      <x:c r="C229" s="3" t="str">
        <x:v>CAMEL</x:v>
      </x:c>
      <x:c r="D229" s="4" t="n">
        <x:v>2023</x:v>
      </x:c>
      <x:c r="E229" s="7" t="str">
        <x:v>https://arxiv.org/abs/2303.17760</x:v>
      </x:c>
      <x:c r="F229" s="3" t="str">
        <x:v>KAUST</x:v>
      </x:c>
      <x:c r="G229" s="3" t="str">
        <x:v>Method;Framework</x:v>
      </x:c>
      <x:c r="H229" s="3" t="str">
        <x:v>harness</x:v>
      </x:c>
      <x:c r="I229" s="3" t="str">
        <x:v>Role-playing multi-agent cooperation</x:v>
      </x:c>
      <x:c r="J229" s="3" t="str">
        <x:v>coordination;execution</x:v>
      </x:c>
      <x:c r="K229" s="3" t="str"/>
      <x:c r="L229" s="3" t="str">
        <x:v>4.3;6.4</x:v>
      </x:c>
      <x:c r="M229" s="3" t="str">
        <x:v>通过角色扮演与任务驱动对话组织多代理协作并生成协作数据。</x:v>
      </x:c>
      <x:c r="N229" s="3" t="str"/>
      <x:c r="O229" s="3" t="str"/>
      <x:c r="P229" s="3" t="str">
        <x:v>verified</x:v>
      </x:c>
      <x:c r="Q229" s="7" t="str">
        <x:v>https://arxiv.org/html/2303.17760v1</x:v>
      </x:c>
      <x:c r="R229" s="7" t="str">
        <x:v>https://arxiv.org/abs/2303.17760</x:v>
      </x:c>
      <x:c r="S229" s="3" t="str"/>
      <x:c r="T229" s="3" t="str">
        <x:v>previous README / supplementary search</x:v>
      </x:c>
      <x:c r="U229" s="5" t="d">
        <x:v>2026-10-16T00:00:00.000Z</x:v>
      </x:c>
      <x:c r="V229" s="6" t="str">
        <x:v>未分配</x:v>
      </x:c>
      <x:c r="W229" s="6" t="str"/>
      <x:c r="X229" s="6" t="str"/>
      <x:c r="Y229" s="6" t="str"/>
      <x:c r="Z229" s="3" t="str">
        <x:v>新增/保留README来源；论文身份与摘要已核验；分类为维护者判断。</x:v>
      </x:c>
    </x:row>
    <x:row r="230" ht="55" customHeight="1">
      <x:c r="A230" s="3" t="str">
        <x:v>WA-0236</x:v>
      </x:c>
      <x:c r="B230" s="3" t="str">
        <x:v>CentaurBench: Benchmarking LLM Capabilities on Augmenting vs. Automating Real-World Work Tasks</x:v>
      </x:c>
      <x:c r="C230" s="3" t="str">
        <x:v>CentaurBench</x:v>
      </x:c>
      <x:c r="D230" s="4" t="n">
        <x:v>2026</x:v>
      </x:c>
      <x:c r="E230" s="7" t="str">
        <x:v>https://arxiv.org/abs/2608.18554</x:v>
      </x:c>
      <x:c r="F230" s="3" t="str">
        <x:v>UC Berkeley; NBER</x:v>
      </x:c>
      <x:c r="G230" s="3" t="str">
        <x:v>Benchmark</x:v>
      </x:c>
      <x:c r="H230" s="3" t="str">
        <x:v>workspace</x:v>
      </x:c>
      <x:c r="I230" s="3" t="str">
        <x:v>Human augmentation versus automation</x:v>
      </x:c>
      <x:c r="J230" s="3" t="str">
        <x:v>reasoning;coordination</x:v>
      </x:c>
      <x:c r="K230" s="3" t="str"/>
      <x:c r="L230" s="3" t="str">
        <x:v>6.1;7.3</x:v>
      </x:c>
      <x:c r="M230" s="3" t="str">
        <x:v>比较代理独立自动化与辅助人类两类任务，避免将自主分数等同于人机协作价值。</x:v>
      </x:c>
      <x:c r="N230" s="7" t="str">
        <x:v>https://github.com/kennywong524/best-player-not-best-coach</x:v>
      </x:c>
      <x:c r="O230" s="3" t="str"/>
      <x:c r="P230" s="3" t="str">
        <x:v>verified</x:v>
      </x:c>
      <x:c r="Q230" s="7" t="str">
        <x:v>https://arxiv.org/html/2608.18554v1</x:v>
      </x:c>
      <x:c r="R230" s="7" t="str">
        <x:v>https://arxiv.org/abs/2608.18554</x:v>
      </x:c>
      <x:c r="S230" s="3" t="str"/>
      <x:c r="T230" s="3" t="str">
        <x:v>previous README / supplementary search</x:v>
      </x:c>
      <x:c r="U230" s="5" t="d">
        <x:v>2026-10-16T00:00:00.000Z</x:v>
      </x:c>
      <x:c r="V230" s="6" t="str">
        <x:v>未分配</x:v>
      </x:c>
      <x:c r="W230" s="6" t="str"/>
      <x:c r="X230" s="6" t="str"/>
      <x:c r="Y230" s="6" t="str"/>
      <x:c r="Z230" s="3" t="str">
        <x:v>新增/保留README来源；论文身份与摘要已核验；分类为维护者判断。</x:v>
      </x:c>
    </x:row>
    <x:row r="231" ht="55" customHeight="1">
      <x:c r="A231" s="3" t="str">
        <x:v>WA-0237</x:v>
      </x:c>
      <x:c r="B231" s="3" t="str">
        <x:v>ChatDev: Communicative Agents for Software Development</x:v>
      </x:c>
      <x:c r="C231" s="3" t="str">
        <x:v>ChatDev</x:v>
      </x:c>
      <x:c r="D231" s="4" t="n">
        <x:v>2023</x:v>
      </x:c>
      <x:c r="E231" s="7" t="str">
        <x:v>https://arxiv.org/abs/2307.07924</x:v>
      </x:c>
      <x:c r="F231" s="3" t="str">
        <x:v>Tsinghua University; Beijing University of Posts and Telecommunications; Brown University</x:v>
      </x:c>
      <x:c r="G231" s="3" t="str">
        <x:v>Method;Framework</x:v>
      </x:c>
      <x:c r="H231" s="3" t="str">
        <x:v>swe-science</x:v>
      </x:c>
      <x:c r="I231" s="3" t="str">
        <x:v>Communicative software development</x:v>
      </x:c>
      <x:c r="J231" s="3" t="str">
        <x:v>planning;coordination;execution;verification</x:v>
      </x:c>
      <x:c r="K231" s="3" t="str"/>
      <x:c r="L231" s="3" t="str">
        <x:v>4.3;6.4</x:v>
      </x:c>
      <x:c r="M231" s="3" t="str">
        <x:v>以软件公司角色和对话流程协调多代理进行设计、实现、测试与文档编写。</x:v>
      </x:c>
      <x:c r="N231" s="3" t="str"/>
      <x:c r="O231" s="3" t="str"/>
      <x:c r="P231" s="3" t="str">
        <x:v>verified</x:v>
      </x:c>
      <x:c r="Q231" s="7" t="str">
        <x:v>https://arxiv.org/html/2307.07924v1</x:v>
      </x:c>
      <x:c r="R231" s="7" t="str">
        <x:v>https://arxiv.org/abs/2307.07924</x:v>
      </x:c>
      <x:c r="S231" s="3" t="str"/>
      <x:c r="T231" s="3" t="str">
        <x:v>previous README / supplementary search</x:v>
      </x:c>
      <x:c r="U231" s="5" t="d">
        <x:v>2026-10-16T00:00:00.000Z</x:v>
      </x:c>
      <x:c r="V231" s="6" t="str">
        <x:v>未分配</x:v>
      </x:c>
      <x:c r="W231" s="6" t="str"/>
      <x:c r="X231" s="6" t="str"/>
      <x:c r="Y231" s="6" t="str"/>
      <x:c r="Z231" s="3" t="str">
        <x:v>新增/保留README来源；论文身份与摘要已核验；分类为维护者判断。</x:v>
      </x:c>
    </x:row>
    <x:row r="232" ht="55" customHeight="1">
      <x:c r="A232" s="3" t="str">
        <x:v>WA-0238</x:v>
      </x:c>
      <x:c r="B232" s="3" t="str">
        <x:v>CI-Work: Benchmarking Contextual Integrity in Enterprise LLM Agents</x:v>
      </x:c>
      <x:c r="C232" s="3" t="str">
        <x:v>CI-Work</x:v>
      </x:c>
      <x:c r="D232" s="4" t="n">
        <x:v>2026</x:v>
      </x:c>
      <x:c r="E232" s="7" t="str">
        <x:v>https://aclanthology.org/2026.acl-industry.103/</x:v>
      </x:c>
      <x:c r="F232" s="3" t="str">
        <x:v>Huazhong University of Science and Technology; Microsoft</x:v>
      </x:c>
      <x:c r="G232" s="3" t="str">
        <x:v>Benchmark</x:v>
      </x:c>
      <x:c r="H232" s="3" t="str">
        <x:v>safety</x:v>
      </x:c>
      <x:c r="I232" s="3" t="str">
        <x:v>Enterprise contextual integrity</x:v>
      </x:c>
      <x:c r="J232" s="3" t="str">
        <x:v>reasoning;execution;verification</x:v>
      </x:c>
      <x:c r="K232" s="3" t="str"/>
      <x:c r="L232" s="3" t="str">
        <x:v>6.1;7.4</x:v>
      </x:c>
      <x:c r="M232" s="3" t="str">
        <x:v>在企业信息流中同时检查必要信息传递与敏感内容保护，测量隐私和任务效用的关系。</x:v>
      </x:c>
      <x:c r="N232" s="7" t="str">
        <x:v>https://aka.ms/ci-work</x:v>
      </x:c>
      <x:c r="O232" s="3" t="str"/>
      <x:c r="P232" s="3" t="str">
        <x:v>verified</x:v>
      </x:c>
      <x:c r="Q232" s="7" t="str">
        <x:v>https://aclanthology.org/2026.acl-industry.103.pdf</x:v>
      </x:c>
      <x:c r="R232" s="7" t="str">
        <x:v>https://aclanthology.org/2026.acl-industry.103/</x:v>
      </x:c>
      <x:c r="S232" s="3" t="str"/>
      <x:c r="T232" s="3" t="str">
        <x:v>previous README / supplementary search</x:v>
      </x:c>
      <x:c r="U232" s="5" t="d">
        <x:v>2026-10-16T00:00:00.000Z</x:v>
      </x:c>
      <x:c r="V232" s="6" t="str">
        <x:v>未分配</x:v>
      </x:c>
      <x:c r="W232" s="6" t="str"/>
      <x:c r="X232" s="6" t="str"/>
      <x:c r="Y232" s="6" t="str"/>
      <x:c r="Z232" s="3" t="str">
        <x:v>ACL2026 Industry；核心为隐私边界，原Tool/API分类改Safety。</x:v>
      </x:c>
    </x:row>
    <x:row r="233" ht="55" customHeight="1">
      <x:c r="A233" s="3" t="str">
        <x:v>WA-0239</x:v>
      </x:c>
      <x:c r="B233" s="3" t="str">
        <x:v>Co-Evolution in Agentic Systems: Toward Self-Directed Evolution Beyond Human Design</x:v>
      </x:c>
      <x:c r="C233" s="3" t="str">
        <x:v>Co-Evolution in Agentic Systems</x:v>
      </x:c>
      <x:c r="D233" s="4" t="n">
        <x:v>2026</x:v>
      </x:c>
      <x:c r="E233" s="7" t="str">
        <x:v>https://arxiv.org/abs/2608.10299</x:v>
      </x:c>
      <x:c r="F233" s="3" t="str">
        <x:v>HKUST; University of Illinois Urbana-Champaign; Chinese University of Hong Kong; The University of Hong Kong; Peking University</x:v>
      </x:c>
      <x:c r="G233" s="3" t="str">
        <x:v>Survey</x:v>
      </x:c>
      <x:c r="H233" s="3" t="str">
        <x:v>persistent</x:v>
      </x:c>
      <x:c r="I233" s="3" t="str">
        <x:v>Agent co-evolution</x:v>
      </x:c>
      <x:c r="J233" s="3" t="str">
        <x:v>coordination;learning</x:v>
      </x:c>
      <x:c r="K233" s="3" t="str"/>
      <x:c r="L233" s="3" t="str">
        <x:v>5;7.2</x:v>
      </x:c>
      <x:c r="M233" s="3" t="str">
        <x:v>综述多组件或多代理共同演化及超越人工固定设计的系统路线。</x:v>
      </x:c>
      <x:c r="N233" s="3" t="str"/>
      <x:c r="O233" s="3" t="str"/>
      <x:c r="P233" s="3" t="str">
        <x:v>verified</x:v>
      </x:c>
      <x:c r="Q233" s="7" t="str">
        <x:v>https://arxiv.org/html/2608.10299v1</x:v>
      </x:c>
      <x:c r="R233" s="7" t="str">
        <x:v>https://arxiv.org/abs/2608.10299</x:v>
      </x:c>
      <x:c r="S233" s="3" t="str"/>
      <x:c r="T233" s="3" t="str">
        <x:v>previous README / supplementary search</x:v>
      </x:c>
      <x:c r="U233" s="5" t="d">
        <x:v>2026-10-16T00:00:00.000Z</x:v>
      </x:c>
      <x:c r="V233" s="6" t="str">
        <x:v>未分配</x:v>
      </x:c>
      <x:c r="W233" s="6" t="str"/>
      <x:c r="X233" s="6" t="str"/>
      <x:c r="Y233" s="6" t="str"/>
      <x:c r="Z233" s="3" t="str">
        <x:v>新增/保留README来源；论文身份与摘要已核验；分类为维护者判断。</x:v>
      </x:c>
    </x:row>
    <x:row r="234" ht="55" customHeight="1">
      <x:c r="A234" s="3" t="str">
        <x:v>WA-0240</x:v>
      </x:c>
      <x:c r="B234" s="3" t="str">
        <x:v>Code as Agent Harness</x:v>
      </x:c>
      <x:c r="C234" s="3" t="str">
        <x:v>Code as Agent Harness</x:v>
      </x:c>
      <x:c r="D234" s="4" t="n">
        <x:v>2026</x:v>
      </x:c>
      <x:c r="E234" s="7" t="str">
        <x:v>https://arxiv.org/abs/2605.18747</x:v>
      </x:c>
      <x:c r="F234" s="3" t="str">
        <x:v>University of Illinois Urbana-Champaign; Meta; Stanford University</x:v>
      </x:c>
      <x:c r="G234" s="3" t="str">
        <x:v>Survey;Framework</x:v>
      </x:c>
      <x:c r="H234" s="3" t="str">
        <x:v>harness</x:v>
      </x:c>
      <x:c r="I234" s="3" t="str">
        <x:v>Executable stateful harnesses</x:v>
      </x:c>
      <x:c r="J234" s="3" t="str">
        <x:v>execution;state-management;verification</x:v>
      </x:c>
      <x:c r="K234" s="3" t="str"/>
      <x:c r="L234" s="3" t="str">
        <x:v>6.4;7.1</x:v>
      </x:c>
      <x:c r="M234" s="3" t="str">
        <x:v>讨论以代码承载代理编排、状态与验证的系统设计。</x:v>
      </x:c>
      <x:c r="N234" s="3" t="str"/>
      <x:c r="O234" s="3" t="str"/>
      <x:c r="P234" s="3" t="str">
        <x:v>verified</x:v>
      </x:c>
      <x:c r="Q234" s="7" t="str">
        <x:v>https://arxiv.org/html/2605.18747v1</x:v>
      </x:c>
      <x:c r="R234" s="7" t="str">
        <x:v>https://arxiv.org/abs/2605.18747</x:v>
      </x:c>
      <x:c r="S234" s="3" t="str"/>
      <x:c r="T234" s="3" t="str">
        <x:v>previous README / supplementary search</x:v>
      </x:c>
      <x:c r="U234" s="5" t="d">
        <x:v>2026-10-16T00:00:00.000Z</x:v>
      </x:c>
      <x:c r="V234" s="6" t="str">
        <x:v>未分配</x:v>
      </x:c>
      <x:c r="W234" s="6" t="str"/>
      <x:c r="X234" s="6" t="str"/>
      <x:c r="Y234" s="6" t="str"/>
      <x:c r="Z234" s="3" t="str">
        <x:v>摘要页正式题名简写为Code as Agent Harness；正文前置副标题为Toward Executable, Verifiable, and Stateful Agent Systems。</x:v>
      </x:c>
    </x:row>
    <x:row r="235" ht="55" customHeight="1">
      <x:c r="A235" s="3" t="str">
        <x:v>WA-0241</x:v>
      </x:c>
      <x:c r="B235" s="3" t="str">
        <x:v>CoEdIT: Text Editing by Task-Specific Instruction Tuning</x:v>
      </x:c>
      <x:c r="C235" s="3" t="str">
        <x:v>CoEdIT</x:v>
      </x:c>
      <x:c r="D235" s="4" t="n">
        <x:v>2023</x:v>
      </x:c>
      <x:c r="E235" s="7" t="str">
        <x:v>https://arxiv.org/abs/2305.09857</x:v>
      </x:c>
      <x:c r="F235" s="3" t="str">
        <x:v>Grammarly; University of Minnesota</x:v>
      </x:c>
      <x:c r="G235" s="3" t="str">
        <x:v>Method</x:v>
      </x:c>
      <x:c r="H235" s="3" t="str">
        <x:v>artifact</x:v>
      </x:c>
      <x:c r="I235" s="3" t="str">
        <x:v>Instruction-driven text editing</x:v>
      </x:c>
      <x:c r="J235" s="3" t="str">
        <x:v>execution;learning</x:v>
      </x:c>
      <x:c r="K235" s="3" t="str"/>
      <x:c r="L235" s="3" t="str">
        <x:v>4.4</x:v>
      </x:c>
      <x:c r="M235" s="3" t="str">
        <x:v>以任务专门指令微调支持简化、改写、纠错及复合自然语言编辑。</x:v>
      </x:c>
      <x:c r="N235" s="3" t="str"/>
      <x:c r="O235" s="3" t="str"/>
      <x:c r="P235" s="3" t="str">
        <x:v>verified</x:v>
      </x:c>
      <x:c r="Q235" s="7" t="str">
        <x:v>https://arxiv.org/html/2305.09857v1</x:v>
      </x:c>
      <x:c r="R235" s="7" t="str">
        <x:v>https://arxiv.org/abs/2305.09857</x:v>
      </x:c>
      <x:c r="S235" s="3" t="str"/>
      <x:c r="T235" s="3" t="str">
        <x:v>previous README / supplementary search</x:v>
      </x:c>
      <x:c r="U235" s="5" t="d">
        <x:v>2026-10-16T00:00:00.000Z</x:v>
      </x:c>
      <x:c r="V235" s="6" t="str">
        <x:v>未分配</x:v>
      </x:c>
      <x:c r="W235" s="6" t="str"/>
      <x:c r="X235" s="6" t="str"/>
      <x:c r="Y235" s="6" t="str"/>
      <x:c r="Z235" s="3" t="str">
        <x:v>新增/保留README来源；论文身份与摘要已核验；分类为维护者判断。</x:v>
      </x:c>
    </x:row>
    <x:row r="236" ht="55" customHeight="1">
      <x:c r="A236" s="3" t="str">
        <x:v>WA-0242</x:v>
      </x:c>
      <x:c r="B236" s="3" t="str">
        <x:v>ComputerRL: Scaling End-to-End Online Reinforcement Learning for Computer Use Agents</x:v>
      </x:c>
      <x:c r="C236" s="3" t="str">
        <x:v>ComputerRL</x:v>
      </x:c>
      <x:c r="D236" s="4" t="n">
        <x:v>2025</x:v>
      </x:c>
      <x:c r="E236" s="7" t="str">
        <x:v>https://arxiv.org/abs/2508.14040</x:v>
      </x:c>
      <x:c r="F236" s="3" t="str">
        <x:v>Tsinghua University; Zhipu AI; University of Chinese Academy of Sciences</x:v>
      </x:c>
      <x:c r="G236" s="3" t="str">
        <x:v>Method</x:v>
      </x:c>
      <x:c r="H236" s="3" t="str">
        <x:v>computer-use</x:v>
      </x:c>
      <x:c r="I236" s="3" t="str">
        <x:v>End-to-end computer-use RL</x:v>
      </x:c>
      <x:c r="J236" s="3" t="str">
        <x:v>perception;planning;execution;learning</x:v>
      </x:c>
      <x:c r="K236" s="3" t="str"/>
      <x:c r="L236" s="3" t="str">
        <x:v>5.2</x:v>
      </x:c>
      <x:c r="M236" s="3" t="str">
        <x:v>扩大端到端在线强化学习以训练计算机使用代理。</x:v>
      </x:c>
      <x:c r="N236" s="3" t="str"/>
      <x:c r="O236" s="3" t="str"/>
      <x:c r="P236" s="3" t="str">
        <x:v>verified</x:v>
      </x:c>
      <x:c r="Q236" s="7" t="str">
        <x:v>https://arxiv.org/html/2508.14040v1</x:v>
      </x:c>
      <x:c r="R236" s="7" t="str">
        <x:v>https://arxiv.org/abs/2508.14040</x:v>
      </x:c>
      <x:c r="S236" s="3" t="str"/>
      <x:c r="T236" s="3" t="str">
        <x:v>previous README / supplementary search</x:v>
      </x:c>
      <x:c r="U236" s="5" t="d">
        <x:v>2026-10-16T00:00:00.000Z</x:v>
      </x:c>
      <x:c r="V236" s="6" t="str">
        <x:v>未分配</x:v>
      </x:c>
      <x:c r="W236" s="6" t="str"/>
      <x:c r="X236" s="6" t="str"/>
      <x:c r="Y236" s="6" t="str"/>
      <x:c r="Z236" s="3" t="str">
        <x:v>新增/保留README来源；论文身份与摘要已核验；分类为维护者判断。</x:v>
      </x:c>
    </x:row>
    <x:row r="237" ht="55" customHeight="1">
      <x:c r="A237" s="3" t="str">
        <x:v>WA-0243</x:v>
      </x:c>
      <x:c r="B237" s="3" t="str">
        <x:v>DigiRL: Training In-The-Wild Device-Control Agents with Autonomous Reinforcement Learning</x:v>
      </x:c>
      <x:c r="C237" s="3" t="str">
        <x:v>DigiRL</x:v>
      </x:c>
      <x:c r="D237" s="4" t="n">
        <x:v>2024</x:v>
      </x:c>
      <x:c r="E237" s="7" t="str">
        <x:v>https://arxiv.org/abs/2406.11896</x:v>
      </x:c>
      <x:c r="F237" s="3" t="str">
        <x:v>UC Berkeley; University of Illinois Urbana-Champaign; Google DeepMind</x:v>
      </x:c>
      <x:c r="G237" s="3" t="str">
        <x:v>Method</x:v>
      </x:c>
      <x:c r="H237" s="3" t="str">
        <x:v>computer-use</x:v>
      </x:c>
      <x:c r="I237" s="3" t="str">
        <x:v>Device-control reinforcement learning</x:v>
      </x:c>
      <x:c r="J237" s="3" t="str">
        <x:v>perception;execution;learning</x:v>
      </x:c>
      <x:c r="K237" s="3" t="str"/>
      <x:c r="L237" s="3" t="str">
        <x:v>5.2</x:v>
      </x:c>
      <x:c r="M237" s="3" t="str">
        <x:v>利用自主强化学习改进真实设备控制，面向变化中的移动应用交互。</x:v>
      </x:c>
      <x:c r="N237" s="3" t="str"/>
      <x:c r="O237" s="3" t="str"/>
      <x:c r="P237" s="3" t="str">
        <x:v>verified</x:v>
      </x:c>
      <x:c r="Q237" s="7" t="str">
        <x:v>https://arxiv.org/html/2406.11896v1</x:v>
      </x:c>
      <x:c r="R237" s="7" t="str">
        <x:v>https://arxiv.org/abs/2406.11896</x:v>
      </x:c>
      <x:c r="S237" s="3" t="str"/>
      <x:c r="T237" s="3" t="str">
        <x:v>previous README / supplementary search</x:v>
      </x:c>
      <x:c r="U237" s="5" t="d">
        <x:v>2026-10-16T00:00:00.000Z</x:v>
      </x:c>
      <x:c r="V237" s="6" t="str">
        <x:v>未分配</x:v>
      </x:c>
      <x:c r="W237" s="6" t="str"/>
      <x:c r="X237" s="6" t="str"/>
      <x:c r="Y237" s="6" t="str"/>
      <x:c r="Z237" s="3" t="str">
        <x:v>新增/保留README来源；论文身份与摘要已核验；分类为维护者判断。</x:v>
      </x:c>
    </x:row>
    <x:row r="238" ht="55" customHeight="1">
      <x:c r="A238" s="3" t="str">
        <x:v>WA-0244</x:v>
      </x:c>
      <x:c r="B238" s="3" t="str">
        <x:v>DrugDiscoveryBench: Can Coding Agents Assist Early-Stage Drug Discovery?</x:v>
      </x:c>
      <x:c r="C238" s="3" t="str">
        <x:v>DrugDiscoveryBench</x:v>
      </x:c>
      <x:c r="D238" s="4" t="n">
        <x:v>2026</x:v>
      </x:c>
      <x:c r="E238" s="7" t="str">
        <x:v>https://labs.scale.com/leaderboard/drugdiscoverybench</x:v>
      </x:c>
      <x:c r="F238" s="3" t="str">
        <x:v>Scale AI; Phylo</x:v>
      </x:c>
      <x:c r="G238" s="3" t="str">
        <x:v>Benchmark</x:v>
      </x:c>
      <x:c r="H238" s="3" t="str">
        <x:v>swe-science</x:v>
      </x:c>
      <x:c r="I238" s="3" t="str">
        <x:v>Early-stage drug discovery workflows</x:v>
      </x:c>
      <x:c r="J238" s="3" t="str">
        <x:v>perception;reasoning;execution;verification</x:v>
      </x:c>
      <x:c r="K238" s="3" t="str"/>
      <x:c r="L238" s="3" t="str">
        <x:v>6.1</x:v>
      </x:c>
      <x:c r="M238" s="3" t="str">
        <x:v>在生物医学工具环境中完成靶点、专利、构效关系等可验证药物发现任务。</x:v>
      </x:c>
      <x:c r="N238" s="7" t="str">
        <x:v>https://github.com/scaleapi/DrugDiscoveryBench</x:v>
      </x:c>
      <x:c r="O238" s="7" t="str">
        <x:v>https://huggingface.co/datasets/ScaleAI/DrugDiscoveryBench-Preview</x:v>
      </x:c>
      <x:c r="P238" s="3" t="str">
        <x:v>verified</x:v>
      </x:c>
      <x:c r="Q238" s="7" t="str">
        <x:v>https://static.scale.com/uploads/6691558a94899f2f65a87a75/DrugDiscoveryBench.pdf</x:v>
      </x:c>
      <x:c r="R238" s="7" t="str">
        <x:v>https://labs.scale.com/leaderboard/drugdiscoverybench</x:v>
      </x:c>
      <x:c r="S238" s="3" t="str"/>
      <x:c r="T238" s="3" t="str">
        <x:v>previous README / supplementary search</x:v>
      </x:c>
      <x:c r="U238" s="5" t="d">
        <x:v>2026-10-16T00:00:00.000Z</x:v>
      </x:c>
      <x:c r="V238" s="6" t="str">
        <x:v>未分配</x:v>
      </x:c>
      <x:c r="W238" s="6" t="str"/>
      <x:c r="X238" s="6" t="str"/>
      <x:c r="Y238" s="6" t="str"/>
      <x:c r="Z238" s="3" t="str">
        <x:v>正式研究论文由官方页面及PDF核验；非arXiv链接不影响论文身份。</x:v>
      </x:c>
    </x:row>
    <x:row r="239" ht="55" customHeight="1">
      <x:c r="A239" s="3" t="str">
        <x:v>WA-0245</x:v>
      </x:c>
      <x:c r="B239" s="3" t="str">
        <x:v>E-Bench: Benchmarking Multi-Step Tool-Use Agents in Real-World Product Scenarios</x:v>
      </x:c>
      <x:c r="C239" s="3" t="str">
        <x:v>E-Bench</x:v>
      </x:c>
      <x:c r="D239" s="4" t="n">
        <x:v>2026</x:v>
      </x:c>
      <x:c r="E239" s="7" t="str">
        <x:v>https://arxiv.org/abs/2607.23722</x:v>
      </x:c>
      <x:c r="F239" s="3" t="str">
        <x:v>Tencent Hunyuan; Tsinghua University; Southeast University</x:v>
      </x:c>
      <x:c r="G239" s="3" t="str">
        <x:v>Benchmark</x:v>
      </x:c>
      <x:c r="H239" s="3" t="str">
        <x:v>tool-enterprise</x:v>
      </x:c>
      <x:c r="I239" s="3" t="str">
        <x:v>Real product tool workflows</x:v>
      </x:c>
      <x:c r="J239" s="3" t="str">
        <x:v>planning;execution;state-management</x:v>
      </x:c>
      <x:c r="K239" s="3" t="str"/>
      <x:c r="L239" s="3" t="str">
        <x:v>6.1</x:v>
      </x:c>
      <x:c r="M239" s="3" t="str">
        <x:v>以真实产品场景测试多步骤工具使用和任务完成。</x:v>
      </x:c>
      <x:c r="N239" s="3" t="str"/>
      <x:c r="O239" s="3" t="str"/>
      <x:c r="P239" s="3" t="str">
        <x:v>verified</x:v>
      </x:c>
      <x:c r="Q239" s="7" t="str">
        <x:v>https://arxiv.org/html/2607.23722v1</x:v>
      </x:c>
      <x:c r="R239" s="7" t="str">
        <x:v>https://arxiv.org/abs/2607.23722</x:v>
      </x:c>
      <x:c r="S239" s="3" t="str"/>
      <x:c r="T239" s="3" t="str">
        <x:v>previous README / supplementary search</x:v>
      </x:c>
      <x:c r="U239" s="5" t="d">
        <x:v>2026-10-16T00:00:00.000Z</x:v>
      </x:c>
      <x:c r="V239" s="6" t="str">
        <x:v>未分配</x:v>
      </x:c>
      <x:c r="W239" s="6" t="str"/>
      <x:c r="X239" s="6" t="str"/>
      <x:c r="Y239" s="6" t="str"/>
      <x:c r="Z239" s="3" t="str">
        <x:v>新增/保留README来源；论文身份与摘要已核验；分类为维护者判断。</x:v>
      </x:c>
    </x:row>
    <x:row r="240" ht="55" customHeight="1">
      <x:c r="A240" s="3" t="str">
        <x:v>WA-0246</x:v>
      </x:c>
      <x:c r="B240" s="3" t="str">
        <x:v>E-Commerce Bench: Evaluating LLM Agents on Long-Horizon Autonomous Business Operation</x:v>
      </x:c>
      <x:c r="C240" s="3" t="str">
        <x:v>E-Commerce Bench</x:v>
      </x:c>
      <x:c r="D240" s="4" t="n">
        <x:v>2026</x:v>
      </x:c>
      <x:c r="E240" s="7" t="str">
        <x:v>https://arxiv.org/abs/2608.30730</x:v>
      </x:c>
      <x:c r="F240" s="3" t="str">
        <x:v>Alibaba Group (Qwen; Taobao &amp; Tmall); HKUST</x:v>
      </x:c>
      <x:c r="G240" s="3" t="str">
        <x:v>Benchmark</x:v>
      </x:c>
      <x:c r="H240" s="3" t="str">
        <x:v>tool-enterprise</x:v>
      </x:c>
      <x:c r="I240" s="3" t="str">
        <x:v>Autonomous ecommerce operations</x:v>
      </x:c>
      <x:c r="J240" s="3" t="str">
        <x:v>planning;execution;state-management</x:v>
      </x:c>
      <x:c r="K240" s="3" t="str"/>
      <x:c r="L240" s="3" t="str">
        <x:v>6.1</x:v>
      </x:c>
      <x:c r="M240" s="3" t="str">
        <x:v>让代理在电商业务环境中执行长程自主运营任务，检验连续业务状态变化。</x:v>
      </x:c>
      <x:c r="N240" s="3" t="str"/>
      <x:c r="O240" s="3" t="str"/>
      <x:c r="P240" s="3" t="str">
        <x:v>verified</x:v>
      </x:c>
      <x:c r="Q240" s="7" t="str">
        <x:v>https://arxiv.org/html/2608.30730v1</x:v>
      </x:c>
      <x:c r="R240" s="7" t="str">
        <x:v>https://arxiv.org/abs/2608.30730</x:v>
      </x:c>
      <x:c r="S240" s="3" t="str"/>
      <x:c r="T240" s="3" t="str">
        <x:v>previous README / supplementary search</x:v>
      </x:c>
      <x:c r="U240" s="5" t="d">
        <x:v>2026-10-16T00:00:00.000Z</x:v>
      </x:c>
      <x:c r="V240" s="6" t="str">
        <x:v>未分配</x:v>
      </x:c>
      <x:c r="W240" s="6" t="str"/>
      <x:c r="X240" s="6" t="str"/>
      <x:c r="Y240" s="6" t="str"/>
      <x:c r="Z240" s="3" t="str">
        <x:v>新增/保留README来源；论文身份与摘要已核验；分类为维护者判断。</x:v>
      </x:c>
    </x:row>
    <x:row r="241" ht="55" customHeight="1">
      <x:c r="A241" s="3" t="str">
        <x:v>WA-0247</x:v>
      </x:c>
      <x:c r="B241" s="3" t="str">
        <x:v>Can LLMs Help You at Work? A Sandbox for Evaluating LLM Agents in Enterprise Environments</x:v>
      </x:c>
      <x:c r="C241" s="3" t="str">
        <x:v>EnterpriseBench</x:v>
      </x:c>
      <x:c r="D241" s="4" t="n">
        <x:v>2025</x:v>
      </x:c>
      <x:c r="E241" s="7" t="str">
        <x:v>https://aclanthology.org/2025.emnlp-main.466/</x:v>
      </x:c>
      <x:c r="F241" s="3" t="str">
        <x:v>Fujitsu Research</x:v>
      </x:c>
      <x:c r="G241" s="3" t="str">
        <x:v>Benchmark;Framework</x:v>
      </x:c>
      <x:c r="H241" s="3" t="str">
        <x:v>tool-enterprise</x:v>
      </x:c>
      <x:c r="I241" s="3" t="str">
        <x:v>Enterprise sandbox and access control</x:v>
      </x:c>
      <x:c r="J241" s="3" t="str">
        <x:v>planning;execution;state-management</x:v>
      </x:c>
      <x:c r="K241" s="3" t="str"/>
      <x:c r="L241" s="3" t="str">
        <x:v>6.1;6.4</x:v>
      </x:c>
      <x:c r="M241" s="3" t="str">
        <x:v>模拟企业碎片化数据、权限层级与跨部门任务，支持环境与任务合成。</x:v>
      </x:c>
      <x:c r="N241" s="3" t="str"/>
      <x:c r="O241" s="3" t="str"/>
      <x:c r="P241" s="3" t="str">
        <x:v>verified</x:v>
      </x:c>
      <x:c r="Q241" s="7" t="str">
        <x:v>https://aclanthology.org/2025.emnlp-main.466.pdf</x:v>
      </x:c>
      <x:c r="R241" s="7" t="str">
        <x:v>https://aclanthology.org/2025.emnlp-main.466/</x:v>
      </x:c>
      <x:c r="S241" s="3" t="str"/>
      <x:c r="T241" s="3" t="str">
        <x:v>previous README / supplementary search</x:v>
      </x:c>
      <x:c r="U241" s="5" t="d">
        <x:v>2026-10-16T00:00:00.000Z</x:v>
      </x:c>
      <x:c r="V241" s="6" t="str">
        <x:v>未分配</x:v>
      </x:c>
      <x:c r="W241" s="6" t="str"/>
      <x:c r="X241" s="6" t="str"/>
      <x:c r="Y241" s="6" t="str"/>
      <x:c r="Z241" s="3" t="str">
        <x:v>论文全名补齐；EMNLP2025。</x:v>
      </x:c>
    </x:row>
    <x:row r="242" ht="55" customHeight="1">
      <x:c r="A242" s="3" t="str">
        <x:v>WA-0248</x:v>
      </x:c>
      <x:c r="B242" s="3" t="str">
        <x:v>EnterpriseClawBench: Benchmarking Agents from Real Workplace Sessions</x:v>
      </x:c>
      <x:c r="C242" s="3" t="str">
        <x:v>EnterpriseClawBench</x:v>
      </x:c>
      <x:c r="D242" s="4" t="n">
        <x:v>2026</x:v>
      </x:c>
      <x:c r="E242" s="7" t="str">
        <x:v>https://arxiv.org/abs/2606.23654</x:v>
      </x:c>
      <x:c r="F242" s="3" t="str">
        <x:v>Horizon Research, Frontis.AI</x:v>
      </x:c>
      <x:c r="G242" s="3" t="str">
        <x:v>Benchmark</x:v>
      </x:c>
      <x:c r="H242" s="3" t="str">
        <x:v>tool-enterprise</x:v>
      </x:c>
      <x:c r="I242" s="3" t="str">
        <x:v>Workplace-session evaluation</x:v>
      </x:c>
      <x:c r="J242" s="3" t="str">
        <x:v>planning;execution;state-management</x:v>
      </x:c>
      <x:c r="K242" s="3" t="str"/>
      <x:c r="L242" s="3" t="str">
        <x:v>6.1</x:v>
      </x:c>
      <x:c r="M242" s="3" t="str">
        <x:v>从真实职场会话设计代理评测，研究企业任务分布与执行协议。</x:v>
      </x:c>
      <x:c r="N242" s="3" t="str"/>
      <x:c r="O242" s="3" t="str"/>
      <x:c r="P242" s="3" t="str">
        <x:v>verified</x:v>
      </x:c>
      <x:c r="Q242" s="7" t="str">
        <x:v>https://arxiv.org/html/2606.23654v1</x:v>
      </x:c>
      <x:c r="R242" s="7" t="str">
        <x:v>https://arxiv.org/abs/2606.23654</x:v>
      </x:c>
      <x:c r="S242" s="3" t="str"/>
      <x:c r="T242" s="3" t="str">
        <x:v>previous README / supplementary search</x:v>
      </x:c>
      <x:c r="U242" s="5" t="d">
        <x:v>2026-10-16T00:00:00.000Z</x:v>
      </x:c>
      <x:c r="V242" s="6" t="str">
        <x:v>未分配</x:v>
      </x:c>
      <x:c r="W242" s="6" t="str"/>
      <x:c r="X242" s="6" t="str"/>
      <x:c r="Y242" s="6" t="str"/>
      <x:c r="Z242" s="3" t="str">
        <x:v>新增/保留README来源；论文身份与摘要已核验；分类为维护者判断。</x:v>
      </x:c>
    </x:row>
    <x:row r="243" ht="55" customHeight="1">
      <x:c r="A243" s="3" t="str">
        <x:v>WA-0250</x:v>
      </x:c>
      <x:c r="B243" s="3" t="str">
        <x:v>Externalization in LLM Agents: A Unified Review of Memory, Skills, Protocols and Harness Engineering</x:v>
      </x:c>
      <x:c r="C243" s="3" t="str">
        <x:v>Externalization in LLM Agents</x:v>
      </x:c>
      <x:c r="D243" s="4" t="n">
        <x:v>2026</x:v>
      </x:c>
      <x:c r="E243" s="7" t="str">
        <x:v>https://arxiv.org/abs/2604.08224</x:v>
      </x:c>
      <x:c r="F243" s="3" t="str">
        <x:v>Shanghai Jiao Tong University; Sun Yat-Sen University; Shanghai Innovation Institute; Carnegie Mellon University; OPPO</x:v>
      </x:c>
      <x:c r="G243" s="3" t="str">
        <x:v>Survey</x:v>
      </x:c>
      <x:c r="H243" s="3" t="str">
        <x:v>harness</x:v>
      </x:c>
      <x:c r="I243" s="3" t="str">
        <x:v>Memory skills protocols and harnesses</x:v>
      </x:c>
      <x:c r="J243" s="3" t="str">
        <x:v>memory;state-management;execution</x:v>
      </x:c>
      <x:c r="K243" s="3" t="str"/>
      <x:c r="L243" s="3" t="str">
        <x:v>4.4;6.4</x:v>
      </x:c>
      <x:c r="M243" s="3" t="str">
        <x:v>统一讨论将记忆、技能、协议和执行编排从模型外化为系统组件的路线。</x:v>
      </x:c>
      <x:c r="N243" s="3" t="str"/>
      <x:c r="O243" s="3" t="str"/>
      <x:c r="P243" s="3" t="str">
        <x:v>verified</x:v>
      </x:c>
      <x:c r="Q243" s="7" t="str">
        <x:v>https://arxiv.org/html/2604.08224v1</x:v>
      </x:c>
      <x:c r="R243" s="7" t="str">
        <x:v>https://arxiv.org/abs/2604.08224</x:v>
      </x:c>
      <x:c r="S243" s="3" t="str"/>
      <x:c r="T243" s="3" t="str">
        <x:v>previous README / supplementary search</x:v>
      </x:c>
      <x:c r="U243" s="5" t="d">
        <x:v>2026-10-16T00:00:00.000Z</x:v>
      </x:c>
      <x:c r="V243" s="6" t="str">
        <x:v>未分配</x:v>
      </x:c>
      <x:c r="W243" s="6" t="str"/>
      <x:c r="X243" s="6" t="str"/>
      <x:c r="Y243" s="6" t="str"/>
      <x:c r="Z243" s="3" t="str">
        <x:v>新增/保留README来源；论文身份与摘要已核验；分类为维护者判断。</x:v>
      </x:c>
    </x:row>
    <x:row r="244" ht="55" customHeight="1">
      <x:c r="A244" s="3" t="str">
        <x:v>WA-0251</x:v>
      </x:c>
      <x:c r="B244" s="3" t="str">
        <x:v>FieldWorkArena: Agentic AI Benchmark for Real Field Work Tasks</x:v>
      </x:c>
      <x:c r="C244" s="3" t="str">
        <x:v>FieldWorkArena</x:v>
      </x:c>
      <x:c r="D244" s="4" t="n">
        <x:v>2025</x:v>
      </x:c>
      <x:c r="E244" s="7" t="str">
        <x:v>https://arxiv.org/abs/2505.19662</x:v>
      </x:c>
      <x:c r="F244" s="3" t="str">
        <x:v>Fujitsu; Fujitsu Research of America; Carnegie Mellon University</x:v>
      </x:c>
      <x:c r="G244" s="3" t="str">
        <x:v>Benchmark</x:v>
      </x:c>
      <x:c r="H244" s="3" t="str">
        <x:v>computer-use</x:v>
      </x:c>
      <x:c r="I244" s="3" t="str">
        <x:v>Field-work applications</x:v>
      </x:c>
      <x:c r="J244" s="3" t="str">
        <x:v>perception;reasoning;execution</x:v>
      </x:c>
      <x:c r="K244" s="3" t="str"/>
      <x:c r="L244" s="3" t="str">
        <x:v>6.1</x:v>
      </x:c>
      <x:c r="M244" s="3" t="str">
        <x:v>把实际现场业务任务转为代理评测，覆盖专业场景下的信息理解与系统操作。</x:v>
      </x:c>
      <x:c r="N244" s="3" t="str"/>
      <x:c r="O244" s="3" t="str"/>
      <x:c r="P244" s="3" t="str">
        <x:v>verified</x:v>
      </x:c>
      <x:c r="Q244" s="7" t="str">
        <x:v>https://arxiv.org/html/2505.19662v1</x:v>
      </x:c>
      <x:c r="R244" s="7" t="str">
        <x:v>https://arxiv.org/abs/2505.19662</x:v>
      </x:c>
      <x:c r="S244" s="3" t="str"/>
      <x:c r="T244" s="3" t="str">
        <x:v>previous README / supplementary search</x:v>
      </x:c>
      <x:c r="U244" s="5" t="d">
        <x:v>2026-10-16T00:00:00.000Z</x:v>
      </x:c>
      <x:c r="V244" s="6" t="str">
        <x:v>未分配</x:v>
      </x:c>
      <x:c r="W244" s="6" t="str"/>
      <x:c r="X244" s="6" t="str"/>
      <x:c r="Y244" s="6" t="str"/>
      <x:c r="Z244" s="3" t="str">
        <x:v>新增/保留README来源；论文身份与摘要已核验；分类为维护者判断。</x:v>
      </x:c>
    </x:row>
    <x:row r="245" ht="70" customHeight="1">
      <x:c r="A245" s="3" t="str">
        <x:v>WA-0252</x:v>
      </x:c>
      <x:c r="B245" s="3" t="str">
        <x:v>Finch: Benchmarking Finance &amp; Accounting across Spreadsheet-Centric Enterprise Workflows</x:v>
      </x:c>
      <x:c r="C245" s="3" t="str">
        <x:v>FINCH / FinWorkBench</x:v>
      </x:c>
      <x:c r="D245" s="4" t="n">
        <x:v>2025</x:v>
      </x:c>
      <x:c r="E245" s="7" t="str">
        <x:v>https://arxiv.org/abs/2512.13168</x:v>
      </x:c>
      <x:c r="F245" s="3" t="str">
        <x:v>University of Chinese Academy of Sciences; Microsoft; South China University of Technology; Zhongguancun Academy; Zhongguancun Institute of Artificial Intelligence; Harvest Fund; Fudan University; Hugging Face</x:v>
      </x:c>
      <x:c r="G245" s="3" t="str">
        <x:v>Benchmark</x:v>
      </x:c>
      <x:c r="H245" s="3" t="str">
        <x:v>workspace</x:v>
      </x:c>
      <x:c r="I245" s="3" t="str">
        <x:v>Spreadsheet-centric finance workflows</x:v>
      </x:c>
      <x:c r="J245" s="3" t="str">
        <x:v>perception;reasoning;execution;verification</x:v>
      </x:c>
      <x:c r="K245" s="3" t="str"/>
      <x:c r="L245" s="3" t="str">
        <x:v>6.1</x:v>
      </x:c>
      <x:c r="M245" s="3" t="str">
        <x:v>保留真实企业财务资料的混杂性，评估跨表格、邮件和其他文件的完整财务工作流。</x:v>
      </x:c>
      <x:c r="N245" s="7" t="str">
        <x:v>https://github.com/FinWorkBench/Finch</x:v>
      </x:c>
      <x:c r="O245" s="7" t="str">
        <x:v>https://huggingface.co/datasets/FinWorkBench/Finch</x:v>
      </x:c>
      <x:c r="P245" s="3" t="str">
        <x:v>verified</x:v>
      </x:c>
      <x:c r="Q245" s="7" t="str">
        <x:v>https://aclanthology.org/2026.findings-acl.523.pdf</x:v>
      </x:c>
      <x:c r="R245" s="7" t="str">
        <x:v>https://arxiv.org/abs/2512.13168</x:v>
      </x:c>
      <x:c r="S245" s="3" t="str"/>
      <x:c r="T245" s="3" t="str">
        <x:v>previous README / supplementary search</x:v>
      </x:c>
      <x:c r="U245" s="5" t="d">
        <x:v>2026-10-16T00:00:00.000Z</x:v>
      </x:c>
      <x:c r="V245" s="6" t="str">
        <x:v>未分配</x:v>
      </x:c>
      <x:c r="W245" s="6" t="str"/>
      <x:c r="X245" s="6" t="str"/>
      <x:c r="Y245" s="6" t="str"/>
      <x:c r="Z245" s="3" t="str">
        <x:v>原README误标not released；已发现公开论文、代码和数据。机构以ACL2026论文前置信息核验。</x:v>
      </x:c>
    </x:row>
    <x:row r="246" ht="55" customHeight="1">
      <x:c r="A246" s="3" t="str">
        <x:v>WA-0253</x:v>
      </x:c>
      <x:c r="B246" s="3" t="str">
        <x:v>FireAct: Toward Language Agent Fine-tuning</x:v>
      </x:c>
      <x:c r="C246" s="3" t="str">
        <x:v>FireAct</x:v>
      </x:c>
      <x:c r="D246" s="4" t="n">
        <x:v>2023</x:v>
      </x:c>
      <x:c r="E246" s="7" t="str">
        <x:v>https://arxiv.org/abs/2310.05915</x:v>
      </x:c>
      <x:c r="F246" s="3" t="str">
        <x:v>System2 Research; University of Cambridge; Monash University; Princeton University (PLI)</x:v>
      </x:c>
      <x:c r="G246" s="3" t="str">
        <x:v>Method</x:v>
      </x:c>
      <x:c r="H246" s="3" t="str">
        <x:v>tool-enterprise</x:v>
      </x:c>
      <x:c r="I246" s="3" t="str">
        <x:v>Agent trajectory fine-tuning</x:v>
      </x:c>
      <x:c r="J246" s="3" t="str">
        <x:v>planning;execution;learning</x:v>
      </x:c>
      <x:c r="K246" s="3" t="str"/>
      <x:c r="L246" s="3" t="str">
        <x:v>5.1;5.2</x:v>
      </x:c>
      <x:c r="M246" s="3" t="str">
        <x:v>用多种代理推理轨迹微调语言模型，研究面向代理行为的训练。</x:v>
      </x:c>
      <x:c r="N246" s="3" t="str"/>
      <x:c r="O246" s="3" t="str"/>
      <x:c r="P246" s="3" t="str">
        <x:v>verified</x:v>
      </x:c>
      <x:c r="Q246" s="7" t="str">
        <x:v>https://arxiv.org/html/2310.05915v1</x:v>
      </x:c>
      <x:c r="R246" s="7" t="str">
        <x:v>https://arxiv.org/abs/2310.05915</x:v>
      </x:c>
      <x:c r="S246" s="3" t="str"/>
      <x:c r="T246" s="3" t="str">
        <x:v>previous README / supplementary search</x:v>
      </x:c>
      <x:c r="U246" s="5" t="d">
        <x:v>2026-10-16T00:00:00.000Z</x:v>
      </x:c>
      <x:c r="V246" s="6" t="str">
        <x:v>未分配</x:v>
      </x:c>
      <x:c r="W246" s="6" t="str"/>
      <x:c r="X246" s="6" t="str"/>
      <x:c r="Y246" s="6" t="str"/>
      <x:c r="Z246" s="3" t="str">
        <x:v>新增/保留README来源；论文身份与摘要已核验；分类为维护者判断。</x:v>
      </x:c>
    </x:row>
    <x:row r="247" ht="55" customHeight="1">
      <x:c r="A247" s="3" t="str">
        <x:v>WA-0254</x:v>
      </x:c>
      <x:c r="B247" s="3" t="str">
        <x:v>Flex-TravelPlanner: A Benchmark for Flexible Planning with Language Agents</x:v>
      </x:c>
      <x:c r="C247" s="3" t="str">
        <x:v>Flex-TravelPlanner</x:v>
      </x:c>
      <x:c r="D247" s="4" t="n">
        <x:v>2025</x:v>
      </x:c>
      <x:c r="E247" s="7" t="str">
        <x:v>https://arxiv.org/abs/2506.04649</x:v>
      </x:c>
      <x:c r="F247" s="3" t="str">
        <x:v>KAIST</x:v>
      </x:c>
      <x:c r="G247" s="3" t="str">
        <x:v>Benchmark</x:v>
      </x:c>
      <x:c r="H247" s="3" t="str">
        <x:v>tool-enterprise</x:v>
      </x:c>
      <x:c r="I247" s="3" t="str">
        <x:v>Flexible interactive planning</x:v>
      </x:c>
      <x:c r="J247" s="3" t="str">
        <x:v>reasoning;planning;coordination</x:v>
      </x:c>
      <x:c r="K247" s="3" t="str"/>
      <x:c r="L247" s="3" t="str">
        <x:v>6.1</x:v>
      </x:c>
      <x:c r="M247" s="3" t="str">
        <x:v>评估旅行规划代理处理变化需求与灵活约束的能力。</x:v>
      </x:c>
      <x:c r="N247" s="3" t="str"/>
      <x:c r="O247" s="3" t="str"/>
      <x:c r="P247" s="3" t="str">
        <x:v>verified</x:v>
      </x:c>
      <x:c r="Q247" s="7" t="str">
        <x:v>https://arxiv.org/html/2506.04649v1</x:v>
      </x:c>
      <x:c r="R247" s="7" t="str">
        <x:v>https://arxiv.org/abs/2506.04649</x:v>
      </x:c>
      <x:c r="S247" s="3" t="str"/>
      <x:c r="T247" s="3" t="str">
        <x:v>previous README / supplementary search</x:v>
      </x:c>
      <x:c r="U247" s="5" t="d">
        <x:v>2026-10-16T00:00:00.000Z</x:v>
      </x:c>
      <x:c r="V247" s="6" t="str">
        <x:v>未分配</x:v>
      </x:c>
      <x:c r="W247" s="6" t="str"/>
      <x:c r="X247" s="6" t="str"/>
      <x:c r="Y247" s="6" t="str"/>
      <x:c r="Z247" s="3" t="str">
        <x:v>新增/保留README来源；论文身份与摘要已核验；分类为维护者判断。</x:v>
      </x:c>
    </x:row>
    <x:row r="248" ht="55" customHeight="1">
      <x:c r="A248" s="3" t="str">
        <x:v>WA-0255</x:v>
      </x:c>
      <x:c r="B248" s="3" t="str">
        <x:v>GDP.pdf: Benchmarking Grounded Multimodal Reasoning over Professional PDF Documents</x:v>
      </x:c>
      <x:c r="C248" s="3" t="str">
        <x:v>GDP.pdf</x:v>
      </x:c>
      <x:c r="D248" s="4" t="n">
        <x:v>2026</x:v>
      </x:c>
      <x:c r="E248" s="7" t="str">
        <x:v>https://arxiv.org/abs/2607.11192</x:v>
      </x:c>
      <x:c r="F248" s="3" t="str">
        <x:v>Surge AI</x:v>
      </x:c>
      <x:c r="G248" s="3" t="str">
        <x:v>Benchmark</x:v>
      </x:c>
      <x:c r="H248" s="3" t="str">
        <x:v>related</x:v>
      </x:c>
      <x:c r="I248" s="3" t="str">
        <x:v>Professional PDF reasoning</x:v>
      </x:c>
      <x:c r="J248" s="3" t="str">
        <x:v>perception;reasoning;verification</x:v>
      </x:c>
      <x:c r="K248" s="3" t="str"/>
      <x:c r="L248" s="3" t="str">
        <x:v>6.1</x:v>
      </x:c>
      <x:c r="M248" s="3" t="str">
        <x:v>用专业人士编写的PDF问题和原子rubric测试实际文档阅读、证据整合及推理。</x:v>
      </x:c>
      <x:c r="N248" s="3" t="str"/>
      <x:c r="O248" s="7" t="str">
        <x:v>https://huggingface.co/datasets/surgeai/GDP.pdf</x:v>
      </x:c>
      <x:c r="P248" s="3" t="str">
        <x:v>verified</x:v>
      </x:c>
      <x:c r="Q248" s="7" t="str">
        <x:v>https://arxiv.org/html/2607.11192v1</x:v>
      </x:c>
      <x:c r="R248" s="7" t="str">
        <x:v>https://arxiv.org/abs/2607.11192</x:v>
      </x:c>
      <x:c r="S248" s="3" t="str"/>
      <x:c r="T248" s="3" t="str">
        <x:v>previous README / supplementary search</x:v>
      </x:c>
      <x:c r="U248" s="5" t="d">
        <x:v>2026-10-16T00:00:00.000Z</x:v>
      </x:c>
      <x:c r="V248" s="6" t="str">
        <x:v>未分配</x:v>
      </x:c>
      <x:c r="W248" s="6" t="str"/>
      <x:c r="X248" s="6" t="str"/>
      <x:c r="Y248" s="6" t="str"/>
      <x:c r="Z248" s="3" t="str">
        <x:v>原README无链接，现补齐正式论文与数据卡；最终问答评分，保留Related。</x:v>
      </x:c>
    </x:row>
    <x:row r="249" ht="55" customHeight="1">
      <x:c r="A249" s="3" t="str">
        <x:v>WA-0256</x:v>
      </x:c>
      <x:c r="B249" s="3" t="str">
        <x:v>Generative Agents: Interactive Simulacra of Human Behavior</x:v>
      </x:c>
      <x:c r="C249" s="3" t="str">
        <x:v>Generative Agents</x:v>
      </x:c>
      <x:c r="D249" s="4" t="n">
        <x:v>2023</x:v>
      </x:c>
      <x:c r="E249" s="7" t="str">
        <x:v>https://arxiv.org/abs/2304.03442</x:v>
      </x:c>
      <x:c r="F249" s="3" t="str">
        <x:v>Stanford University; Google Research</x:v>
      </x:c>
      <x:c r="G249" s="3" t="str">
        <x:v>Method</x:v>
      </x:c>
      <x:c r="H249" s="3" t="str">
        <x:v>persistent</x:v>
      </x:c>
      <x:c r="I249" s="3" t="str">
        <x:v>Long-term interactive memory</x:v>
      </x:c>
      <x:c r="J249" s="3" t="str">
        <x:v>memory;planning;coordination</x:v>
      </x:c>
      <x:c r="K249" s="3" t="str"/>
      <x:c r="L249" s="3" t="str">
        <x:v>4.4;7.2</x:v>
      </x:c>
      <x:c r="M249" s="3" t="str">
        <x:v>在交互仿真社会中用记忆、反思与规划生成持续一致的行为。</x:v>
      </x:c>
      <x:c r="N249" s="3" t="str"/>
      <x:c r="O249" s="3" t="str"/>
      <x:c r="P249" s="3" t="str">
        <x:v>verified</x:v>
      </x:c>
      <x:c r="Q249" s="7" t="str">
        <x:v>https://arxiv.org/html/2304.03442v1</x:v>
      </x:c>
      <x:c r="R249" s="7" t="str">
        <x:v>https://arxiv.org/abs/2304.03442</x:v>
      </x:c>
      <x:c r="S249" s="3" t="str"/>
      <x:c r="T249" s="3" t="str">
        <x:v>previous README / supplementary search</x:v>
      </x:c>
      <x:c r="U249" s="5" t="d">
        <x:v>2026-10-16T00:00:00.000Z</x:v>
      </x:c>
      <x:c r="V249" s="6" t="str">
        <x:v>未分配</x:v>
      </x:c>
      <x:c r="W249" s="6" t="str"/>
      <x:c r="X249" s="6" t="str"/>
      <x:c r="Y249" s="6" t="str"/>
      <x:c r="Z249" s="3" t="str">
        <x:v>新增/保留README来源；论文身份与摘要已核验；分类为维护者判断。</x:v>
      </x:c>
    </x:row>
    <x:row r="250" ht="55" customHeight="1">
      <x:c r="A250" s="3" t="str">
        <x:v>WA-0258</x:v>
      </x:c>
      <x:c r="B250" s="3" t="str">
        <x:v>HiL-Bench (Human-in-Loop Benchmark): Do Agents Know When to Ask for Help?</x:v>
      </x:c>
      <x:c r="C250" s="3" t="str">
        <x:v>HiL-Bench</x:v>
      </x:c>
      <x:c r="D250" s="4" t="n">
        <x:v>2026</x:v>
      </x:c>
      <x:c r="E250" s="7" t="str">
        <x:v>https://arxiv.org/abs/2604.09408</x:v>
      </x:c>
      <x:c r="F250" s="3" t="str">
        <x:v>Scale AI</x:v>
      </x:c>
      <x:c r="G250" s="3" t="str">
        <x:v>Benchmark</x:v>
      </x:c>
      <x:c r="H250" s="3" t="str">
        <x:v>swe-science</x:v>
      </x:c>
      <x:c r="I250" s="3" t="str">
        <x:v>Selective escalation and clarification</x:v>
      </x:c>
      <x:c r="J250" s="3" t="str">
        <x:v>reasoning;coordination;execution</x:v>
      </x:c>
      <x:c r="K250" s="3" t="str"/>
      <x:c r="L250" s="3" t="str">
        <x:v>6.1;7.4</x:v>
      </x:c>
      <x:c r="M250" s="3" t="str">
        <x:v>人为引入缺失、模糊或冲突的需求，用Ask-F1检验代理是否在合适时机请求帮助。</x:v>
      </x:c>
      <x:c r="N250" s="7" t="str">
        <x:v>https://github.com/hilbenchauthors/hil-bench</x:v>
      </x:c>
      <x:c r="O250" s="7" t="str">
        <x:v>https://huggingface.co/datasets/ScaleAI/hil-bench</x:v>
      </x:c>
      <x:c r="P250" s="3" t="str">
        <x:v>verified</x:v>
      </x:c>
      <x:c r="Q250" s="7" t="str">
        <x:v>https://arxiv.org/html/2604.09408v1</x:v>
      </x:c>
      <x:c r="R250" s="7" t="str">
        <x:v>https://arxiv.org/abs/2604.09408</x:v>
      </x:c>
      <x:c r="S250" s="3" t="str"/>
      <x:c r="T250" s="3" t="str">
        <x:v>previous README / supplementary search</x:v>
      </x:c>
      <x:c r="U250" s="5" t="d">
        <x:v>2026-10-16T00:00:00.000Z</x:v>
      </x:c>
      <x:c r="V250" s="6" t="str">
        <x:v>未分配</x:v>
      </x:c>
      <x:c r="W250" s="6" t="str"/>
      <x:c r="X250" s="6" t="str"/>
      <x:c r="Y250" s="6" t="str"/>
      <x:c r="Z250" s="3" t="str">
        <x:v>由README末尾待展开条目补全；身份和机构以论文首版前置信息核验。</x:v>
      </x:c>
    </x:row>
    <x:row r="251" ht="55" customHeight="1">
      <x:c r="A251" s="3" t="str">
        <x:v>WA-0259</x:v>
      </x:c>
      <x:c r="B251" s="3" t="str">
        <x:v>InjecAgent: Benchmarking Indirect Prompt Injections in Tool-Integrated Large Language Model Agents</x:v>
      </x:c>
      <x:c r="C251" s="3" t="str">
        <x:v>InjecAgent</x:v>
      </x:c>
      <x:c r="D251" s="4" t="n">
        <x:v>2024</x:v>
      </x:c>
      <x:c r="E251" s="7" t="str">
        <x:v>https://arxiv.org/abs/2403.02691</x:v>
      </x:c>
      <x:c r="F251" s="3" t="str">
        <x:v>University of Illinois Urbana-Champaign</x:v>
      </x:c>
      <x:c r="G251" s="3" t="str">
        <x:v>Benchmark</x:v>
      </x:c>
      <x:c r="H251" s="3" t="str">
        <x:v>safety</x:v>
      </x:c>
      <x:c r="I251" s="3" t="str">
        <x:v>Indirect prompt injection</x:v>
      </x:c>
      <x:c r="J251" s="3" t="str">
        <x:v>execution;verification</x:v>
      </x:c>
      <x:c r="K251" s="3" t="str"/>
      <x:c r="L251" s="3" t="str">
        <x:v>6.1;7.4</x:v>
      </x:c>
      <x:c r="M251" s="3" t="str">
        <x:v>用工具输出中的间接提示注入测试代理是否将外部数据误当成指令。</x:v>
      </x:c>
      <x:c r="N251" s="3" t="str"/>
      <x:c r="O251" s="3" t="str"/>
      <x:c r="P251" s="3" t="str">
        <x:v>verified</x:v>
      </x:c>
      <x:c r="Q251" s="7" t="str">
        <x:v>https://arxiv.org/html/2403.02691v1</x:v>
      </x:c>
      <x:c r="R251" s="7" t="str">
        <x:v>https://arxiv.org/abs/2403.02691</x:v>
      </x:c>
      <x:c r="S251" s="3" t="str"/>
      <x:c r="T251" s="3" t="str">
        <x:v>previous README / supplementary search</x:v>
      </x:c>
      <x:c r="U251" s="5" t="d">
        <x:v>2026-10-16T00:00:00.000Z</x:v>
      </x:c>
      <x:c r="V251" s="6" t="str">
        <x:v>未分配</x:v>
      </x:c>
      <x:c r="W251" s="6" t="str"/>
      <x:c r="X251" s="6" t="str"/>
      <x:c r="Y251" s="6" t="str"/>
      <x:c r="Z251" s="3" t="str">
        <x:v>新增/保留README来源；论文身份与摘要已核验；分类为维护者判断。</x:v>
      </x:c>
    </x:row>
    <x:row r="252" ht="100" customHeight="1">
      <x:c r="A252" s="3" t="str">
        <x:v>WA-0260</x:v>
      </x:c>
      <x:c r="B252" s="3" t="str">
        <x:v>JobBench: Aligning Agent Work With Human Will</x:v>
      </x:c>
      <x:c r="C252" s="3" t="str">
        <x:v>JobBench</x:v>
      </x:c>
      <x:c r="D252" s="4" t="n">
        <x:v>2026</x:v>
      </x:c>
      <x:c r="E252" s="7" t="str">
        <x:v>https://arxiv.org/abs/2605.26329</x:v>
      </x:c>
      <x:c r="F252" s="3" t="str">
        <x:v>University of Washington; UC Santa Barbara; Stanford University; Carnegie Mellon University; Northwestern University; University of Notre Dame; UC Berkeley; Michigan State University; MIT-IBM Watson AI Lab; Bake AI; King Abdulaziz City for Science and Technology; Western Washington University; University of Chicago</x:v>
      </x:c>
      <x:c r="G252" s="3" t="str">
        <x:v>Benchmark</x:v>
      </x:c>
      <x:c r="H252" s="3" t="str">
        <x:v>workspace</x:v>
      </x:c>
      <x:c r="I252" s="3" t="str">
        <x:v>Human-prioritized delegated work</x:v>
      </x:c>
      <x:c r="J252" s="3" t="str">
        <x:v>perception;reasoning;execution;verification</x:v>
      </x:c>
      <x:c r="K252" s="3" t="str"/>
      <x:c r="L252" s="3" t="str">
        <x:v>6.1;7.3</x:v>
      </x:c>
      <x:c r="M252" s="3" t="str">
        <x:v>按专家希望委托的工作构造异构文件工作区，以事实锚定的rubric评估职业交付。</x:v>
      </x:c>
      <x:c r="N252" s="7" t="str">
        <x:v>https://github.com/Job-Bench/job-bench-eval</x:v>
      </x:c>
      <x:c r="O252" s="7" t="str">
        <x:v>https://huggingface.co/datasets/JobBench/job-bench</x:v>
      </x:c>
      <x:c r="P252" s="3" t="str">
        <x:v>verified</x:v>
      </x:c>
      <x:c r="Q252" s="7" t="str">
        <x:v>https://arxiv.org/html/2605.26329v1</x:v>
      </x:c>
      <x:c r="R252" s="7" t="str">
        <x:v>https://arxiv.org/abs/2605.26329</x:v>
      </x:c>
      <x:c r="S252" s="3" t="str"/>
      <x:c r="T252" s="3" t="str">
        <x:v>previous README / supplementary search</x:v>
      </x:c>
      <x:c r="U252" s="5" t="d">
        <x:v>2026-10-16T00:00:00.000Z</x:v>
      </x:c>
      <x:c r="V252" s="6" t="str">
        <x:v>未分配</x:v>
      </x:c>
      <x:c r="W252" s="6" t="str"/>
      <x:c r="X252" s="6" t="str"/>
      <x:c r="Y252" s="6" t="str"/>
      <x:c r="Z252" s="3" t="str">
        <x:v>原README标2025；论文首发2026年5月。</x:v>
      </x:c>
    </x:row>
    <x:row r="253" ht="55" customHeight="1">
      <x:c r="A253" s="3" t="str">
        <x:v>WA-0261</x:v>
      </x:c>
      <x:c r="B253" s="3" t="str">
        <x:v>Legal Research Bench: Measuring End-to-End Reliability in Long-Horizon Legal Research Agents</x:v>
      </x:c>
      <x:c r="C253" s="3" t="str">
        <x:v>Legal Research Bench</x:v>
      </x:c>
      <x:c r="D253" s="4" t="n">
        <x:v>2026</x:v>
      </x:c>
      <x:c r="E253" s="7" t="str">
        <x:v>https://arxiv.org/abs/2610.00609</x:v>
      </x:c>
      <x:c r="F253" s="3" t="str">
        <x:v>Vals AI</x:v>
      </x:c>
      <x:c r="G253" s="3" t="str">
        <x:v>Benchmark</x:v>
      </x:c>
      <x:c r="H253" s="3" t="str">
        <x:v>related</x:v>
      </x:c>
      <x:c r="I253" s="3" t="str">
        <x:v>Long-horizon legal research</x:v>
      </x:c>
      <x:c r="J253" s="3" t="str">
        <x:v>perception;reasoning;verification</x:v>
      </x:c>
      <x:c r="K253" s="3" t="str"/>
      <x:c r="L253" s="3" t="str">
        <x:v>6.1;6.3</x:v>
      </x:c>
      <x:c r="M253" s="3" t="str">
        <x:v>以多步骤美国法律检索问题、全项通过评分与引用真实性检查评价研究答案可靠性。</x:v>
      </x:c>
      <x:c r="N253" s="7" t="str">
        <x:v>https://github.com/vals-ai/legal-research-bench</x:v>
      </x:c>
      <x:c r="O253" s="3" t="str"/>
      <x:c r="P253" s="3" t="str">
        <x:v>verified</x:v>
      </x:c>
      <x:c r="Q253" s="7" t="str">
        <x:v>https://arxiv.org/html/2610.00609v1</x:v>
      </x:c>
      <x:c r="R253" s="7" t="str">
        <x:v>https://arxiv.org/abs/2610.00609</x:v>
      </x:c>
      <x:c r="S253" s="3" t="str"/>
      <x:c r="T253" s="3" t="str">
        <x:v>previous README / supplementary search</x:v>
      </x:c>
      <x:c r="U253" s="5" t="d">
        <x:v>2026-10-16T00:00:00.000Z</x:v>
      </x:c>
      <x:c r="V253" s="6" t="str">
        <x:v>未分配</x:v>
      </x:c>
      <x:c r="W253" s="6" t="str"/>
      <x:c r="X253" s="6" t="str"/>
      <x:c r="Y253" s="6" t="str"/>
      <x:c r="Z253" s="3" t="str">
        <x:v>原README仅列资源，现已发现2026年正式预印本；公开代码含样例，完整评测集受限。</x:v>
      </x:c>
    </x:row>
    <x:row r="254" ht="55" customHeight="1">
      <x:c r="A254" s="3" t="str">
        <x:v>WA-0262</x:v>
      </x:c>
      <x:c r="B254" s="3" t="str">
        <x:v>Lifelong Learning of Large Language Model based Agents: A Roadmap</x:v>
      </x:c>
      <x:c r="C254" s="3" t="str">
        <x:v>Lifelong Learning of LLM Agents</x:v>
      </x:c>
      <x:c r="D254" s="4" t="n">
        <x:v>2025</x:v>
      </x:c>
      <x:c r="E254" s="7" t="str">
        <x:v>https://arxiv.org/abs/2501.07278</x:v>
      </x:c>
      <x:c r="F254" s="3" t="str">
        <x:v>South China University of Technology; MBZUAI; Tencent AI Lab</x:v>
      </x:c>
      <x:c r="G254" s="3" t="str">
        <x:v>Survey</x:v>
      </x:c>
      <x:c r="H254" s="3" t="str">
        <x:v>persistent</x:v>
      </x:c>
      <x:c r="I254" s="3" t="str">
        <x:v>Lifelong-learning roadmap</x:v>
      </x:c>
      <x:c r="J254" s="3" t="str">
        <x:v>memory;learning</x:v>
      </x:c>
      <x:c r="K254" s="3" t="str"/>
      <x:c r="L254" s="3" t="str">
        <x:v>5.3;7.2</x:v>
      </x:c>
      <x:c r="M254" s="3" t="str">
        <x:v>梳理LLM代理终身学习的能力、记忆和持续适应路线。</x:v>
      </x:c>
      <x:c r="N254" s="3" t="str"/>
      <x:c r="O254" s="3" t="str"/>
      <x:c r="P254" s="3" t="str">
        <x:v>verified</x:v>
      </x:c>
      <x:c r="Q254" s="7" t="str">
        <x:v>https://arxiv.org/html/2501.07278v1</x:v>
      </x:c>
      <x:c r="R254" s="7" t="str">
        <x:v>https://arxiv.org/abs/2501.07278</x:v>
      </x:c>
      <x:c r="S254" s="3" t="str"/>
      <x:c r="T254" s="3" t="str">
        <x:v>previous README / supplementary search</x:v>
      </x:c>
      <x:c r="U254" s="5" t="d">
        <x:v>2026-10-16T00:00:00.000Z</x:v>
      </x:c>
      <x:c r="V254" s="6" t="str">
        <x:v>未分配</x:v>
      </x:c>
      <x:c r="W254" s="6" t="str"/>
      <x:c r="X254" s="6" t="str"/>
      <x:c r="Y254" s="6" t="str"/>
      <x:c r="Z254" s="3" t="str">
        <x:v>新增/保留README来源；论文身份与摘要已核验；分类为维护者判断。</x:v>
      </x:c>
    </x:row>
    <x:row r="255" ht="55" customHeight="1">
      <x:c r="A255" s="3" t="str">
        <x:v>WA-0263</x:v>
      </x:c>
      <x:c r="B255" s="3" t="str">
        <x:v>LLM+P: Empowering Large Language Models with Optimal Planning Proficiency</x:v>
      </x:c>
      <x:c r="C255" s="3" t="str">
        <x:v>LLM+P</x:v>
      </x:c>
      <x:c r="D255" s="4" t="n">
        <x:v>2023</x:v>
      </x:c>
      <x:c r="E255" s="7" t="str">
        <x:v>https://arxiv.org/abs/2304.11477</x:v>
      </x:c>
      <x:c r="F255" s="3" t="str">
        <x:v>University of Texas at Austin; State University of New York at Binghamton</x:v>
      </x:c>
      <x:c r="G255" s="3" t="str">
        <x:v>Method</x:v>
      </x:c>
      <x:c r="H255" s="3" t="str">
        <x:v>tool-enterprise</x:v>
      </x:c>
      <x:c r="I255" s="3" t="str">
        <x:v>LLM and symbolic planning</x:v>
      </x:c>
      <x:c r="J255" s="3" t="str">
        <x:v>reasoning;planning;verification</x:v>
      </x:c>
      <x:c r="K255" s="3" t="str"/>
      <x:c r="L255" s="3" t="str">
        <x:v>4.3</x:v>
      </x:c>
      <x:c r="M255" s="3" t="str">
        <x:v>将语言任务转成形式规划问题，调用经典规划器后再转回可读计划。</x:v>
      </x:c>
      <x:c r="N255" s="3" t="str"/>
      <x:c r="O255" s="3" t="str"/>
      <x:c r="P255" s="3" t="str">
        <x:v>verified</x:v>
      </x:c>
      <x:c r="Q255" s="7" t="str">
        <x:v>https://arxiv.org/html/2304.11477v1</x:v>
      </x:c>
      <x:c r="R255" s="7" t="str">
        <x:v>https://arxiv.org/abs/2304.11477</x:v>
      </x:c>
      <x:c r="S255" s="3" t="str"/>
      <x:c r="T255" s="3" t="str">
        <x:v>previous README / supplementary search</x:v>
      </x:c>
      <x:c r="U255" s="5" t="d">
        <x:v>2026-10-16T00:00:00.000Z</x:v>
      </x:c>
      <x:c r="V255" s="6" t="str">
        <x:v>未分配</x:v>
      </x:c>
      <x:c r="W255" s="6" t="str"/>
      <x:c r="X255" s="6" t="str"/>
      <x:c r="Y255" s="6" t="str"/>
      <x:c r="Z255" s="3" t="str">
        <x:v>新增/保留README来源；论文身份与摘要已核验；分类为维护者判断。</x:v>
      </x:c>
    </x:row>
    <x:row r="256" ht="55" customHeight="1">
      <x:c r="A256" s="3" t="str">
        <x:v>WA-0264</x:v>
      </x:c>
      <x:c r="B256" s="3" t="str">
        <x:v>MCP-Atlas: A Large-Scale Benchmark for Tool-Use Competency with Real MCP Servers</x:v>
      </x:c>
      <x:c r="C256" s="3" t="str">
        <x:v>MCP-Atlas</x:v>
      </x:c>
      <x:c r="D256" s="4" t="n">
        <x:v>2026</x:v>
      </x:c>
      <x:c r="E256" s="7" t="str">
        <x:v>https://arxiv.org/abs/2602.00933</x:v>
      </x:c>
      <x:c r="F256" s="3" t="str">
        <x:v>Scale AI</x:v>
      </x:c>
      <x:c r="G256" s="3" t="str">
        <x:v>Benchmark</x:v>
      </x:c>
      <x:c r="H256" s="3" t="str">
        <x:v>tool-enterprise</x:v>
      </x:c>
      <x:c r="I256" s="3" t="str">
        <x:v>Real MCP-server tool use</x:v>
      </x:c>
      <x:c r="J256" s="3" t="str">
        <x:v>reasoning;planning;execution</x:v>
      </x:c>
      <x:c r="K256" s="3" t="str"/>
      <x:c r="L256" s="3" t="str">
        <x:v>6.1</x:v>
      </x:c>
      <x:c r="M256" s="3" t="str">
        <x:v>用真实MCP服务器构建大规模工具能力评测；工具调用不意味着每题都修改业务状态。</x:v>
      </x:c>
      <x:c r="N256" s="3" t="str"/>
      <x:c r="O256" s="3" t="str"/>
      <x:c r="P256" s="3" t="str">
        <x:v>verified</x:v>
      </x:c>
      <x:c r="Q256" s="7" t="str">
        <x:v>https://arxiv.org/html/2602.00933v1</x:v>
      </x:c>
      <x:c r="R256" s="7" t="str">
        <x:v>https://arxiv.org/abs/2602.00933</x:v>
      </x:c>
      <x:c r="S256" s="3" t="str"/>
      <x:c r="T256" s="3" t="str">
        <x:v>previous README / supplementary search</x:v>
      </x:c>
      <x:c r="U256" s="5" t="d">
        <x:v>2026-10-16T00:00:00.000Z</x:v>
      </x:c>
      <x:c r="V256" s="6" t="str">
        <x:v>未分配</x:v>
      </x:c>
      <x:c r="W256" s="6" t="str"/>
      <x:c r="X256" s="6" t="str"/>
      <x:c r="Y256" s="6" t="str"/>
      <x:c r="Z256" s="3" t="str">
        <x:v>新增/保留README来源；论文身份与摘要已核验；分类为维护者判断。</x:v>
      </x:c>
    </x:row>
    <x:row r="257" ht="85" customHeight="1">
      <x:c r="A257" s="3" t="str">
        <x:v>WA-0267</x:v>
      </x:c>
      <x:c r="B257" s="3" t="str">
        <x:v>Memory in the Age of AI Agents</x:v>
      </x:c>
      <x:c r="C257" s="3" t="str">
        <x:v>Memory in the Age of AI Agents</x:v>
      </x:c>
      <x:c r="D257" s="4" t="n">
        <x:v>2025</x:v>
      </x:c>
      <x:c r="E257" s="7" t="str">
        <x:v>https://arxiv.org/abs/2512.13564</x:v>
      </x:c>
      <x:c r="F257" s="3" t="str">
        <x:v>National University of Singapore; Renmin University of China; Fudan University; Peking University; Nanyang Technological University; Tongji University; UC San Diego; HKUST (Guangzhou); Griffith University; Georgia Institute of Technology; OPPO; University of Oxford</x:v>
      </x:c>
      <x:c r="G257" s="3" t="str">
        <x:v>Survey</x:v>
      </x:c>
      <x:c r="H257" s="3" t="str">
        <x:v>persistent</x:v>
      </x:c>
      <x:c r="I257" s="3" t="str">
        <x:v>Agent-memory taxonomy</x:v>
      </x:c>
      <x:c r="J257" s="3" t="str">
        <x:v>memory;state-management;learning</x:v>
      </x:c>
      <x:c r="K257" s="3" t="str"/>
      <x:c r="L257" s="3" t="str">
        <x:v>4.4;5.3;7.2</x:v>
      </x:c>
      <x:c r="M257" s="3" t="str">
        <x:v>系统整理代理记忆的形式、功能与演化机制。</x:v>
      </x:c>
      <x:c r="N257" s="3" t="str"/>
      <x:c r="O257" s="3" t="str"/>
      <x:c r="P257" s="3" t="str">
        <x:v>verified</x:v>
      </x:c>
      <x:c r="Q257" s="7" t="str">
        <x:v>https://arxiv.org/html/2512.13564v1</x:v>
      </x:c>
      <x:c r="R257" s="7" t="str">
        <x:v>https://arxiv.org/abs/2512.13564</x:v>
      </x:c>
      <x:c r="S257" s="3" t="str"/>
      <x:c r="T257" s="3" t="str">
        <x:v>previous README / supplementary search</x:v>
      </x:c>
      <x:c r="U257" s="5" t="d">
        <x:v>2026-10-16T00:00:00.000Z</x:v>
      </x:c>
      <x:c r="V257" s="6" t="str">
        <x:v>未分配</x:v>
      </x:c>
      <x:c r="W257" s="6" t="str"/>
      <x:c r="X257" s="6" t="str"/>
      <x:c r="Y257" s="6" t="str"/>
      <x:c r="Z257" s="3" t="str">
        <x:v>当前arXiv正式题名不包含原README的Forms, Functions and Dynamics副标题。</x:v>
      </x:c>
    </x:row>
    <x:row r="258" ht="55" customHeight="1">
      <x:c r="A258" s="3" t="str">
        <x:v>WA-0268</x:v>
      </x:c>
      <x:c r="B258" s="3" t="str">
        <x:v>Mind2Web: Towards a Generalist Agent for the Web</x:v>
      </x:c>
      <x:c r="C258" s="3" t="str">
        <x:v>Mind2Web</x:v>
      </x:c>
      <x:c r="D258" s="4" t="n">
        <x:v>2023</x:v>
      </x:c>
      <x:c r="E258" s="7" t="str">
        <x:v>https://arxiv.org/abs/2306.06070</x:v>
      </x:c>
      <x:c r="F258" s="3" t="str">
        <x:v>The Ohio State University</x:v>
      </x:c>
      <x:c r="G258" s="3" t="str">
        <x:v>Benchmark</x:v>
      </x:c>
      <x:c r="H258" s="3" t="str">
        <x:v>computer-use</x:v>
      </x:c>
      <x:c r="I258" s="3" t="str">
        <x:v>Generalist web action prediction</x:v>
      </x:c>
      <x:c r="J258" s="3" t="str">
        <x:v>perception;planning;execution</x:v>
      </x:c>
      <x:c r="K258" s="3" t="str"/>
      <x:c r="L258" s="3" t="str">
        <x:v>6.1</x:v>
      </x:c>
      <x:c r="M258" s="3" t="str">
        <x:v>收集跨网站真实任务与动作演示，测试网页代理的跨站点泛化。</x:v>
      </x:c>
      <x:c r="N258" s="3" t="str"/>
      <x:c r="O258" s="3" t="str"/>
      <x:c r="P258" s="3" t="str">
        <x:v>verified</x:v>
      </x:c>
      <x:c r="Q258" s="7" t="str">
        <x:v>https://arxiv.org/html/2306.06070v1</x:v>
      </x:c>
      <x:c r="R258" s="7" t="str">
        <x:v>https://arxiv.org/abs/2306.06070</x:v>
      </x:c>
      <x:c r="S258" s="3" t="str"/>
      <x:c r="T258" s="3" t="str">
        <x:v>previous README / supplementary search</x:v>
      </x:c>
      <x:c r="U258" s="5" t="d">
        <x:v>2026-10-16T00:00:00.000Z</x:v>
      </x:c>
      <x:c r="V258" s="6" t="str">
        <x:v>未分配</x:v>
      </x:c>
      <x:c r="W258" s="6" t="str"/>
      <x:c r="X258" s="6" t="str"/>
      <x:c r="Y258" s="6" t="str"/>
      <x:c r="Z258" s="3" t="str">
        <x:v>新增/保留README来源；论文身份与摘要已核验；分类为维护者判断。</x:v>
      </x:c>
    </x:row>
    <x:row r="259" ht="55" customHeight="1">
      <x:c r="A259" s="3" t="str">
        <x:v>WA-0270</x:v>
      </x:c>
      <x:c r="B259" s="3" t="str">
        <x:v>MLE-bench: Evaluating Machine Learning Agents on Machine Learning Engineering</x:v>
      </x:c>
      <x:c r="C259" s="3" t="str">
        <x:v>MLE-bench</x:v>
      </x:c>
      <x:c r="D259" s="4" t="n">
        <x:v>2024</x:v>
      </x:c>
      <x:c r="E259" s="7" t="str">
        <x:v>https://arxiv.org/abs/2410.07095</x:v>
      </x:c>
      <x:c r="F259" s="3" t="str">
        <x:v>OpenAI</x:v>
      </x:c>
      <x:c r="G259" s="3" t="str">
        <x:v>Benchmark</x:v>
      </x:c>
      <x:c r="H259" s="3" t="str">
        <x:v>swe-science</x:v>
      </x:c>
      <x:c r="I259" s="3" t="str">
        <x:v>Machine-learning engineering</x:v>
      </x:c>
      <x:c r="J259" s="3" t="str">
        <x:v>planning;execution;learning</x:v>
      </x:c>
      <x:c r="K259" s="3" t="str"/>
      <x:c r="L259" s="3" t="str">
        <x:v>6.1</x:v>
      </x:c>
      <x:c r="M259" s="3" t="str">
        <x:v>在Kaggle任务中评估代理训练模型、运行实验及组织机器学习工程的能力。</x:v>
      </x:c>
      <x:c r="N259" s="3" t="str"/>
      <x:c r="O259" s="3" t="str"/>
      <x:c r="P259" s="3" t="str">
        <x:v>verified</x:v>
      </x:c>
      <x:c r="Q259" s="7" t="str">
        <x:v>https://arxiv.org/html/2410.07095v1</x:v>
      </x:c>
      <x:c r="R259" s="7" t="str">
        <x:v>https://arxiv.org/abs/2410.07095</x:v>
      </x:c>
      <x:c r="S259" s="3" t="str"/>
      <x:c r="T259" s="3" t="str">
        <x:v>previous README / supplementary search</x:v>
      </x:c>
      <x:c r="U259" s="5" t="d">
        <x:v>2026-10-16T00:00:00.000Z</x:v>
      </x:c>
      <x:c r="V259" s="6" t="str">
        <x:v>未分配</x:v>
      </x:c>
      <x:c r="W259" s="6" t="str"/>
      <x:c r="X259" s="6" t="str"/>
      <x:c r="Y259" s="6" t="str"/>
      <x:c r="Z259" s="3" t="str">
        <x:v>新增/保留README来源；论文身份与摘要已核验；分类为维护者判断。</x:v>
      </x:c>
    </x:row>
    <x:row r="260" ht="55" customHeight="1">
      <x:c r="A260" s="3" t="str">
        <x:v>WA-0271</x:v>
      </x:c>
      <x:c r="B260" s="3" t="str">
        <x:v>MLGym: A New Framework and Benchmark for Advancing AI Research Agents</x:v>
      </x:c>
      <x:c r="C260" s="3" t="str">
        <x:v>MLGym</x:v>
      </x:c>
      <x:c r="D260" s="4" t="n">
        <x:v>2025</x:v>
      </x:c>
      <x:c r="E260" s="7" t="str">
        <x:v>https://arxiv.org/abs/2502.14499</x:v>
      </x:c>
      <x:c r="F260" s="3" t="str">
        <x:v>Meta; UC Santa Barbara; University College London; University of Wisconsin–Madison; University of Oxford</x:v>
      </x:c>
      <x:c r="G260" s="3" t="str">
        <x:v>Framework;Benchmark</x:v>
      </x:c>
      <x:c r="H260" s="3" t="str">
        <x:v>swe-science</x:v>
      </x:c>
      <x:c r="I260" s="3" t="str">
        <x:v>AI research gym</x:v>
      </x:c>
      <x:c r="J260" s="3" t="str">
        <x:v>planning;execution;learning;verification</x:v>
      </x:c>
      <x:c r="K260" s="3" t="str"/>
      <x:c r="L260" s="3" t="str">
        <x:v>6.1;6.4</x:v>
      </x:c>
      <x:c r="M260" s="3" t="str">
        <x:v>提供开放式AI研究任务与Gym环境，评估假设、实验、数据与模型改进的完整过程。</x:v>
      </x:c>
      <x:c r="N260" s="7" t="str">
        <x:v>https://github.com/facebookresearch/MLGym</x:v>
      </x:c>
      <x:c r="O260" s="3" t="str"/>
      <x:c r="P260" s="3" t="str">
        <x:v>verified</x:v>
      </x:c>
      <x:c r="Q260" s="7" t="str">
        <x:v>https://arxiv.org/html/2502.14499v1</x:v>
      </x:c>
      <x:c r="R260" s="7" t="str">
        <x:v>https://arxiv.org/abs/2502.14499</x:v>
      </x:c>
      <x:c r="S260" s="3" t="str"/>
      <x:c r="T260" s="3" t="str">
        <x:v>previous README / supplementary search</x:v>
      </x:c>
      <x:c r="U260" s="5" t="d">
        <x:v>2026-10-16T00:00:00.000Z</x:v>
      </x:c>
      <x:c r="V260" s="6" t="str">
        <x:v>未分配</x:v>
      </x:c>
      <x:c r="W260" s="6" t="str"/>
      <x:c r="X260" s="6" t="str"/>
      <x:c r="Y260" s="6" t="str"/>
      <x:c r="Z260" s="3" t="str">
        <x:v>由README末尾待展开条目补全；身份和机构以论文首版前置信息核验。</x:v>
      </x:c>
    </x:row>
    <x:row r="261" ht="55" customHeight="1">
      <x:c r="A261" s="3" t="str">
        <x:v>WA-0272</x:v>
      </x:c>
      <x:c r="B261" s="3" t="str">
        <x:v>OdysseyBench: Evaluating LLM Agents on Long-Horizon Complex Office Application Workflows</x:v>
      </x:c>
      <x:c r="C261" s="3" t="str">
        <x:v>OdysseyBench</x:v>
      </x:c>
      <x:c r="D261" s="4" t="n">
        <x:v>2025</x:v>
      </x:c>
      <x:c r="E261" s="7" t="str">
        <x:v>https://arxiv.org/abs/2508.09124</x:v>
      </x:c>
      <x:c r="F261" s="3" t="str">
        <x:v>University of Edinburgh; Microsoft</x:v>
      </x:c>
      <x:c r="G261" s="3" t="str">
        <x:v>Benchmark</x:v>
      </x:c>
      <x:c r="H261" s="3" t="str">
        <x:v>workspace</x:v>
      </x:c>
      <x:c r="I261" s="3" t="str">
        <x:v>Long-horizon office workflows</x:v>
      </x:c>
      <x:c r="J261" s="3" t="str">
        <x:v>planning;execution;memory;state-management</x:v>
      </x:c>
      <x:c r="K261" s="3" t="str"/>
      <x:c r="L261" s="3" t="str">
        <x:v>6.1</x:v>
      </x:c>
      <x:c r="M261" s="3" t="str">
        <x:v>覆盖Word、Excel、PDF、邮件及日历等办公应用的长程复杂工作流。</x:v>
      </x:c>
      <x:c r="N261" s="3" t="str"/>
      <x:c r="O261" s="3" t="str"/>
      <x:c r="P261" s="3" t="str">
        <x:v>verified</x:v>
      </x:c>
      <x:c r="Q261" s="7" t="str">
        <x:v>https://arxiv.org/html/2508.09124v1</x:v>
      </x:c>
      <x:c r="R261" s="7" t="str">
        <x:v>https://arxiv.org/abs/2508.09124</x:v>
      </x:c>
      <x:c r="S261" s="3" t="str"/>
      <x:c r="T261" s="3" t="str">
        <x:v>previous README / supplementary search</x:v>
      </x:c>
      <x:c r="U261" s="5" t="d">
        <x:v>2026-10-16T00:00:00.000Z</x:v>
      </x:c>
      <x:c r="V261" s="6" t="str">
        <x:v>未分配</x:v>
      </x:c>
      <x:c r="W261" s="6" t="str"/>
      <x:c r="X261" s="6" t="str"/>
      <x:c r="Y261" s="6" t="str"/>
      <x:c r="Z261" s="3" t="str">
        <x:v>长程任务不自动代表跨会话持续责任，主类按跨应用办公工作区。</x:v>
      </x:c>
    </x:row>
    <x:row r="262" ht="55" customHeight="1">
      <x:c r="A262" s="3" t="str">
        <x:v>WA-0273</x:v>
      </x:c>
      <x:c r="B262" s="3" t="str">
        <x:v>OfficeQA Pro: An Enterprise Benchmark for End-to-End Grounded Reasoning</x:v>
      </x:c>
      <x:c r="C262" s="3" t="str">
        <x:v>OfficeQA Pro</x:v>
      </x:c>
      <x:c r="D262" s="4" t="n">
        <x:v>2026</x:v>
      </x:c>
      <x:c r="E262" s="7" t="str">
        <x:v>https://arxiv.org/abs/2603.08655</x:v>
      </x:c>
      <x:c r="F262" s="3" t="str">
        <x:v>Databricks</x:v>
      </x:c>
      <x:c r="G262" s="3" t="str">
        <x:v>Benchmark</x:v>
      </x:c>
      <x:c r="H262" s="3" t="str">
        <x:v>related</x:v>
      </x:c>
      <x:c r="I262" s="3" t="str">
        <x:v>Enterprise grounded document reasoning</x:v>
      </x:c>
      <x:c r="J262" s="3" t="str">
        <x:v>perception;reasoning;execution</x:v>
      </x:c>
      <x:c r="K262" s="3" t="str"/>
      <x:c r="L262" s="3" t="str">
        <x:v>6.1</x:v>
      </x:c>
      <x:c r="M262" s="3" t="str">
        <x:v>在大型美国财政公报语料上评估跨文档检索、解析和分析推理，以答案正确性计分。</x:v>
      </x:c>
      <x:c r="N262" s="7" t="str">
        <x:v>https://github.com/databricks/officeqa</x:v>
      </x:c>
      <x:c r="O262" s="7" t="str">
        <x:v>https://huggingface.co/datasets/databricks/officeqa</x:v>
      </x:c>
      <x:c r="P262" s="3" t="str">
        <x:v>verified</x:v>
      </x:c>
      <x:c r="Q262" s="7" t="str">
        <x:v>https://arxiv.org/pdf/2603.08655</x:v>
      </x:c>
      <x:c r="R262" s="7" t="str">
        <x:v>https://arxiv.org/abs/2603.08655</x:v>
      </x:c>
      <x:c r="S262" s="3" t="str"/>
      <x:c r="T262" s="3" t="str">
        <x:v>previous README / supplementary search</x:v>
      </x:c>
      <x:c r="U262" s="5" t="d">
        <x:v>2026-10-16T00:00:00.000Z</x:v>
      </x:c>
      <x:c r="V262" s="6" t="str">
        <x:v>未分配</x:v>
      </x:c>
      <x:c r="W262" s="6" t="str"/>
      <x:c r="X262" s="6" t="str"/>
      <x:c r="Y262" s="6" t="str"/>
      <x:c r="Z262" s="3" t="str">
        <x:v>OfficeQA于2025有官方发布；此条论文OfficeQA Pro首发2026年3月。</x:v>
      </x:c>
    </x:row>
    <x:row r="263" ht="55" customHeight="1">
      <x:c r="A263" s="3" t="str">
        <x:v>WA-0274</x:v>
      </x:c>
      <x:c r="B263" s="3" t="str">
        <x:v>OmegaUse-OfficeVal: Benchmarking LLM Agents on Long-Horizon Office-Suite Tasks with Economic Grounding</x:v>
      </x:c>
      <x:c r="C263" s="3" t="str">
        <x:v>OmegaUse-OfficeVal</x:v>
      </x:c>
      <x:c r="D263" s="4" t="n">
        <x:v>2026</x:v>
      </x:c>
      <x:c r="E263" s="7" t="str">
        <x:v>https://arxiv.org/abs/2607.27155</x:v>
      </x:c>
      <x:c r="F263" s="3" t="str">
        <x:v>Baidu</x:v>
      </x:c>
      <x:c r="G263" s="3" t="str">
        <x:v>Benchmark</x:v>
      </x:c>
      <x:c r="H263" s="3" t="str">
        <x:v>workspace</x:v>
      </x:c>
      <x:c r="I263" s="3" t="str">
        <x:v>Economically grounded office work</x:v>
      </x:c>
      <x:c r="J263" s="3" t="str">
        <x:v>planning;execution;verification</x:v>
      </x:c>
      <x:c r="K263" s="3" t="str"/>
      <x:c r="L263" s="3" t="str">
        <x:v>6.1;7.3</x:v>
      </x:c>
      <x:c r="M263" s="3" t="str">
        <x:v>将真实办公需求与人工劳动时间和价格信号关联，用代码验证器评估工作质量与成本。</x:v>
      </x:c>
      <x:c r="N263" s="7" t="str">
        <x:v>https://github.com/baidu-frontier-research/OmegaUse-OfficeVal</x:v>
      </x:c>
      <x:c r="O263" s="7" t="str">
        <x:v>https://huggingface.co/datasets/baidu-frontier-research/OmegaUse-OfficeVal</x:v>
      </x:c>
      <x:c r="P263" s="3" t="str">
        <x:v>verified</x:v>
      </x:c>
      <x:c r="Q263" s="7" t="str">
        <x:v>https://arxiv.org/html/2607.27155v1</x:v>
      </x:c>
      <x:c r="R263" s="7" t="str">
        <x:v>https://arxiv.org/abs/2607.27155</x:v>
      </x:c>
      <x:c r="S263" s="3" t="str"/>
      <x:c r="T263" s="3" t="str">
        <x:v>previous README / supplementary search</x:v>
      </x:c>
      <x:c r="U263" s="5" t="d">
        <x:v>2026-10-16T00:00:00.000Z</x:v>
      </x:c>
      <x:c r="V263" s="6" t="str">
        <x:v>未分配</x:v>
      </x:c>
      <x:c r="W263" s="6" t="str"/>
      <x:c r="X263" s="6" t="str"/>
      <x:c r="Y263" s="6" t="str"/>
      <x:c r="Z263" s="3" t="str">
        <x:v>原README标2025；论文首发2026年7月。</x:v>
      </x:c>
    </x:row>
    <x:row r="264" ht="55" customHeight="1">
      <x:c r="A264" s="3" t="str">
        <x:v>WA-0275</x:v>
      </x:c>
      <x:c r="B264" s="3" t="str">
        <x:v>OmniaBench: Benchmarking General AI Agents Across Diverse Scenarios</x:v>
      </x:c>
      <x:c r="C264" s="3" t="str">
        <x:v>OmniaBench</x:v>
      </x:c>
      <x:c r="D264" s="4" t="n">
        <x:v>2026</x:v>
      </x:c>
      <x:c r="E264" s="7" t="str">
        <x:v>https://arxiv.org/abs/2607.14989</x:v>
      </x:c>
      <x:c r="F264" s="3" t="str">
        <x:v>Huawei Cloud; Peking University</x:v>
      </x:c>
      <x:c r="G264" s="3" t="str">
        <x:v>Benchmark</x:v>
      </x:c>
      <x:c r="H264" s="3" t="str">
        <x:v>tool-enterprise</x:v>
      </x:c>
      <x:c r="I264" s="3" t="str">
        <x:v>General explicit-state agent environments</x:v>
      </x:c>
      <x:c r="J264" s="3" t="str">
        <x:v>planning;execution;state-management</x:v>
      </x:c>
      <x:c r="K264" s="3" t="str"/>
      <x:c r="L264" s="3" t="str">
        <x:v>6.1</x:v>
      </x:c>
      <x:c r="M264" s="3" t="str">
        <x:v>按广泛应用场景构建显式状态环境，结合能力分类与难度因子评价通用代理。</x:v>
      </x:c>
      <x:c r="N264" s="3" t="str"/>
      <x:c r="O264" s="3" t="str"/>
      <x:c r="P264" s="3" t="str">
        <x:v>verified</x:v>
      </x:c>
      <x:c r="Q264" s="7" t="str">
        <x:v>https://arxiv.org/html/2607.14989v1</x:v>
      </x:c>
      <x:c r="R264" s="7" t="str">
        <x:v>https://arxiv.org/abs/2607.14989</x:v>
      </x:c>
      <x:c r="S264" s="3" t="str"/>
      <x:c r="T264" s="3" t="str">
        <x:v>previous README / supplementary search</x:v>
      </x:c>
      <x:c r="U264" s="5" t="d">
        <x:v>2026-10-16T00:00:00.000Z</x:v>
      </x:c>
      <x:c r="V264" s="6" t="str">
        <x:v>未分配</x:v>
      </x:c>
      <x:c r="W264" s="6" t="str"/>
      <x:c r="X264" s="6" t="str"/>
      <x:c r="Y264" s="6" t="str"/>
      <x:c r="Z264" s="3" t="str">
        <x:v>原README标2025；论文首发2026年7月。</x:v>
      </x:c>
    </x:row>
    <x:row r="265" ht="55" customHeight="1">
      <x:c r="A265" s="3" t="str">
        <x:v>WA-0276</x:v>
      </x:c>
      <x:c r="B265" s="3" t="str">
        <x:v>Rethinking On-Policy Distillation of Large Language Models: Phenomenology, Mechanism, and Recipe</x:v>
      </x:c>
      <x:c r="C265" s="3" t="str">
        <x:v>On-Policy Distillation</x:v>
      </x:c>
      <x:c r="D265" s="4" t="n">
        <x:v>2026</x:v>
      </x:c>
      <x:c r="E265" s="7" t="str">
        <x:v>https://arxiv.org/abs/2604.13016</x:v>
      </x:c>
      <x:c r="F265" s="3" t="str">
        <x:v>ShanghaiTech University; Tsinghua University; University of Illinois Urbana-Champaign; Renmin University of China</x:v>
      </x:c>
      <x:c r="G265" s="3" t="str">
        <x:v>Method</x:v>
      </x:c>
      <x:c r="H265" s="3" t="str">
        <x:v>persistent</x:v>
      </x:c>
      <x:c r="I265" s="3" t="str">
        <x:v>Policy distillation and adaptation</x:v>
      </x:c>
      <x:c r="J265" s="3" t="str">
        <x:v>learning;reasoning</x:v>
      </x:c>
      <x:c r="K265" s="3" t="str"/>
      <x:c r="L265" s="3" t="str">
        <x:v>5.2</x:v>
      </x:c>
      <x:c r="M265" s="3" t="str">
        <x:v>分析大模型on-policy蒸馏的现象与机制并给出训练配方；属于优化方法背景。</x:v>
      </x:c>
      <x:c r="N265" s="7" t="str">
        <x:v>https://github.com/thunlp/OPD</x:v>
      </x:c>
      <x:c r="O265" s="3" t="str"/>
      <x:c r="P265" s="3" t="str">
        <x:v>verified</x:v>
      </x:c>
      <x:c r="Q265" s="7" t="str">
        <x:v>https://arxiv.org/html/2604.13016v1</x:v>
      </x:c>
      <x:c r="R265" s="7" t="str">
        <x:v>https://arxiv.org/abs/2604.13016</x:v>
      </x:c>
      <x:c r="S265" s="3" t="str"/>
      <x:c r="T265" s="3" t="str">
        <x:v>previous README / supplementary search</x:v>
      </x:c>
      <x:c r="U265" s="5" t="d">
        <x:v>2026-10-16T00:00:00.000Z</x:v>
      </x:c>
      <x:c r="V265" s="6" t="str">
        <x:v>未分配</x:v>
      </x:c>
      <x:c r="W265" s="6" t="str"/>
      <x:c r="X265" s="6" t="str"/>
      <x:c r="Y265" s="6" t="str"/>
      <x:c r="Z265" s="3" t="str">
        <x:v>完整题名已由arXiv修正；优化方法的相邻背景。</x:v>
      </x:c>
    </x:row>
    <x:row r="266" ht="55" customHeight="1">
      <x:c r="A266" s="3" t="str">
        <x:v>WA-0277</x:v>
      </x:c>
      <x:c r="B266" s="3" t="str">
        <x:v>OS-Copilot: Towards Generalist Computer Agents with Self-Improvement</x:v>
      </x:c>
      <x:c r="C266" s="3" t="str">
        <x:v>OS-Copilot</x:v>
      </x:c>
      <x:c r="D266" s="4" t="n">
        <x:v>2024</x:v>
      </x:c>
      <x:c r="E266" s="7" t="str">
        <x:v>https://arxiv.org/abs/2402.07456</x:v>
      </x:c>
      <x:c r="F266" s="3" t="str">
        <x:v>Shanghai AI Laboratory; East China Normal University; Princeton University; The University of Hong Kong</x:v>
      </x:c>
      <x:c r="G266" s="3" t="str">
        <x:v>Method;Framework</x:v>
      </x:c>
      <x:c r="H266" s="3" t="str">
        <x:v>computer-use</x:v>
      </x:c>
      <x:c r="I266" s="3" t="str">
        <x:v>Self-improving OS assistance</x:v>
      </x:c>
      <x:c r="J266" s="3" t="str">
        <x:v>planning;execution;memory;learning</x:v>
      </x:c>
      <x:c r="K266" s="3" t="str"/>
      <x:c r="L266" s="3" t="str">
        <x:v>4.4;5.3</x:v>
      </x:c>
      <x:c r="M266" s="3" t="str">
        <x:v>通过操作系统工具与可积累技能构建可自我改进的通用计算机助手。</x:v>
      </x:c>
      <x:c r="N266" s="3" t="str"/>
      <x:c r="O266" s="3" t="str"/>
      <x:c r="P266" s="3" t="str">
        <x:v>verified</x:v>
      </x:c>
      <x:c r="Q266" s="7" t="str">
        <x:v>https://arxiv.org/html/2402.07456v1</x:v>
      </x:c>
      <x:c r="R266" s="7" t="str">
        <x:v>https://arxiv.org/abs/2402.07456</x:v>
      </x:c>
      <x:c r="S266" s="3" t="str"/>
      <x:c r="T266" s="3" t="str">
        <x:v>previous README / supplementary search</x:v>
      </x:c>
      <x:c r="U266" s="5" t="d">
        <x:v>2026-10-16T00:00:00.000Z</x:v>
      </x:c>
      <x:c r="V266" s="6" t="str">
        <x:v>未分配</x:v>
      </x:c>
      <x:c r="W266" s="6" t="str"/>
      <x:c r="X266" s="6" t="str"/>
      <x:c r="Y266" s="6" t="str"/>
      <x:c r="Z266" s="3" t="str">
        <x:v>新增/保留README来源；论文身份与摘要已核验；分类为维护者判断。</x:v>
      </x:c>
    </x:row>
    <x:row r="267" ht="55" customHeight="1">
      <x:c r="A267" s="3" t="str">
        <x:v>WA-0278</x:v>
      </x:c>
      <x:c r="B267" s="3" t="str">
        <x:v>PEER: A Collaborative Language Model</x:v>
      </x:c>
      <x:c r="C267" s="3" t="str">
        <x:v>PEER</x:v>
      </x:c>
      <x:c r="D267" s="4" t="n">
        <x:v>2022</x:v>
      </x:c>
      <x:c r="E267" s="7" t="str">
        <x:v>https://arxiv.org/abs/2208.11663</x:v>
      </x:c>
      <x:c r="F267" s="3" t="str">
        <x:v>Meta AI Research; Carnegie Mellon University; Inria; ENS, PSL University; University College London</x:v>
      </x:c>
      <x:c r="G267" s="3" t="str">
        <x:v>Method</x:v>
      </x:c>
      <x:c r="H267" s="3" t="str">
        <x:v>artifact</x:v>
      </x:c>
      <x:c r="I267" s="3" t="str">
        <x:v>Collaborative document editing</x:v>
      </x:c>
      <x:c r="J267" s="3" t="str">
        <x:v>planning;execution;verification</x:v>
      </x:c>
      <x:c r="K267" s="3" t="str"/>
      <x:c r="L267" s="3" t="str">
        <x:v>4.4</x:v>
      </x:c>
      <x:c r="M267" s="3" t="str">
        <x:v>将写作建模为计划、编辑、解释与重复修订的协作过程。</x:v>
      </x:c>
      <x:c r="N267" s="3" t="str"/>
      <x:c r="O267" s="3" t="str"/>
      <x:c r="P267" s="3" t="str">
        <x:v>verified</x:v>
      </x:c>
      <x:c r="Q267" s="7" t="str">
        <x:v>https://arxiv.org/html/2208.11663v1</x:v>
      </x:c>
      <x:c r="R267" s="7" t="str">
        <x:v>https://arxiv.org/abs/2208.11663</x:v>
      </x:c>
      <x:c r="S267" s="3" t="str"/>
      <x:c r="T267" s="3" t="str">
        <x:v>previous README / supplementary search</x:v>
      </x:c>
      <x:c r="U267" s="5" t="d">
        <x:v>2026-10-16T00:00:00.000Z</x:v>
      </x:c>
      <x:c r="V267" s="6" t="str">
        <x:v>未分配</x:v>
      </x:c>
      <x:c r="W267" s="6" t="str"/>
      <x:c r="X267" s="6" t="str"/>
      <x:c r="Y267" s="6" t="str"/>
      <x:c r="Z267" s="3" t="str">
        <x:v>新增/保留README来源；论文身份与摘要已核验；分类为维护者判断。</x:v>
      </x:c>
    </x:row>
    <x:row r="268" ht="55" customHeight="1">
      <x:c r="A268" s="3" t="str">
        <x:v>WA-0280</x:v>
      </x:c>
      <x:c r="B268" s="3" t="str">
        <x:v>PRBench: Large-Scale Expert Rubrics for Evaluating High-Stakes Professional Reasoning</x:v>
      </x:c>
      <x:c r="C268" s="3" t="str">
        <x:v>PRBench</x:v>
      </x:c>
      <x:c r="D268" s="4" t="n">
        <x:v>2025</x:v>
      </x:c>
      <x:c r="E268" s="7" t="str">
        <x:v>https://arxiv.org/abs/2511.11562</x:v>
      </x:c>
      <x:c r="F268" s="3" t="str">
        <x:v>Scale AI</x:v>
      </x:c>
      <x:c r="G268" s="3" t="str">
        <x:v>Benchmark</x:v>
      </x:c>
      <x:c r="H268" s="3" t="str">
        <x:v>related</x:v>
      </x:c>
      <x:c r="I268" s="3" t="str">
        <x:v>Expert professional reasoning</x:v>
      </x:c>
      <x:c r="J268" s="3" t="str">
        <x:v>reasoning;verification</x:v>
      </x:c>
      <x:c r="K268" s="3" t="str"/>
      <x:c r="L268" s="3" t="str">
        <x:v>6.1</x:v>
      </x:c>
      <x:c r="M268" s="3" t="str">
        <x:v>使用专家编写的大规模细粒度rubric评估高风险专业推理；不等同于可执行办公产物评测。</x:v>
      </x:c>
      <x:c r="N268" s="3" t="str"/>
      <x:c r="O268" s="3" t="str"/>
      <x:c r="P268" s="3" t="str">
        <x:v>verified</x:v>
      </x:c>
      <x:c r="Q268" s="7" t="str">
        <x:v>https://arxiv.org/html/2511.11562v1</x:v>
      </x:c>
      <x:c r="R268" s="7" t="str">
        <x:v>https://arxiv.org/abs/2511.11562</x:v>
      </x:c>
      <x:c r="S268" s="3" t="str"/>
      <x:c r="T268" s="3" t="str">
        <x:v>previous README / supplementary search</x:v>
      </x:c>
      <x:c r="U268" s="5" t="d">
        <x:v>2026-10-16T00:00:00.000Z</x:v>
      </x:c>
      <x:c r="V268" s="6" t="str">
        <x:v>未分配</x:v>
      </x:c>
      <x:c r="W268" s="6" t="str"/>
      <x:c r="X268" s="6" t="str"/>
      <x:c r="Y268" s="6" t="str"/>
      <x:c r="Z268" s="3" t="str">
        <x:v>由workspace移至Related：核心为专业长回答与rubric评价，不保证修改工作产物。</x:v>
      </x:c>
    </x:row>
    <x:row r="269" ht="55" customHeight="1">
      <x:c r="A269" s="3" t="str">
        <x:v>WA-0281</x:v>
      </x:c>
      <x:c r="B269" s="3" t="str">
        <x:v>Process Reward Models That Think</x:v>
      </x:c>
      <x:c r="C269" s="3" t="str">
        <x:v>Process Reward Models That Think</x:v>
      </x:c>
      <x:c r="D269" s="4" t="n">
        <x:v>2025</x:v>
      </x:c>
      <x:c r="E269" s="7" t="str">
        <x:v>https://arxiv.org/abs/2504.16828</x:v>
      </x:c>
      <x:c r="F269" s="3" t="str">
        <x:v>University of Michigan; Mila; LG AI Research; University of Illinois Urbana-Champaign</x:v>
      </x:c>
      <x:c r="G269" s="3" t="str">
        <x:v>Method</x:v>
      </x:c>
      <x:c r="H269" s="3" t="str">
        <x:v>verification</x:v>
      </x:c>
      <x:c r="I269" s="3" t="str">
        <x:v>Reasoning process reward models</x:v>
      </x:c>
      <x:c r="J269" s="3" t="str">
        <x:v>reasoning;verification;learning</x:v>
      </x:c>
      <x:c r="K269" s="3" t="str"/>
      <x:c r="L269" s="3" t="str">
        <x:v>5.1;6.3</x:v>
      </x:c>
      <x:c r="M269" s="3" t="str">
        <x:v>让过程奖励模型生成推理以评估中间步骤，研究可解释反馈与奖励质量。</x:v>
      </x:c>
      <x:c r="N269" s="3" t="str"/>
      <x:c r="O269" s="3" t="str"/>
      <x:c r="P269" s="3" t="str">
        <x:v>verified</x:v>
      </x:c>
      <x:c r="Q269" s="7" t="str">
        <x:v>https://arxiv.org/html/2504.16828v1</x:v>
      </x:c>
      <x:c r="R269" s="7" t="str">
        <x:v>https://arxiv.org/abs/2504.16828</x:v>
      </x:c>
      <x:c r="S269" s="3" t="str"/>
      <x:c r="T269" s="3" t="str">
        <x:v>previous README / supplementary search</x:v>
      </x:c>
      <x:c r="U269" s="5" t="d">
        <x:v>2026-10-16T00:00:00.000Z</x:v>
      </x:c>
      <x:c r="V269" s="6" t="str">
        <x:v>未分配</x:v>
      </x:c>
      <x:c r="W269" s="6" t="str"/>
      <x:c r="X269" s="6" t="str"/>
      <x:c r="Y269" s="6" t="str"/>
      <x:c r="Z269" s="3" t="str">
        <x:v>新增/保留README来源；论文身份与摘要已核验；分类为维护者判断。</x:v>
      </x:c>
    </x:row>
    <x:row r="270" ht="55" customHeight="1">
      <x:c r="A270" s="3" t="str">
        <x:v>WA-0282</x:v>
      </x:c>
      <x:c r="B270" s="3" t="str">
        <x:v>PSEBench: A Controllable and Verifiable Benchmark for Evaluating LLMs in Patient Safety Event Triage</x:v>
      </x:c>
      <x:c r="C270" s="3" t="str">
        <x:v>PSEBench</x:v>
      </x:c>
      <x:c r="D270" s="4" t="n">
        <x:v>2026</x:v>
      </x:c>
      <x:c r="E270" s="7" t="str">
        <x:v>https://arxiv.org/abs/2606.05463</x:v>
      </x:c>
      <x:c r="F270" s="3" t="str">
        <x:v>Emory University; Scale AI; Mayo Clinic; Vanderbilt University</x:v>
      </x:c>
      <x:c r="G270" s="3" t="str">
        <x:v>Benchmark</x:v>
      </x:c>
      <x:c r="H270" s="3" t="str">
        <x:v>related</x:v>
      </x:c>
      <x:c r="I270" s="3" t="str">
        <x:v>Patient safety event triage</x:v>
      </x:c>
      <x:c r="J270" s="3" t="str">
        <x:v>perception;reasoning;verification</x:v>
      </x:c>
      <x:c r="K270" s="3" t="str"/>
      <x:c r="L270" s="3" t="str">
        <x:v>6.1</x:v>
      </x:c>
      <x:c r="M270" s="3" t="str">
        <x:v>在可控且可验证的患者安全事件分诊任务中测量专业推理。</x:v>
      </x:c>
      <x:c r="N270" s="3" t="str"/>
      <x:c r="O270" s="3" t="str"/>
      <x:c r="P270" s="3" t="str">
        <x:v>verified</x:v>
      </x:c>
      <x:c r="Q270" s="7" t="str">
        <x:v>https://arxiv.org/html/2606.05463v1</x:v>
      </x:c>
      <x:c r="R270" s="7" t="str">
        <x:v>https://arxiv.org/abs/2606.05463</x:v>
      </x:c>
      <x:c r="S270" s="3" t="str"/>
      <x:c r="T270" s="3" t="str">
        <x:v>previous README / supplementary search</x:v>
      </x:c>
      <x:c r="U270" s="5" t="d">
        <x:v>2026-10-16T00:00:00.000Z</x:v>
      </x:c>
      <x:c r="V270" s="6" t="str">
        <x:v>未分配</x:v>
      </x:c>
      <x:c r="W270" s="6" t="str"/>
      <x:c r="X270" s="6" t="str"/>
      <x:c r="Y270" s="6" t="str"/>
      <x:c r="Z270" s="3" t="str">
        <x:v>患者安全分诊为专业判断任务，保留Related，不能当作已验证工作流自动化。</x:v>
      </x:c>
    </x:row>
    <x:row r="271" ht="55" customHeight="1">
      <x:c r="A271" s="3" t="str">
        <x:v>WA-0283</x:v>
      </x:c>
      <x:c r="B271" s="3" t="str">
        <x:v>Diving into Reliable Self-Evolving Agents: A Survey</x:v>
      </x:c>
      <x:c r="C271" s="3" t="str">
        <x:v>Reliable Self-Evolving Agents</x:v>
      </x:c>
      <x:c r="D271" s="4" t="n">
        <x:v>2026</x:v>
      </x:c>
      <x:c r="E271" s="7" t="str">
        <x:v>https://wkqdzkd.github.io/Awesome-Reliable-Self-Evolving-Agents/Diving_into_Reliable_Self-Evolving_Agents_A_Survey.pdf</x:v>
      </x:c>
      <x:c r="F271" s="3" t="str">
        <x:v>Tencent Hunyuan; Zhejiang University; Peking University; Tsinghua University</x:v>
      </x:c>
      <x:c r="G271" s="3" t="str">
        <x:v>Survey</x:v>
      </x:c>
      <x:c r="H271" s="3" t="str">
        <x:v>persistent</x:v>
      </x:c>
      <x:c r="I271" s="3" t="str">
        <x:v>Self-evolution reliability</x:v>
      </x:c>
      <x:c r="J271" s="3" t="str">
        <x:v>learning;verification;memory</x:v>
      </x:c>
      <x:c r="K271" s="3" t="str"/>
      <x:c r="L271" s="3" t="str">
        <x:v>5;7.2;7.3</x:v>
      </x:c>
      <x:c r="M271" s="3" t="str">
        <x:v>按自我演化触及的最深组件组织文献，并分析与更新边界独立的验证证据。</x:v>
      </x:c>
      <x:c r="N271" s="7" t="str">
        <x:v>https://github.com/wkqdzkd/Awesome-Reliable-Self-Evolving-Agents</x:v>
      </x:c>
      <x:c r="O271" s="3" t="str"/>
      <x:c r="P271" s="3" t="str">
        <x:v>verified</x:v>
      </x:c>
      <x:c r="Q271" s="7" t="str">
        <x:v>https://wkqdzkd.github.io/Awesome-Reliable-Self-Evolving-Agents/</x:v>
      </x:c>
      <x:c r="R271" s="7" t="str">
        <x:v>https://wkqdzkd.github.io/Awesome-Reliable-Self-Evolving-Agents/Diving_into_Reliable_Self-Evolving_Agents_A_Survey.pdf</x:v>
      </x:c>
      <x:c r="S271" s="3" t="str"/>
      <x:c r="T271" s="3" t="str">
        <x:v>previous README / supplementary search</x:v>
      </x:c>
      <x:c r="U271" s="5" t="d">
        <x:v>2026-10-16T00:00:00.000Z</x:v>
      </x:c>
      <x:c r="V271" s="6" t="str">
        <x:v>未分配</x:v>
      </x:c>
      <x:c r="W271" s="6" t="str"/>
      <x:c r="X271" s="6" t="str"/>
      <x:c r="Y271" s="6" t="str"/>
      <x:c r="Z271" s="3" t="str">
        <x:v>官方项目及论文已确认；不把配套awesome中的文献数量移植到本仓库。</x:v>
      </x:c>
    </x:row>
    <x:row r="272" ht="55" customHeight="1">
      <x:c r="A272" s="3" t="str">
        <x:v>WA-0284</x:v>
      </x:c>
      <x:c r="B272" s="3" t="str">
        <x:v>ResearchRubrics: A Benchmark of Prompts and Rubrics For Evaluating Deep Research Agents</x:v>
      </x:c>
      <x:c r="C272" s="3" t="str">
        <x:v>ResearchRubrics</x:v>
      </x:c>
      <x:c r="D272" s="4" t="n">
        <x:v>2025</x:v>
      </x:c>
      <x:c r="E272" s="7" t="str">
        <x:v>https://arxiv.org/abs/2511.07685</x:v>
      </x:c>
      <x:c r="F272" s="3" t="str">
        <x:v>Scale AI; University of Maryland; University of Chicago; Washington University in St. Louis; McGill University; UC Berkeley</x:v>
      </x:c>
      <x:c r="G272" s="3" t="str">
        <x:v>Benchmark</x:v>
      </x:c>
      <x:c r="H272" s="3" t="str">
        <x:v>related</x:v>
      </x:c>
      <x:c r="I272" s="3" t="str">
        <x:v>Deep research report evaluation</x:v>
      </x:c>
      <x:c r="J272" s="3" t="str">
        <x:v>perception;reasoning;verification</x:v>
      </x:c>
      <x:c r="K272" s="3" t="str"/>
      <x:c r="L272" s="3" t="str">
        <x:v>6.1;6.3</x:v>
      </x:c>
      <x:c r="M272" s="3" t="str">
        <x:v>用专家提示与rubric评估深度研究报告的内容质量与要求覆盖。</x:v>
      </x:c>
      <x:c r="N272" s="3" t="str"/>
      <x:c r="O272" s="3" t="str"/>
      <x:c r="P272" s="3" t="str">
        <x:v>verified</x:v>
      </x:c>
      <x:c r="Q272" s="7" t="str">
        <x:v>https://arxiv.org/html/2511.07685v1</x:v>
      </x:c>
      <x:c r="R272" s="7" t="str">
        <x:v>https://arxiv.org/abs/2511.07685</x:v>
      </x:c>
      <x:c r="S272" s="3" t="str"/>
      <x:c r="T272" s="3" t="str">
        <x:v>previous README / supplementary search</x:v>
      </x:c>
      <x:c r="U272" s="5" t="d">
        <x:v>2026-10-16T00:00:00.000Z</x:v>
      </x:c>
      <x:c r="V272" s="6" t="str">
        <x:v>未分配</x:v>
      </x:c>
      <x:c r="W272" s="6" t="str"/>
      <x:c r="X272" s="6" t="str"/>
      <x:c r="Y272" s="6" t="str"/>
      <x:c r="Z272" s="3" t="str">
        <x:v>以研究报告质量rubric为主，未确认跨会话持续责任，故不按persistent归类。</x:v>
      </x:c>
    </x:row>
    <x:row r="273" ht="55" customHeight="1">
      <x:c r="A273" s="3" t="str">
        <x:v>WA-0285</x:v>
      </x:c>
      <x:c r="B273" s="3" t="str">
        <x:v>ReTool: Reinforcement Learning for Strategic Tool Use in LLMs</x:v>
      </x:c>
      <x:c r="C273" s="3" t="str">
        <x:v>ReTool</x:v>
      </x:c>
      <x:c r="D273" s="4" t="n">
        <x:v>2025</x:v>
      </x:c>
      <x:c r="E273" s="7" t="str">
        <x:v>https://arxiv.org/abs/2504.11536</x:v>
      </x:c>
      <x:c r="F273" s="3" t="str">
        <x:v>ByteDance Seed</x:v>
      </x:c>
      <x:c r="G273" s="3" t="str">
        <x:v>Method</x:v>
      </x:c>
      <x:c r="H273" s="3" t="str">
        <x:v>tool-enterprise</x:v>
      </x:c>
      <x:c r="I273" s="3" t="str">
        <x:v>Strategic tool-use RL</x:v>
      </x:c>
      <x:c r="J273" s="3" t="str">
        <x:v>reasoning;execution;learning</x:v>
      </x:c>
      <x:c r="K273" s="3" t="str"/>
      <x:c r="L273" s="3" t="str">
        <x:v>5.2</x:v>
      </x:c>
      <x:c r="M273" s="3" t="str">
        <x:v>通过强化学习训练模型决定何时以及如何调用代码等工具辅助推理。</x:v>
      </x:c>
      <x:c r="N273" s="3" t="str"/>
      <x:c r="O273" s="3" t="str"/>
      <x:c r="P273" s="3" t="str">
        <x:v>verified</x:v>
      </x:c>
      <x:c r="Q273" s="7" t="str">
        <x:v>https://arxiv.org/html/2504.11536v1</x:v>
      </x:c>
      <x:c r="R273" s="7" t="str">
        <x:v>https://arxiv.org/abs/2504.11536</x:v>
      </x:c>
      <x:c r="S273" s="3" t="str"/>
      <x:c r="T273" s="3" t="str">
        <x:v>previous README / supplementary search</x:v>
      </x:c>
      <x:c r="U273" s="5" t="d">
        <x:v>2026-10-16T00:00:00.000Z</x:v>
      </x:c>
      <x:c r="V273" s="6" t="str">
        <x:v>未分配</x:v>
      </x:c>
      <x:c r="W273" s="6" t="str"/>
      <x:c r="X273" s="6" t="str"/>
      <x:c r="Y273" s="6" t="str"/>
      <x:c r="Z273" s="3" t="str">
        <x:v>新增/保留README来源；论文身份与摘要已核验；分类为维护者判断。</x:v>
      </x:c>
    </x:row>
    <x:row r="274" ht="55" customHeight="1">
      <x:c r="A274" s="3" t="str">
        <x:v>WA-0286</x:v>
      </x:c>
      <x:c r="B274" s="3" t="str">
        <x:v>Self-Improvements in Modern Agentic Systems: A Survey</x:v>
      </x:c>
      <x:c r="C274" s="3" t="str">
        <x:v>Self-Improvements in Modern Agentic Systems</x:v>
      </x:c>
      <x:c r="D274" s="4" t="n">
        <x:v>2026</x:v>
      </x:c>
      <x:c r="E274" s="7" t="str">
        <x:v>https://arxiv.org/abs/2607.13104</x:v>
      </x:c>
      <x:c r="F274" s="3" t="str">
        <x:v>Jilin University; KAUST; Independent Researcher; University of Alberta; IDSIA/USI/SUPSI</x:v>
      </x:c>
      <x:c r="G274" s="3" t="str">
        <x:v>Survey</x:v>
      </x:c>
      <x:c r="H274" s="3" t="str">
        <x:v>persistent</x:v>
      </x:c>
      <x:c r="I274" s="3" t="str">
        <x:v>Self-improvement survey</x:v>
      </x:c>
      <x:c r="J274" s="3" t="str">
        <x:v>learning;verification</x:v>
      </x:c>
      <x:c r="K274" s="3" t="str"/>
      <x:c r="L274" s="3" t="str">
        <x:v>5;7.2</x:v>
      </x:c>
      <x:c r="M274" s="3" t="str">
        <x:v>综述现代代理系统的自我改进对象、机制与开放问题。</x:v>
      </x:c>
      <x:c r="N274" s="3" t="str"/>
      <x:c r="O274" s="3" t="str"/>
      <x:c r="P274" s="3" t="str">
        <x:v>verified</x:v>
      </x:c>
      <x:c r="Q274" s="7" t="str">
        <x:v>https://arxiv.org/html/2607.13104v1</x:v>
      </x:c>
      <x:c r="R274" s="7" t="str">
        <x:v>https://arxiv.org/abs/2607.13104</x:v>
      </x:c>
      <x:c r="S274" s="3" t="str"/>
      <x:c r="T274" s="3" t="str">
        <x:v>previous README / supplementary search</x:v>
      </x:c>
      <x:c r="U274" s="5" t="d">
        <x:v>2026-10-16T00:00:00.000Z</x:v>
      </x:c>
      <x:c r="V274" s="6" t="str">
        <x:v>未分配</x:v>
      </x:c>
      <x:c r="W274" s="6" t="str"/>
      <x:c r="X274" s="6" t="str"/>
      <x:c r="Y274" s="6" t="str"/>
      <x:c r="Z274" s="3" t="str">
        <x:v>新增/保留README来源；论文身份与摘要已核验；分类为维护者判断。</x:v>
      </x:c>
    </x:row>
    <x:row r="275" ht="55" customHeight="1">
      <x:c r="A275" s="3" t="str">
        <x:v>WA-0287</x:v>
      </x:c>
      <x:c r="B275" s="3" t="str">
        <x:v>StagedWorkspace: A Versioned Workspace for Knowledge-Work Agents</x:v>
      </x:c>
      <x:c r="C275" s="3" t="str">
        <x:v>StagedWorkspace</x:v>
      </x:c>
      <x:c r="D275" s="4" t="n">
        <x:v>2026</x:v>
      </x:c>
      <x:c r="E275" s="7" t="str">
        <x:v>https://arxiv.org/abs/2608.18050</x:v>
      </x:c>
      <x:c r="F275" s="3" t="str">
        <x:v>Harvard University; Raycaster AI; University of Technology Sydney; University of Washington; Stanford University</x:v>
      </x:c>
      <x:c r="G275" s="3" t="str">
        <x:v>Method;Framework</x:v>
      </x:c>
      <x:c r="H275" s="3" t="str">
        <x:v>workspace</x:v>
      </x:c>
      <x:c r="I275" s="3" t="str">
        <x:v>Versioned native-document workspace</x:v>
      </x:c>
      <x:c r="J275" s="3" t="str">
        <x:v>perception;execution;state-management;verification</x:v>
      </x:c>
      <x:c r="K275" s="3" t="str"/>
      <x:c r="L275" s="3" t="str">
        <x:v>4.1;4.4;6.4</x:v>
      </x:c>
      <x:c r="M275" s="3" t="str">
        <x:v>为知识工作代理提供版本化工作区以及原生文件与解析视图的协同访问。</x:v>
      </x:c>
      <x:c r="N275" s="3" t="str"/>
      <x:c r="O275" s="3" t="str"/>
      <x:c r="P275" s="3" t="str">
        <x:v>verified</x:v>
      </x:c>
      <x:c r="Q275" s="7" t="str">
        <x:v>https://arxiv.org/html/2608.18050v1</x:v>
      </x:c>
      <x:c r="R275" s="7" t="str">
        <x:v>https://arxiv.org/abs/2608.18050</x:v>
      </x:c>
      <x:c r="S275" s="3" t="str"/>
      <x:c r="T275" s="3" t="str">
        <x:v>previous README / supplementary search</x:v>
      </x:c>
      <x:c r="U275" s="5" t="d">
        <x:v>2026-10-16T00:00:00.000Z</x:v>
      </x:c>
      <x:c r="V275" s="6" t="str">
        <x:v>未分配</x:v>
      </x:c>
      <x:c r="W275" s="6" t="str"/>
      <x:c r="X275" s="6" t="str"/>
      <x:c r="Y275" s="6" t="str"/>
      <x:c r="Z275" s="3" t="str">
        <x:v>新增/保留README来源；论文身份与摘要已核验；分类为维护者判断。</x:v>
      </x:c>
    </x:row>
    <x:row r="276" ht="55" customHeight="1">
      <x:c r="A276" s="3" t="str">
        <x:v>WA-0288</x:v>
      </x:c>
      <x:c r="B276" s="3" t="str">
        <x:v>SWE Atlas: Benchmarking Coding Agents Beyond Issue Resolution</x:v>
      </x:c>
      <x:c r="C276" s="3" t="str">
        <x:v>SWE Atlas</x:v>
      </x:c>
      <x:c r="D276" s="4" t="n">
        <x:v>2026</x:v>
      </x:c>
      <x:c r="E276" s="7" t="str">
        <x:v>https://arxiv.org/abs/2605.08366</x:v>
      </x:c>
      <x:c r="F276" s="3" t="str">
        <x:v>Scale AI</x:v>
      </x:c>
      <x:c r="G276" s="3" t="str">
        <x:v>Benchmark</x:v>
      </x:c>
      <x:c r="H276" s="3" t="str">
        <x:v>swe-science</x:v>
      </x:c>
      <x:c r="I276" s="3" t="str">
        <x:v>Codebase QA, tests and refactoring</x:v>
      </x:c>
      <x:c r="J276" s="3" t="str">
        <x:v>reasoning;execution;verification</x:v>
      </x:c>
      <x:c r="K276" s="3" t="str"/>
      <x:c r="L276" s="3" t="str">
        <x:v>6.1</x:v>
      </x:c>
      <x:c r="M276" s="3" t="str">
        <x:v>以代码库问答、测试编写与重构三个互补轨道评估功能正确性和工程质量。</x:v>
      </x:c>
      <x:c r="N276" s="7" t="str">
        <x:v>https://github.com/scaleapi/SWE-Atlas</x:v>
      </x:c>
      <x:c r="O276" s="3" t="str"/>
      <x:c r="P276" s="3" t="str">
        <x:v>verified</x:v>
      </x:c>
      <x:c r="Q276" s="7" t="str">
        <x:v>https://arxiv.org/html/2605.08366v1</x:v>
      </x:c>
      <x:c r="R276" s="7" t="str">
        <x:v>https://arxiv.org/abs/2605.08366</x:v>
      </x:c>
      <x:c r="S276" s="3" t="str"/>
      <x:c r="T276" s="3" t="str">
        <x:v>previous README / supplementary search</x:v>
      </x:c>
      <x:c r="U276" s="5" t="d">
        <x:v>2026-10-16T00:00:00.000Z</x:v>
      </x:c>
      <x:c r="V276" s="6" t="str">
        <x:v>未分配</x:v>
      </x:c>
      <x:c r="W276" s="6" t="str"/>
      <x:c r="X276" s="6" t="str"/>
      <x:c r="Y276" s="6" t="str"/>
      <x:c r="Z276" s="3" t="str">
        <x:v>由README末尾待展开条目补全；身份和机构以论文首版前置信息核验。</x:v>
      </x:c>
    </x:row>
    <x:row r="277" ht="55" customHeight="1">
      <x:c r="A277" s="3" t="str">
        <x:v>WA-0289</x:v>
      </x:c>
      <x:c r="B277" s="3" t="str">
        <x:v>SWE-INTERACT: Reimagining SWE Benchmarks as User-Driven Long-Horizon Coding Sessions</x:v>
      </x:c>
      <x:c r="C277" s="3" t="str">
        <x:v>SWE-INTERACT</x:v>
      </x:c>
      <x:c r="D277" s="4" t="n">
        <x:v>2026</x:v>
      </x:c>
      <x:c r="E277" s="7" t="str">
        <x:v>https://arxiv.org/abs/2606.30573</x:v>
      </x:c>
      <x:c r="F277" s="3" t="str">
        <x:v>Scale AI</x:v>
      </x:c>
      <x:c r="G277" s="3" t="str">
        <x:v>Benchmark</x:v>
      </x:c>
      <x:c r="H277" s="3" t="str">
        <x:v>swe-science</x:v>
      </x:c>
      <x:c r="I277" s="3" t="str">
        <x:v>Interactive software engineering</x:v>
      </x:c>
      <x:c r="J277" s="3" t="str">
        <x:v>coordination;planning;execution;state-management</x:v>
      </x:c>
      <x:c r="K277" s="3" t="str"/>
      <x:c r="L277" s="3" t="str">
        <x:v>6.1;7.4</x:v>
      </x:c>
      <x:c r="M277" s="3" t="str">
        <x:v>让模拟用户渐进揭示需求并检查工作区，测试编码代理澄清目标与适应修订的能力。</x:v>
      </x:c>
      <x:c r="N277" s="7" t="str">
        <x:v>https://github.com/scaleapi/SWE-Interact</x:v>
      </x:c>
      <x:c r="O277" s="3" t="str"/>
      <x:c r="P277" s="3" t="str">
        <x:v>verified</x:v>
      </x:c>
      <x:c r="Q277" s="7" t="str">
        <x:v>https://arxiv.org/html/2606.30573v1</x:v>
      </x:c>
      <x:c r="R277" s="7" t="str">
        <x:v>https://arxiv.org/abs/2606.30573</x:v>
      </x:c>
      <x:c r="S277" s="3" t="str"/>
      <x:c r="T277" s="3" t="str">
        <x:v>previous README / supplementary search</x:v>
      </x:c>
      <x:c r="U277" s="5" t="d">
        <x:v>2026-10-16T00:00:00.000Z</x:v>
      </x:c>
      <x:c r="V277" s="6" t="str">
        <x:v>未分配</x:v>
      </x:c>
      <x:c r="W277" s="6" t="str"/>
      <x:c r="X277" s="6" t="str"/>
      <x:c r="Y277" s="6" t="str"/>
      <x:c r="Z277" s="3" t="str">
        <x:v>由README末尾待展开条目补全；身份和机构以论文首版前置信息核验。</x:v>
      </x:c>
    </x:row>
    <x:row r="278" ht="55" customHeight="1">
      <x:c r="A278" s="3" t="str">
        <x:v>WA-0290</x:v>
      </x:c>
      <x:c r="B278" s="3" t="str">
        <x:v>SWE-Lancer: Can Frontier LLMs Earn $1 Million from Real-World Freelance Software Engineering?</x:v>
      </x:c>
      <x:c r="C278" s="3" t="str">
        <x:v>SWE-Lancer</x:v>
      </x:c>
      <x:c r="D278" s="4" t="n">
        <x:v>2025</x:v>
      </x:c>
      <x:c r="E278" s="7" t="str">
        <x:v>https://arxiv.org/abs/2502.12115</x:v>
      </x:c>
      <x:c r="F278" s="3" t="str">
        <x:v>OpenAI</x:v>
      </x:c>
      <x:c r="G278" s="3" t="str">
        <x:v>Benchmark</x:v>
      </x:c>
      <x:c r="H278" s="3" t="str">
        <x:v>swe-science</x:v>
      </x:c>
      <x:c r="I278" s="3" t="str">
        <x:v>Freelance software engineering</x:v>
      </x:c>
      <x:c r="J278" s="3" t="str">
        <x:v>planning;execution;verification</x:v>
      </x:c>
      <x:c r="K278" s="3" t="str"/>
      <x:c r="L278" s="3" t="str">
        <x:v>6.1;7.3</x:v>
      </x:c>
      <x:c r="M278" s="3" t="str">
        <x:v>用真实自由职业软件工程任务及报酬评估编码代理的经济工作能力。</x:v>
      </x:c>
      <x:c r="N278" s="3" t="str"/>
      <x:c r="O278" s="3" t="str"/>
      <x:c r="P278" s="3" t="str">
        <x:v>verified</x:v>
      </x:c>
      <x:c r="Q278" s="7" t="str">
        <x:v>https://arxiv.org/html/2502.12115v1</x:v>
      </x:c>
      <x:c r="R278" s="7" t="str">
        <x:v>https://arxiv.org/abs/2502.12115</x:v>
      </x:c>
      <x:c r="S278" s="3" t="str"/>
      <x:c r="T278" s="3" t="str">
        <x:v>previous README / supplementary search</x:v>
      </x:c>
      <x:c r="U278" s="5" t="d">
        <x:v>2026-10-16T00:00:00.000Z</x:v>
      </x:c>
      <x:c r="V278" s="6" t="str">
        <x:v>未分配</x:v>
      </x:c>
      <x:c r="W278" s="6" t="str"/>
      <x:c r="X278" s="6" t="str"/>
      <x:c r="Y278" s="6" t="str"/>
      <x:c r="Z278" s="3" t="str">
        <x:v>新增/保留README来源；论文身份与摘要已核验；分类为维护者判断。</x:v>
      </x:c>
    </x:row>
    <x:row r="279" ht="55" customHeight="1">
      <x:c r="A279" s="3" t="str">
        <x:v>WA-0291</x:v>
      </x:c>
      <x:c r="B279" s="3" t="str">
        <x:v>SWT-Bench: Testing and Validating Real-World Bug-Fixes with Code Agents</x:v>
      </x:c>
      <x:c r="C279" s="3" t="str">
        <x:v>SWT-Bench</x:v>
      </x:c>
      <x:c r="D279" s="4" t="n">
        <x:v>2024</x:v>
      </x:c>
      <x:c r="E279" s="7" t="str">
        <x:v>https://arxiv.org/abs/2406.12952</x:v>
      </x:c>
      <x:c r="F279" s="3" t="str">
        <x:v>ETH Zurich; LogicStar.ai</x:v>
      </x:c>
      <x:c r="G279" s="3" t="str">
        <x:v>Benchmark</x:v>
      </x:c>
      <x:c r="H279" s="3" t="str">
        <x:v>swe-science</x:v>
      </x:c>
      <x:c r="I279" s="3" t="str">
        <x:v>Bug-fix testing and validation</x:v>
      </x:c>
      <x:c r="J279" s="3" t="str">
        <x:v>execution;verification</x:v>
      </x:c>
      <x:c r="K279" s="3" t="str"/>
      <x:c r="L279" s="3" t="str">
        <x:v>6.1;6.3</x:v>
      </x:c>
      <x:c r="M279" s="3" t="str">
        <x:v>评价代码代理构造测试、复现问题并验证实际补丁的能力。</x:v>
      </x:c>
      <x:c r="N279" s="3" t="str"/>
      <x:c r="O279" s="3" t="str"/>
      <x:c r="P279" s="3" t="str">
        <x:v>verified</x:v>
      </x:c>
      <x:c r="Q279" s="7" t="str">
        <x:v>https://arxiv.org/html/2406.12952v1</x:v>
      </x:c>
      <x:c r="R279" s="7" t="str">
        <x:v>https://arxiv.org/abs/2406.12952</x:v>
      </x:c>
      <x:c r="S279" s="3" t="str"/>
      <x:c r="T279" s="3" t="str">
        <x:v>previous README / supplementary search</x:v>
      </x:c>
      <x:c r="U279" s="5" t="d">
        <x:v>2026-10-16T00:00:00.000Z</x:v>
      </x:c>
      <x:c r="V279" s="6" t="str">
        <x:v>未分配</x:v>
      </x:c>
      <x:c r="W279" s="6" t="str"/>
      <x:c r="X279" s="6" t="str"/>
      <x:c r="Y279" s="6" t="str"/>
      <x:c r="Z279" s="3" t="str">
        <x:v>新增/保留README来源；论文身份与摘要已核验；分类为维护者判断。</x:v>
      </x:c>
    </x:row>
    <x:row r="280" ht="55" customHeight="1">
      <x:c r="A280" s="3" t="str">
        <x:v>WA-0293</x:v>
      </x:c>
      <x:c r="B280" s="3" t="str">
        <x:v>The Evolution of AI Office: From Passive Assistants to Goal-Driven Agents</x:v>
      </x:c>
      <x:c r="C280" s="3" t="str">
        <x:v>The Evolution of AI Office</x:v>
      </x:c>
      <x:c r="D280" s="4" t="n">
        <x:v>2026</x:v>
      </x:c>
      <x:c r="E280" s="7" t="str">
        <x:v>https://www.alphaxiv.org/abs/2609.evolution-ai-office-agents</x:v>
      </x:c>
      <x:c r="F280" s="3" t="str">
        <x:v>Alibaba Qwen Large Model Application Team; Peking University; Renmin University of China; Nanjing University</x:v>
      </x:c>
      <x:c r="G280" s="3" t="str">
        <x:v>Survey</x:v>
      </x:c>
      <x:c r="H280" s="3" t="str">
        <x:v>artifact</x:v>
      </x:c>
      <x:c r="I280" s="3" t="str">
        <x:v>Unified office-agent survey</x:v>
      </x:c>
      <x:c r="J280" s="3" t="str">
        <x:v>perception;execution;verification;learning</x:v>
      </x:c>
      <x:c r="K280" s="3" t="str"/>
      <x:c r="L280" s="3" t="str">
        <x:v>3;4;5;6</x:v>
      </x:c>
      <x:c r="M280" s="3" t="str">
        <x:v>围绕可交付的原生办公文件，统一操作接口、质量验证与训练三条研究轴线。</x:v>
      </x:c>
      <x:c r="N280" s="3" t="str"/>
      <x:c r="O280" s="3" t="str"/>
      <x:c r="P280" s="3" t="str">
        <x:v>verified</x:v>
      </x:c>
      <x:c r="Q280" s="7" t="str">
        <x:v>https://www.alphaxiv.org/abs/2609.evolution-ai-office-agents</x:v>
      </x:c>
      <x:c r="R280" s="7" t="str">
        <x:v>https://www.alphaxiv.org/abs/2609.evolution-ai-office-agents</x:v>
      </x:c>
      <x:c r="S280" s="3" t="str"/>
      <x:c r="T280" s="3" t="str">
        <x:v>previous README / supplementary search</x:v>
      </x:c>
      <x:c r="U280" s="5" t="d">
        <x:v>2026-10-16T00:00:00.000Z</x:v>
      </x:c>
      <x:c r="V280" s="6" t="str">
        <x:v>未分配</x:v>
      </x:c>
      <x:c r="W280" s="6" t="str"/>
      <x:c r="X280" s="6" t="str"/>
      <x:c r="Y280" s="6" t="str"/>
      <x:c r="Z280" s="3" t="str">
        <x:v>作者上传的alphaXiv论文；机构从仓库已有原论文首页核验，保留独立平台标识，不能伪写为arXiv。</x:v>
      </x:c>
    </x:row>
    <x:row r="281" ht="55" customHeight="1">
      <x:c r="A281" s="3" t="str">
        <x:v>WA-0294</x:v>
      </x:c>
      <x:c r="B281" s="3" t="str">
        <x:v>The Tool Decathlon: Benchmarking Language Agents for Diverse, Realistic, and Long-Horizon Task Execution</x:v>
      </x:c>
      <x:c r="C281" s="3" t="str">
        <x:v>Toolathlon</x:v>
      </x:c>
      <x:c r="D281" s="4" t="n">
        <x:v>2025</x:v>
      </x:c>
      <x:c r="E281" s="7" t="str">
        <x:v>https://arxiv.org/abs/2510.25726</x:v>
      </x:c>
      <x:c r="F281" s="3" t="str">
        <x:v>HKUST; All Hands AI; Carnegie Mellon University; Duke University</x:v>
      </x:c>
      <x:c r="G281" s="3" t="str">
        <x:v>Benchmark;Framework</x:v>
      </x:c>
      <x:c r="H281" s="3" t="str">
        <x:v>tool-enterprise</x:v>
      </x:c>
      <x:c r="I281" s="3" t="str">
        <x:v>Realistic multi-app tool execution</x:v>
      </x:c>
      <x:c r="J281" s="3" t="str">
        <x:v>planning;execution;state-management;verification</x:v>
      </x:c>
      <x:c r="K281" s="3" t="str"/>
      <x:c r="L281" s="3" t="str">
        <x:v>6.1;6.4</x:v>
      </x:c>
      <x:c r="M281" s="3" t="str">
        <x:v>以真实应用和MCP工具构建多应用长程任务，并用专门执行脚本验证结果。</x:v>
      </x:c>
      <x:c r="N281" s="7" t="str">
        <x:v>https://github.com/hkust-nlp/Toolathlon</x:v>
      </x:c>
      <x:c r="O281" s="3" t="str"/>
      <x:c r="P281" s="3" t="str">
        <x:v>verified</x:v>
      </x:c>
      <x:c r="Q281" s="7" t="str">
        <x:v>https://arxiv.org/html/2510.25726v1</x:v>
      </x:c>
      <x:c r="R281" s="7" t="str">
        <x:v>https://arxiv.org/abs/2510.25726</x:v>
      </x:c>
      <x:c r="S281" s="3" t="str"/>
      <x:c r="T281" s="3" t="str">
        <x:v>previous README / supplementary search</x:v>
      </x:c>
      <x:c r="U281" s="5" t="d">
        <x:v>2026-10-16T00:00:00.000Z</x:v>
      </x:c>
      <x:c r="V281" s="6" t="str">
        <x:v>未分配</x:v>
      </x:c>
      <x:c r="W281" s="6" t="str"/>
      <x:c r="X281" s="6" t="str"/>
      <x:c r="Y281" s="6" t="str"/>
      <x:c r="Z281" s="3" t="str">
        <x:v>新增/保留README来源；论文身份与摘要已核验；分类为维护者判断。</x:v>
      </x:c>
    </x:row>
    <x:row r="282" ht="55" customHeight="1">
      <x:c r="A282" s="3" t="str">
        <x:v>WA-0295</x:v>
      </x:c>
      <x:c r="B282" s="3" t="str">
        <x:v>Identifying the Risks of LM Agents with an LM-Emulated Sandbox</x:v>
      </x:c>
      <x:c r="C282" s="3" t="str">
        <x:v>ToolEmu</x:v>
      </x:c>
      <x:c r="D282" s="4" t="n">
        <x:v>2023</x:v>
      </x:c>
      <x:c r="E282" s="7" t="str">
        <x:v>https://arxiv.org/abs/2309.15817</x:v>
      </x:c>
      <x:c r="F282" s="3" t="str">
        <x:v>University of Toronto; Vector Institute; Stanford University</x:v>
      </x:c>
      <x:c r="G282" s="3" t="str">
        <x:v>Method;Benchmark</x:v>
      </x:c>
      <x:c r="H282" s="3" t="str">
        <x:v>safety</x:v>
      </x:c>
      <x:c r="I282" s="3" t="str">
        <x:v>Emulated tool-risk assessment</x:v>
      </x:c>
      <x:c r="J282" s="3" t="str">
        <x:v>execution;verification</x:v>
      </x:c>
      <x:c r="K282" s="3" t="str"/>
      <x:c r="L282" s="3" t="str">
        <x:v>6.1;7.4</x:v>
      </x:c>
      <x:c r="M282" s="3" t="str">
        <x:v>用语言模型仿真工具沙箱，发现代理执行高风险工具操作时的失败模式。</x:v>
      </x:c>
      <x:c r="N282" s="3" t="str"/>
      <x:c r="O282" s="3" t="str"/>
      <x:c r="P282" s="3" t="str">
        <x:v>verified</x:v>
      </x:c>
      <x:c r="Q282" s="7" t="str">
        <x:v>https://arxiv.org/html/2309.15817v1</x:v>
      </x:c>
      <x:c r="R282" s="7" t="str">
        <x:v>https://arxiv.org/abs/2309.15817</x:v>
      </x:c>
      <x:c r="S282" s="3" t="str"/>
      <x:c r="T282" s="3" t="str">
        <x:v>previous README / supplementary search</x:v>
      </x:c>
      <x:c r="U282" s="5" t="d">
        <x:v>2026-10-16T00:00:00.000Z</x:v>
      </x:c>
      <x:c r="V282" s="6" t="str">
        <x:v>未分配</x:v>
      </x:c>
      <x:c r="W282" s="6" t="str"/>
      <x:c r="X282" s="6" t="str"/>
      <x:c r="Y282" s="6" t="str"/>
      <x:c r="Z282" s="3" t="str">
        <x:v>新增/保留README来源；论文身份与摘要已核验；分类为维护者判断。</x:v>
      </x:c>
    </x:row>
    <x:row r="283" ht="55" customHeight="1">
      <x:c r="A283" s="3" t="str">
        <x:v>WA-0296</x:v>
      </x:c>
      <x:c r="B283" s="3" t="str">
        <x:v>Towards Long-Horizon Agents: A Survey</x:v>
      </x:c>
      <x:c r="C283" s="3" t="str">
        <x:v>Towards Long-Horizon Agents</x:v>
      </x:c>
      <x:c r="D283" s="4" t="n">
        <x:v>2026</x:v>
      </x:c>
      <x:c r="E283" s="7" t="str">
        <x:v>https://openreview.net/forum?id=HyhfhlbWGh</x:v>
      </x:c>
      <x:c r="F283" s="3" t="str">
        <x:v>Renmin University of China; Peking University; Tsinghua University; Sun Yat-sen University; HKUST; National University of Singapore</x:v>
      </x:c>
      <x:c r="G283" s="3" t="str">
        <x:v>Survey</x:v>
      </x:c>
      <x:c r="H283" s="3" t="str">
        <x:v>persistent</x:v>
      </x:c>
      <x:c r="I283" s="3" t="str">
        <x:v>Long-horizon harness and optimization</x:v>
      </x:c>
      <x:c r="J283" s="3" t="str">
        <x:v>planning;memory;state-management;verification;learning</x:v>
      </x:c>
      <x:c r="K283" s="3" t="str"/>
      <x:c r="L283" s="3" t="str">
        <x:v>5;6.4;7.2</x:v>
      </x:c>
      <x:c r="M283" s="3" t="str">
        <x:v>从外部harness与内部优化共同演进的角度整理长程代理系统与评测。</x:v>
      </x:c>
      <x:c r="N283" s="7" t="str">
        <x:v>https://github.com/RUC-NLPIR/Awesome-Long-Horizon-Agents</x:v>
      </x:c>
      <x:c r="O283" s="3" t="str"/>
      <x:c r="P283" s="3" t="str">
        <x:v>verified</x:v>
      </x:c>
      <x:c r="Q283" s="7" t="str">
        <x:v>https://long-horizon-agents.github.io/</x:v>
      </x:c>
      <x:c r="R283" s="7" t="str">
        <x:v>https://openreview.net/forum?id=HyhfhlbWGh</x:v>
      </x:c>
      <x:c r="S283" s="3" t="str"/>
      <x:c r="T283" s="3" t="str">
        <x:v>previous README / supplementary search</x:v>
      </x:c>
      <x:c r="U283" s="5" t="d">
        <x:v>2026-10-16T00:00:00.000Z</x:v>
      </x:c>
      <x:c r="V283" s="6" t="str">
        <x:v>未分配</x:v>
      </x:c>
      <x:c r="W283" s="6" t="str"/>
      <x:c r="X283" s="6" t="str"/>
      <x:c r="Y283" s="6" t="str"/>
      <x:c r="Z283" s="3" t="str">
        <x:v>机构与正式题名由官方项目页核验；正文PDF为OpenReview版本。</x:v>
      </x:c>
    </x:row>
    <x:row r="284" ht="55" customHeight="1">
      <x:c r="A284" s="3" t="str">
        <x:v>WA-0297</x:v>
      </x:c>
      <x:c r="B284" s="3" t="str">
        <x:v>UI-TARS: Pioneering Automated GUI Interaction with Native Agents</x:v>
      </x:c>
      <x:c r="C284" s="3" t="str">
        <x:v>UI-TARS</x:v>
      </x:c>
      <x:c r="D284" s="4" t="n">
        <x:v>2025</x:v>
      </x:c>
      <x:c r="E284" s="7" t="str">
        <x:v>https://arxiv.org/abs/2501.12326</x:v>
      </x:c>
      <x:c r="F284" s="3" t="str">
        <x:v>ByteDance Seed; Tsinghua University</x:v>
      </x:c>
      <x:c r="G284" s="3" t="str">
        <x:v>Method</x:v>
      </x:c>
      <x:c r="H284" s="3" t="str">
        <x:v>computer-use</x:v>
      </x:c>
      <x:c r="I284" s="3" t="str">
        <x:v>Native GUI-agent training</x:v>
      </x:c>
      <x:c r="J284" s="3" t="str">
        <x:v>perception;planning;execution;learning</x:v>
      </x:c>
      <x:c r="K284" s="3" t="str"/>
      <x:c r="L284" s="3" t="str">
        <x:v>4.1;5.2</x:v>
      </x:c>
      <x:c r="M284" s="3" t="str">
        <x:v>用统一视觉感知、推理和动作建模训练原生GUI代理。</x:v>
      </x:c>
      <x:c r="N284" s="3" t="str"/>
      <x:c r="O284" s="3" t="str"/>
      <x:c r="P284" s="3" t="str">
        <x:v>verified</x:v>
      </x:c>
      <x:c r="Q284" s="7" t="str">
        <x:v>https://arxiv.org/html/2501.12326v1</x:v>
      </x:c>
      <x:c r="R284" s="7" t="str">
        <x:v>https://arxiv.org/abs/2501.12326</x:v>
      </x:c>
      <x:c r="S284" s="3" t="str"/>
      <x:c r="T284" s="3" t="str">
        <x:v>previous README / supplementary search</x:v>
      </x:c>
      <x:c r="U284" s="5" t="d">
        <x:v>2026-10-16T00:00:00.000Z</x:v>
      </x:c>
      <x:c r="V284" s="6" t="str">
        <x:v>未分配</x:v>
      </x:c>
      <x:c r="W284" s="6" t="str"/>
      <x:c r="X284" s="6" t="str"/>
      <x:c r="Y284" s="6" t="str"/>
      <x:c r="Z284" s="3" t="str">
        <x:v>新增/保留README来源；论文身份与摘要已核验；分类为维护者判断。</x:v>
      </x:c>
    </x:row>
    <x:row r="285" ht="55" customHeight="1">
      <x:c r="A285" s="3" t="str">
        <x:v>WA-0298</x:v>
      </x:c>
      <x:c r="B285" s="3" t="str">
        <x:v>VideoWebArena: Evaluating Long Context Multimodal Agents with Video Understanding Web Tasks</x:v>
      </x:c>
      <x:c r="C285" s="3" t="str">
        <x:v>VideoWebArena</x:v>
      </x:c>
      <x:c r="D285" s="4" t="n">
        <x:v>2024</x:v>
      </x:c>
      <x:c r="E285" s="7" t="str">
        <x:v>https://arxiv.org/abs/2410.19100</x:v>
      </x:c>
      <x:c r="F285" s="3" t="str">
        <x:v>Microsoft; Carnegie Mellon University; MIT; New York University</x:v>
      </x:c>
      <x:c r="G285" s="3" t="str">
        <x:v>Benchmark</x:v>
      </x:c>
      <x:c r="H285" s="3" t="str">
        <x:v>computer-use</x:v>
      </x:c>
      <x:c r="I285" s="3" t="str">
        <x:v>Video-conditioned web tasks</x:v>
      </x:c>
      <x:c r="J285" s="3" t="str">
        <x:v>perception;memory;planning;execution</x:v>
      </x:c>
      <x:c r="K285" s="3" t="str"/>
      <x:c r="L285" s="3" t="str">
        <x:v>6.1</x:v>
      </x:c>
      <x:c r="M285" s="3" t="str">
        <x:v>要求根据视频中的长上下文信息完成网页任务，联结视频理解与实际网页操作。</x:v>
      </x:c>
      <x:c r="N285" s="3" t="str"/>
      <x:c r="O285" s="3" t="str"/>
      <x:c r="P285" s="3" t="str">
        <x:v>verified</x:v>
      </x:c>
      <x:c r="Q285" s="7" t="str">
        <x:v>https://arxiv.org/html/2410.19100v1</x:v>
      </x:c>
      <x:c r="R285" s="7" t="str">
        <x:v>https://arxiv.org/abs/2410.19100</x:v>
      </x:c>
      <x:c r="S285" s="3" t="str"/>
      <x:c r="T285" s="3" t="str">
        <x:v>previous README / supplementary search</x:v>
      </x:c>
      <x:c r="U285" s="5" t="d">
        <x:v>2026-10-16T00:00:00.000Z</x:v>
      </x:c>
      <x:c r="V285" s="6" t="str">
        <x:v>未分配</x:v>
      </x:c>
      <x:c r="W285" s="6" t="str"/>
      <x:c r="X285" s="6" t="str"/>
      <x:c r="Y285" s="6" t="str"/>
      <x:c r="Z285" s="3" t="str">
        <x:v>新增/保留README来源；论文身份与摘要已核验；分类为维护者判断。</x:v>
      </x:c>
    </x:row>
    <x:row r="286" ht="55" customHeight="1">
      <x:c r="A286" s="3" t="str">
        <x:v>WA-0299</x:v>
      </x:c>
      <x:c r="B286" s="3" t="str">
        <x:v>WebLINX: Real-World Website Navigation with Multi-Turn Dialogue</x:v>
      </x:c>
      <x:c r="C286" s="3" t="str">
        <x:v>WebLINX</x:v>
      </x:c>
      <x:c r="D286" s="4" t="n">
        <x:v>2024</x:v>
      </x:c>
      <x:c r="E286" s="7" t="str">
        <x:v>https://arxiv.org/abs/2402.05930</x:v>
      </x:c>
      <x:c r="F286" s="3" t="str">
        <x:v>Mila; McGill University; Charles University</x:v>
      </x:c>
      <x:c r="G286" s="3" t="str">
        <x:v>Benchmark</x:v>
      </x:c>
      <x:c r="H286" s="3" t="str">
        <x:v>computer-use</x:v>
      </x:c>
      <x:c r="I286" s="3" t="str">
        <x:v>Dialogue-guided website navigation</x:v>
      </x:c>
      <x:c r="J286" s="3" t="str">
        <x:v>perception;coordination;execution</x:v>
      </x:c>
      <x:c r="K286" s="3" t="str"/>
      <x:c r="L286" s="3" t="str">
        <x:v>6.1</x:v>
      </x:c>
      <x:c r="M286" s="3" t="str">
        <x:v>以多轮自然对话和网站操作演示评估交互式网页导航。</x:v>
      </x:c>
      <x:c r="N286" s="3" t="str"/>
      <x:c r="O286" s="3" t="str"/>
      <x:c r="P286" s="3" t="str">
        <x:v>verified</x:v>
      </x:c>
      <x:c r="Q286" s="7" t="str">
        <x:v>https://arxiv.org/html/2402.05930v1</x:v>
      </x:c>
      <x:c r="R286" s="7" t="str">
        <x:v>https://arxiv.org/abs/2402.05930</x:v>
      </x:c>
      <x:c r="S286" s="3" t="str"/>
      <x:c r="T286" s="3" t="str">
        <x:v>previous README / supplementary search</x:v>
      </x:c>
      <x:c r="U286" s="5" t="d">
        <x:v>2026-10-16T00:00:00.000Z</x:v>
      </x:c>
      <x:c r="V286" s="6" t="str">
        <x:v>未分配</x:v>
      </x:c>
      <x:c r="W286" s="6" t="str"/>
      <x:c r="X286" s="6" t="str"/>
      <x:c r="Y286" s="6" t="str"/>
      <x:c r="Z286" s="3" t="str">
        <x:v>新增/保留README来源；论文身份与摘要已核验；分类为维护者判断。</x:v>
      </x:c>
    </x:row>
    <x:row r="287" ht="55" customHeight="1">
      <x:c r="A287" s="3" t="str">
        <x:v>WA-0300</x:v>
      </x:c>
      <x:c r="B287" s="3" t="str">
        <x:v>WebRL: Training LLM Web Agents via Self-Evolving Online Curriculum Reinforcement Learning</x:v>
      </x:c>
      <x:c r="C287" s="3" t="str">
        <x:v>WebRL</x:v>
      </x:c>
      <x:c r="D287" s="4" t="n">
        <x:v>2024</x:v>
      </x:c>
      <x:c r="E287" s="7" t="str">
        <x:v>https://arxiv.org/abs/2411.02337</x:v>
      </x:c>
      <x:c r="F287" s="3" t="str">
        <x:v>Tsinghua University; Zhipu AI</x:v>
      </x:c>
      <x:c r="G287" s="3" t="str">
        <x:v>Method</x:v>
      </x:c>
      <x:c r="H287" s="3" t="str">
        <x:v>computer-use</x:v>
      </x:c>
      <x:c r="I287" s="3" t="str">
        <x:v>Online web-agent RL</x:v>
      </x:c>
      <x:c r="J287" s="3" t="str">
        <x:v>planning;execution;learning</x:v>
      </x:c>
      <x:c r="K287" s="3" t="str"/>
      <x:c r="L287" s="3" t="str">
        <x:v>5.2</x:v>
      </x:c>
      <x:c r="M287" s="3" t="str">
        <x:v>通过自演化任务课程与在线强化学习训练网页代理。</x:v>
      </x:c>
      <x:c r="N287" s="3" t="str"/>
      <x:c r="O287" s="3" t="str"/>
      <x:c r="P287" s="3" t="str">
        <x:v>verified</x:v>
      </x:c>
      <x:c r="Q287" s="7" t="str">
        <x:v>https://arxiv.org/html/2411.02337v1</x:v>
      </x:c>
      <x:c r="R287" s="7" t="str">
        <x:v>https://arxiv.org/abs/2411.02337</x:v>
      </x:c>
      <x:c r="S287" s="3" t="str"/>
      <x:c r="T287" s="3" t="str">
        <x:v>previous README / supplementary search</x:v>
      </x:c>
      <x:c r="U287" s="5" t="d">
        <x:v>2026-10-16T00:00:00.000Z</x:v>
      </x:c>
      <x:c r="V287" s="6" t="str">
        <x:v>未分配</x:v>
      </x:c>
      <x:c r="W287" s="6" t="str"/>
      <x:c r="X287" s="6" t="str"/>
      <x:c r="Y287" s="6" t="str"/>
      <x:c r="Z287" s="3" t="str">
        <x:v>新增/保留README来源；论文身份与摘要已核验；分类为维护者判断。</x:v>
      </x:c>
    </x:row>
    <x:row r="288" ht="55" customHeight="1">
      <x:c r="A288" s="3" t="str">
        <x:v>WA-0301</x:v>
      </x:c>
      <x:c r="B288" s="3" t="str">
        <x:v>WebShop: Towards Scalable Real-World Web Interaction with Grounded Language Agents</x:v>
      </x:c>
      <x:c r="C288" s="3" t="str">
        <x:v>WebShop</x:v>
      </x:c>
      <x:c r="D288" s="4" t="n">
        <x:v>2022</x:v>
      </x:c>
      <x:c r="E288" s="7" t="str">
        <x:v>https://arxiv.org/abs/2207.01206</x:v>
      </x:c>
      <x:c r="F288" s="3" t="str">
        <x:v>Princeton University</x:v>
      </x:c>
      <x:c r="G288" s="3" t="str">
        <x:v>Benchmark</x:v>
      </x:c>
      <x:c r="H288" s="3" t="str">
        <x:v>computer-use</x:v>
      </x:c>
      <x:c r="I288" s="3" t="str">
        <x:v>Ecommerce web interaction</x:v>
      </x:c>
      <x:c r="J288" s="3" t="str">
        <x:v>perception;reasoning;execution</x:v>
      </x:c>
      <x:c r="K288" s="3" t="str"/>
      <x:c r="L288" s="3" t="str">
        <x:v>6.1</x:v>
      </x:c>
      <x:c r="M288" s="3" t="str">
        <x:v>用商品搜索和购买流程评估自然语言目标到网页操作的落地。</x:v>
      </x:c>
      <x:c r="N288" s="3" t="str"/>
      <x:c r="O288" s="3" t="str"/>
      <x:c r="P288" s="3" t="str">
        <x:v>verified</x:v>
      </x:c>
      <x:c r="Q288" s="7" t="str">
        <x:v>https://arxiv.org/html/2207.01206v1</x:v>
      </x:c>
      <x:c r="R288" s="7" t="str">
        <x:v>https://arxiv.org/abs/2207.01206</x:v>
      </x:c>
      <x:c r="S288" s="3" t="str"/>
      <x:c r="T288" s="3" t="str">
        <x:v>previous README / supplementary search</x:v>
      </x:c>
      <x:c r="U288" s="5" t="d">
        <x:v>2026-10-16T00:00:00.000Z</x:v>
      </x:c>
      <x:c r="V288" s="6" t="str">
        <x:v>未分配</x:v>
      </x:c>
      <x:c r="W288" s="6" t="str"/>
      <x:c r="X288" s="6" t="str"/>
      <x:c r="Y288" s="6" t="str"/>
      <x:c r="Z288" s="3" t="str">
        <x:v>新增/保留README来源；论文身份与摘要已核验；分类为维护者判断。</x:v>
      </x:c>
    </x:row>
    <x:row r="289" ht="55" customHeight="1">
      <x:c r="A289" s="3" t="str">
        <x:v>WA-0302</x:v>
      </x:c>
      <x:c r="B289" s="3" t="str">
        <x:v>WebVoyager: Building an End-to-End Web Agent with Large Multimodal Models</x:v>
      </x:c>
      <x:c r="C289" s="3" t="str">
        <x:v>WebVoyager</x:v>
      </x:c>
      <x:c r="D289" s="4" t="n">
        <x:v>2024</x:v>
      </x:c>
      <x:c r="E289" s="7" t="str">
        <x:v>https://arxiv.org/abs/2401.13919</x:v>
      </x:c>
      <x:c r="F289" s="3" t="str">
        <x:v>Zhejiang University; Westlake University; Tencent AI Lab</x:v>
      </x:c>
      <x:c r="G289" s="3" t="str">
        <x:v>Method</x:v>
      </x:c>
      <x:c r="H289" s="3" t="str">
        <x:v>computer-use</x:v>
      </x:c>
      <x:c r="I289" s="3" t="str">
        <x:v>Multimodal end-to-end web agents</x:v>
      </x:c>
      <x:c r="J289" s="3" t="str">
        <x:v>perception;planning;execution;verification</x:v>
      </x:c>
      <x:c r="K289" s="3" t="str"/>
      <x:c r="L289" s="3" t="str">
        <x:v>4.1;4.4</x:v>
      </x:c>
      <x:c r="M289" s="3" t="str">
        <x:v>通过视觉观察与交互动作在真实网站端到端完成用户任务。</x:v>
      </x:c>
      <x:c r="N289" s="3" t="str"/>
      <x:c r="O289" s="3" t="str"/>
      <x:c r="P289" s="3" t="str">
        <x:v>verified</x:v>
      </x:c>
      <x:c r="Q289" s="7" t="str">
        <x:v>https://arxiv.org/html/2401.13919v1</x:v>
      </x:c>
      <x:c r="R289" s="7" t="str">
        <x:v>https://arxiv.org/abs/2401.13919</x:v>
      </x:c>
      <x:c r="S289" s="3" t="str"/>
      <x:c r="T289" s="3" t="str">
        <x:v>previous README / supplementary search</x:v>
      </x:c>
      <x:c r="U289" s="5" t="d">
        <x:v>2026-10-16T00:00:00.000Z</x:v>
      </x:c>
      <x:c r="V289" s="6" t="str">
        <x:v>未分配</x:v>
      </x:c>
      <x:c r="W289" s="6" t="str"/>
      <x:c r="X289" s="6" t="str"/>
      <x:c r="Y289" s="6" t="str"/>
      <x:c r="Z289" s="3" t="str">
        <x:v>新增/保留README来源；论文身份与摘要已核验；分类为维护者判断。</x:v>
      </x:c>
    </x:row>
    <x:row r="290" ht="85" customHeight="1">
      <x:c r="A290" s="3" t="str">
        <x:v>WA-0303</x:v>
      </x:c>
      <x:c r="B290" s="3" t="str">
        <x:v>WildClawBench: A Benchmark for Real-World, Long-Horizon Agent Evaluation</x:v>
      </x:c>
      <x:c r="C290" s="3" t="str">
        <x:v>WildClawBench</x:v>
      </x:c>
      <x:c r="D290" s="4" t="n">
        <x:v>2026</x:v>
      </x:c>
      <x:c r="E290" s="7" t="str">
        <x:v>https://arxiv.org/abs/2605.10912</x:v>
      </x:c>
      <x:c r="F290" s="3" t="str">
        <x:v>Shanghai AI Laboratory; Chinese University of Hong Kong; Fudan University; University of Science and Technology of China; Shanghai Jiao Tong University; Tsinghua University; Shanghai Innovation Institute; Zhejiang University; Nanyang Technological University</x:v>
      </x:c>
      <x:c r="G290" s="3" t="str">
        <x:v>Benchmark</x:v>
      </x:c>
      <x:c r="H290" s="3" t="str">
        <x:v>computer-use</x:v>
      </x:c>
      <x:c r="I290" s="3" t="str">
        <x:v>Real CLI harness tasks</x:v>
      </x:c>
      <x:c r="J290" s="3" t="str">
        <x:v>planning;execution;state-management;verification</x:v>
      </x:c>
      <x:c r="K290" s="3" t="str"/>
      <x:c r="L290" s="3" t="str">
        <x:v>6.1</x:v>
      </x:c>
      <x:c r="M290" s="3" t="str">
        <x:v>在真实工具与CLI代理框架中评估长程工作任务和执行结果。</x:v>
      </x:c>
      <x:c r="N290" s="3" t="str"/>
      <x:c r="O290" s="3" t="str"/>
      <x:c r="P290" s="3" t="str">
        <x:v>verified</x:v>
      </x:c>
      <x:c r="Q290" s="7" t="str">
        <x:v>https://arxiv.org/html/2605.10912v1</x:v>
      </x:c>
      <x:c r="R290" s="7" t="str">
        <x:v>https://arxiv.org/abs/2605.10912</x:v>
      </x:c>
      <x:c r="S290" s="3" t="str"/>
      <x:c r="T290" s="3" t="str">
        <x:v>previous README / supplementary search</x:v>
      </x:c>
      <x:c r="U290" s="5" t="d">
        <x:v>2026-10-16T00:00:00.000Z</x:v>
      </x:c>
      <x:c r="V290" s="6" t="str">
        <x:v>未分配</x:v>
      </x:c>
      <x:c r="W290" s="6" t="str"/>
      <x:c r="X290" s="6" t="str"/>
      <x:c r="Y290" s="6" t="str"/>
      <x:c r="Z290" s="3" t="str">
        <x:v>新增/保留README来源；论文身份与摘要已核验；分类为维护者判断。</x:v>
      </x:c>
    </x:row>
    <x:row r="291" ht="55" customHeight="1">
      <x:c r="A291" s="3" t="str">
        <x:v>WA-0304</x:v>
      </x:c>
      <x:c r="B291" s="3" t="str">
        <x:v>Tencent WorkBuddy Bench: A Multi-Domain Coding-Agent Benchmark with Contamination-Resistant Task Construction</x:v>
      </x:c>
      <x:c r="C291" s="3" t="str">
        <x:v>WorkBuddy Bench</x:v>
      </x:c>
      <x:c r="D291" s="4" t="n">
        <x:v>2026</x:v>
      </x:c>
      <x:c r="E291" s="7" t="str">
        <x:v>https://arxiv.org/abs/2607.20911</x:v>
      </x:c>
      <x:c r="F291" s="3" t="str">
        <x:v>Tencent (Youtu Lab; Keen Security Lab; WorkBuddy; Yunding Security Lab)</x:v>
      </x:c>
      <x:c r="G291" s="3" t="str">
        <x:v>Benchmark</x:v>
      </x:c>
      <x:c r="H291" s="3" t="str">
        <x:v>workspace</x:v>
      </x:c>
      <x:c r="I291" s="3" t="str">
        <x:v>Multidomain coding-agent work</x:v>
      </x:c>
      <x:c r="J291" s="3" t="str">
        <x:v>planning;execution;verification</x:v>
      </x:c>
      <x:c r="K291" s="3" t="str"/>
      <x:c r="L291" s="3" t="str">
        <x:v>6.1</x:v>
      </x:c>
      <x:c r="M291" s="3" t="str">
        <x:v>用来自真实提交和业务场景的代码、网页、办公、安全任务评价编码代理；各轨道分别评分。</x:v>
      </x:c>
      <x:c r="N291" s="3" t="str"/>
      <x:c r="O291" s="3" t="str"/>
      <x:c r="P291" s="3" t="str">
        <x:v>verified</x:v>
      </x:c>
      <x:c r="Q291" s="7" t="str">
        <x:v>https://arxiv.org/html/2607.20911v1</x:v>
      </x:c>
      <x:c r="R291" s="7" t="str">
        <x:v>https://arxiv.org/abs/2607.20911</x:v>
      </x:c>
      <x:c r="S291" s="3" t="str"/>
      <x:c r="T291" s="3" t="str">
        <x:v>previous README / supplementary search</x:v>
      </x:c>
      <x:c r="U291" s="5" t="d">
        <x:v>2026-10-16T00:00:00.000Z</x:v>
      </x:c>
      <x:c r="V291" s="6" t="str">
        <x:v>未分配</x:v>
      </x:c>
      <x:c r="W291" s="6" t="str"/>
      <x:c r="X291" s="6" t="str"/>
      <x:c r="Y291" s="6" t="str"/>
      <x:c r="Z291" s="3" t="str">
        <x:v>新增/保留README来源；论文身份与摘要已核验；分类为维护者判断。</x:v>
      </x:c>
    </x:row>
  </x:sheetData>
  <x:conditionalFormatting sqref="A2:Z291">
    <x:cfRule type="expression" dxfId="0" priority="1">
      <x:formula>$P2="pending"</x:formula>
    </x:cfRule>
  </x:conditionalFormatting>
  <x:conditionalFormatting sqref="P2:P291">
    <x:cfRule type="containsText" dxfId="1" priority="2" operator="containsText" text="metadata-only"/>
  </x:conditionalFormatting>
  <x:dataValidations count="3">
    <x:dataValidation type="list" sqref="V2:V291">
      <x:formula1>"未分配,待读,阅读中,已读"</x:formula1>
    </x:dataValidation>
    <x:dataValidation type="list" sqref="H2:H291">
      <x:formula1>"artifact,workspace,computer-use,tool-enterprise,persistent,harness,verification,safety,related,swe-science"</x:formula1>
    </x:dataValidation>
    <x:dataValidation type="list" sqref="P2:P291">
      <x:formula1>"verified,metadata-only,pending"</x:formula1>
    </x:dataValidation>
  </x:dataValidations>
  <x:pageMargins left="0.7" right="0.7" top="0.75" bottom="0.75" header="0.3" footer="0.3"/>
  <x:tableParts count="1">
    <x:tablePart xmlns:r="http://schemas.openxmlformats.org/officeDocument/2006/relationships" r:id="R8a22e16a0dff436e"/>
  </x:tableParts>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4" hidden="0" customWidth="1"/>
    <x:col min="2" max="2" width="64" hidden="0" customWidth="1"/>
    <x:col min="3" max="3" width="24" hidden="0" customWidth="1"/>
    <x:col min="4" max="4" width="8" hidden="0" customWidth="1"/>
    <x:col min="5" max="5" width="45" hidden="0" customWidth="1"/>
    <x:col min="6" max="6" width="48" hidden="0" customWidth="1"/>
    <x:col min="7" max="7" width="23" hidden="0" customWidth="1"/>
    <x:col min="8" max="8" width="22" hidden="0" customWidth="1"/>
    <x:col min="9" max="9" width="34" hidden="0" customWidth="1"/>
    <x:col min="10" max="10" width="32" hidden="0" customWidth="1"/>
    <x:col min="11" max="11" width="30" hidden="0" customWidth="1"/>
    <x:col min="12" max="12" width="22" hidden="0" customWidth="1"/>
    <x:col min="13" max="13" width="66" hidden="0" customWidth="1"/>
    <x:col min="14" max="14" width="42" hidden="0" customWidth="1"/>
    <x:col min="15" max="15" width="42" hidden="0" customWidth="1"/>
    <x:col min="16" max="16" width="18" hidden="0" customWidth="1"/>
    <x:col min="17" max="17" width="48" hidden="0" customWidth="1"/>
    <x:col min="18" max="18" width="48" hidden="0" customWidth="1"/>
    <x:col min="19" max="19" width="15" hidden="0" customWidth="1"/>
    <x:col min="20" max="20" width="27" hidden="0" customWidth="1"/>
    <x:col min="21" max="21" width="15" hidden="0" customWidth="1"/>
    <x:col min="22" max="22" width="16" hidden="0" customWidth="1"/>
    <x:col min="23" max="23" width="18" hidden="0" customWidth="1"/>
    <x:col min="24" max="24" width="20" hidden="0" customWidth="1"/>
    <x:col min="25" max="25" width="54" hidden="0" customWidth="1"/>
    <x:col min="26" max="26" width="65" hidden="0" customWidth="1"/>
  </x:cols>
  <x:sheetData>
    <x:row r="1" ht="30" customHeight="1">
      <x:c r="A1" s="11" t="str">
        <x:v>ID</x:v>
      </x:c>
      <x:c r="B1" s="11" t="str">
        <x:v>论文名称</x:v>
      </x:c>
      <x:c r="C1" s="11" t="str">
        <x:v>简称</x:v>
      </x:c>
      <x:c r="D1" s="11" t="str">
        <x:v>年份</x:v>
      </x:c>
      <x:c r="E1" s="11" t="str">
        <x:v>论文链接</x:v>
      </x:c>
      <x:c r="F1" s="11" t="str">
        <x:v>单位</x:v>
      </x:c>
      <x:c r="G1" s="11" t="str">
        <x:v>条目类型</x:v>
      </x:c>
      <x:c r="H1" s="11" t="str">
        <x:v>主分类</x:v>
      </x:c>
      <x:c r="I1" s="11" t="str">
        <x:v>细分类</x:v>
      </x:c>
      <x:c r="J1" s="11" t="str">
        <x:v>能力标签</x:v>
      </x:c>
      <x:c r="K1" s="11" t="str">
        <x:v>优化类型</x:v>
      </x:c>
      <x:c r="L1" s="11" t="str">
        <x:v>Survey章节</x:v>
      </x:c>
      <x:c r="M1" s="11" t="str">
        <x:v>核心贡献</x:v>
      </x:c>
      <x:c r="N1" s="11" t="str">
        <x:v>代码链接</x:v>
      </x:c>
      <x:c r="O1" s="11" t="str">
        <x:v>数据链接</x:v>
      </x:c>
      <x:c r="P1" s="11" t="str">
        <x:v>核验状态</x:v>
      </x:c>
      <x:c r="Q1" s="11" t="str">
        <x:v>单位来源</x:v>
      </x:c>
      <x:c r="R1" s="11" t="str">
        <x:v>元数据来源</x:v>
      </x:c>
      <x:c r="S1" s="11" t="str">
        <x:v>草稿引用编号</x:v>
      </x:c>
      <x:c r="T1" s="11" t="str">
        <x:v>收录来源</x:v>
      </x:c>
      <x:c r="U1" s="11" t="str">
        <x:v>复核日期</x:v>
      </x:c>
      <x:c r="V1" s="11" t="str">
        <x:v>阅读状态</x:v>
      </x:c>
      <x:c r="W1" s="11" t="str">
        <x:v>负责人</x:v>
      </x:c>
      <x:c r="X1" s="11" t="str">
        <x:v>写作章节</x:v>
      </x:c>
      <x:c r="Y1" s="11" t="str">
        <x:v>写作备注</x:v>
      </x:c>
      <x:c r="Z1" s="11" t="str">
        <x:v>核验备注</x:v>
      </x:c>
    </x:row>
    <x:row r="2" ht="55" customHeight="1">
      <x:c r="A2" s="3" t="str">
        <x:v>WA-0170</x:v>
      </x:c>
      <x:c r="B2" s="3" t="str">
        <x:v>Codex Manual</x:v>
      </x:c>
      <x:c r="C2" s="3" t="str">
        <x:v>Codex Manual</x:v>
      </x:c>
      <x:c r="D2" s="4" t="n">
        <x:v>2026</x:v>
      </x:c>
      <x:c r="E2" s="7" t="str">
        <x:v>https://developers.openai.com/codex/codex-manual.md</x:v>
      </x:c>
      <x:c r="F2" s="3" t="str">
        <x:v>OpenAI</x:v>
      </x:c>
      <x:c r="G2" s="3" t="str">
        <x:v>Product/Resource</x:v>
      </x:c>
      <x:c r="H2" s="3" t="str">
        <x:v>harness</x:v>
      </x:c>
      <x:c r="I2" s="3" t="str">
        <x:v>Production agent documentation</x:v>
      </x:c>
      <x:c r="J2" s="3" t="str">
        <x:v>execution;state-management;verification</x:v>
      </x:c>
      <x:c r="K2" s="3" t="str"/>
      <x:c r="L2" s="3" t="str">
        <x:v>6.4</x:v>
      </x:c>
      <x:c r="M2" s="3" t="str">
        <x:v>生产代理的运行配置与实践资料；作为产品文档单列，不计入论文。</x:v>
      </x:c>
      <x:c r="N2" s="3" t="str"/>
      <x:c r="O2" s="3" t="str"/>
      <x:c r="P2" s="3" t="str">
        <x:v>verified</x:v>
      </x:c>
      <x:c r="Q2" s="7" t="str">
        <x:v>https://developers.openai.com/codex/codex-manual.md</x:v>
      </x:c>
      <x:c r="R2" s="7" t="str">
        <x:v>https://developers.openai.com/codex/codex-manual.md</x:v>
      </x:c>
      <x:c r="S2" s="3" t="str">
        <x:v>170</x:v>
      </x:c>
      <x:c r="T2" s="3" t="str">
        <x:v>survey bibliography</x:v>
      </x:c>
      <x:c r="U2" s="5" t="d">
        <x:v>2026-10-16T00:00:00.000Z</x:v>
      </x:c>
      <x:c r="V2" s="6" t="str">
        <x:v>未分配</x:v>
      </x:c>
      <x:c r="W2" s="6" t="str"/>
      <x:c r="X2" s="6" t="str"/>
      <x:c r="Y2" s="6" t="str"/>
      <x:c r="Z2" s="3" t="str">
        <x:v>官方Markdown文档可访问；2026为引用/查阅年份，不是论文首发年份。原参考文献的副标题并非页面正式标题。</x:v>
      </x:c>
    </x:row>
    <x:row r="3" ht="55" customHeight="1">
      <x:c r="A3" s="3" t="str">
        <x:v>WA-0171</x:v>
      </x:c>
      <x:c r="B3" s="3" t="str">
        <x:v>Claude Code Overview</x:v>
      </x:c>
      <x:c r="C3" s="3" t="str">
        <x:v>Claude Code</x:v>
      </x:c>
      <x:c r="D3" s="4" t="n">
        <x:v>2026</x:v>
      </x:c>
      <x:c r="E3" s="7" t="str">
        <x:v>https://code.claude.com/docs/en/overview</x:v>
      </x:c>
      <x:c r="F3" s="3" t="str">
        <x:v>Anthropic</x:v>
      </x:c>
      <x:c r="G3" s="3" t="str">
        <x:v>Product/Resource</x:v>
      </x:c>
      <x:c r="H3" s="3" t="str">
        <x:v>harness</x:v>
      </x:c>
      <x:c r="I3" s="3" t="str">
        <x:v>Production agent documentation</x:v>
      </x:c>
      <x:c r="J3" s="3" t="str">
        <x:v>planning;execution;verification</x:v>
      </x:c>
      <x:c r="K3" s="3" t="str"/>
      <x:c r="L3" s="3" t="str">
        <x:v>6.4</x:v>
      </x:c>
      <x:c r="M3" s="3" t="str">
        <x:v>提供代码工作区代理及命令、文件、开发工具集成的产品文档。</x:v>
      </x:c>
      <x:c r="N3" s="3" t="str"/>
      <x:c r="O3" s="3" t="str"/>
      <x:c r="P3" s="3" t="str">
        <x:v>verified</x:v>
      </x:c>
      <x:c r="Q3" s="7" t="str">
        <x:v>https://code.claude.com/docs/en/overview</x:v>
      </x:c>
      <x:c r="R3" s="7" t="str">
        <x:v>https://code.claude.com/docs/en/overview</x:v>
      </x:c>
      <x:c r="S3" s="3" t="str">
        <x:v>171</x:v>
      </x:c>
      <x:c r="T3" s="3" t="str">
        <x:v>survey bibliography</x:v>
      </x:c>
      <x:c r="U3" s="5" t="d">
        <x:v>2026-10-16T00:00:00.000Z</x:v>
      </x:c>
      <x:c r="V3" s="6" t="str">
        <x:v>未分配</x:v>
      </x:c>
      <x:c r="W3" s="6" t="str"/>
      <x:c r="X3" s="6" t="str"/>
      <x:c r="Y3" s="6" t="str"/>
      <x:c r="Z3" s="3" t="str">
        <x:v>产品文档，2026为引用/查阅年份，不是论文首发年份。</x:v>
      </x:c>
    </x:row>
    <x:row r="4" ht="55" customHeight="1">
      <x:c r="A4" s="3" t="str">
        <x:v>WA-0172</x:v>
      </x:c>
      <x:c r="B4" s="3" t="str">
        <x:v>Microsoft Copilot architecture and how it works</x:v>
      </x:c>
      <x:c r="C4" s="3" t="str">
        <x:v>Microsoft 365 Copilot</x:v>
      </x:c>
      <x:c r="D4" s="4" t="n">
        <x:v>2026</x:v>
      </x:c>
      <x:c r="E4" s="7" t="str">
        <x:v>https://learn.microsoft.com/en-us/microsoft-365/copilot/microsoft-365-copilot-architecture</x:v>
      </x:c>
      <x:c r="F4" s="3" t="str">
        <x:v>Microsoft</x:v>
      </x:c>
      <x:c r="G4" s="3" t="str">
        <x:v>Product/Resource</x:v>
      </x:c>
      <x:c r="H4" s="3" t="str">
        <x:v>harness</x:v>
      </x:c>
      <x:c r="I4" s="3" t="str">
        <x:v>Enterprise office architecture</x:v>
      </x:c>
      <x:c r="J4" s="3" t="str">
        <x:v>perception;execution</x:v>
      </x:c>
      <x:c r="K4" s="3" t="str"/>
      <x:c r="L4" s="3" t="str">
        <x:v>6.4</x:v>
      </x:c>
      <x:c r="M4" s="3" t="str">
        <x:v>说明办公助手的数据流、Microsoft Graph grounding与既有访问权限边界。</x:v>
      </x:c>
      <x:c r="N4" s="3" t="str"/>
      <x:c r="O4" s="3" t="str"/>
      <x:c r="P4" s="3" t="str">
        <x:v>verified</x:v>
      </x:c>
      <x:c r="Q4" s="7" t="str">
        <x:v>https://learn.microsoft.com/en-us/microsoft-365/copilot/microsoft-365-copilot-architecture</x:v>
      </x:c>
      <x:c r="R4" s="7" t="str">
        <x:v>https://learn.microsoft.com/en-us/microsoft-365/copilot/microsoft-365-copilot-architecture</x:v>
      </x:c>
      <x:c r="S4" s="3" t="str">
        <x:v>172</x:v>
      </x:c>
      <x:c r="T4" s="3" t="str">
        <x:v>survey bibliography</x:v>
      </x:c>
      <x:c r="U4" s="5" t="d">
        <x:v>2026-10-16T00:00:00.000Z</x:v>
      </x:c>
      <x:c r="V4" s="6" t="str">
        <x:v>未分配</x:v>
      </x:c>
      <x:c r="W4" s="6" t="str"/>
      <x:c r="X4" s="6" t="str"/>
      <x:c r="Y4" s="6" t="str"/>
      <x:c r="Z4" s="3" t="str">
        <x:v>已使用官方页面重定向后的当前地址；2026为文档更新/引用年。</x:v>
      </x:c>
    </x:row>
    <x:row r="5" ht="55" customHeight="1">
      <x:c r="A5" s="3" t="str">
        <x:v>WA-0173</x:v>
      </x:c>
      <x:c r="B5" s="3" t="str">
        <x:v>The O*NET Content Model</x:v>
      </x:c>
      <x:c r="C5" s="3" t="str">
        <x:v>O*NET Content Model</x:v>
      </x:c>
      <x:c r="D5" s="4" t="n">
        <x:v>2026</x:v>
      </x:c>
      <x:c r="E5" s="7" t="str">
        <x:v>https://www.onetcenter.org/content.html</x:v>
      </x:c>
      <x:c r="F5" s="3" t="str">
        <x:v>National Center for O*NET Development</x:v>
      </x:c>
      <x:c r="G5" s="3" t="str">
        <x:v>Product/Resource</x:v>
      </x:c>
      <x:c r="H5" s="3" t="str">
        <x:v>related</x:v>
      </x:c>
      <x:c r="I5" s="3" t="str">
        <x:v>Occupational taxonomy</x:v>
      </x:c>
      <x:c r="J5" s="3" t="str">
        <x:v>reasoning</x:v>
      </x:c>
      <x:c r="K5" s="3" t="str"/>
      <x:c r="L5" s="3" t="str">
        <x:v>6.1</x:v>
      </x:c>
      <x:c r="M5" s="3" t="str">
        <x:v>提供职业活动、技能与工作情境的结构化词表，可用于职业任务覆盖分析。</x:v>
      </x:c>
      <x:c r="N5" s="3" t="str"/>
      <x:c r="O5" s="3" t="str"/>
      <x:c r="P5" s="3" t="str">
        <x:v>verified</x:v>
      </x:c>
      <x:c r="Q5" s="7" t="str">
        <x:v>https://www.onetcenter.org/content.html</x:v>
      </x:c>
      <x:c r="R5" s="7" t="str">
        <x:v>https://www.onetcenter.org/content.html</x:v>
      </x:c>
      <x:c r="S5" s="3" t="str">
        <x:v>173</x:v>
      </x:c>
      <x:c r="T5" s="3" t="str">
        <x:v>survey bibliography</x:v>
      </x:c>
      <x:c r="U5" s="5" t="d">
        <x:v>2026-10-16T00:00:00.000Z</x:v>
      </x:c>
      <x:c r="V5" s="6" t="str">
        <x:v>未分配</x:v>
      </x:c>
      <x:c r="W5" s="6" t="str"/>
      <x:c r="X5" s="6" t="str"/>
      <x:c r="Y5" s="6" t="str"/>
      <x:c r="Z5" s="3" t="str">
        <x:v>在线职业资源，2026为查阅年，不是研究论文首发年。</x:v>
      </x:c>
    </x:row>
    <x:row r="6" ht="55" customHeight="1">
      <x:c r="A6" s="3" t="str">
        <x:v>WA-0216</x:v>
      </x:c>
      <x:c r="B6" s="3" t="str">
        <x:v>AA-AnalystAgent</x:v>
      </x:c>
      <x:c r="C6" s="3" t="str">
        <x:v>AA-AnalystAgent</x:v>
      </x:c>
      <x:c r="D6" s="4" t="n">
        <x:v>2026</x:v>
      </x:c>
      <x:c r="E6" s="7" t="str">
        <x:v>https://artificialanalysis.ai/evaluations/aa-analyst-agent</x:v>
      </x:c>
      <x:c r="F6" s="3" t="str">
        <x:v>Artificial Analysis</x:v>
      </x:c>
      <x:c r="G6" s="3" t="str">
        <x:v>Product/Resource</x:v>
      </x:c>
      <x:c r="H6" s="3" t="str">
        <x:v>related</x:v>
      </x:c>
      <x:c r="I6" s="3" t="str">
        <x:v>Quantitative analysis over files</x:v>
      </x:c>
      <x:c r="J6" s="3" t="str">
        <x:v>perception;reasoning;execution</x:v>
      </x:c>
      <x:c r="K6" s="3" t="str"/>
      <x:c r="L6" s="3" t="str">
        <x:v>6.1</x:v>
      </x:c>
      <x:c r="M6" s="3" t="str">
        <x:v>让代理使用真实表格和文档回答定量分析问题，重复试验测量答案稳定性。</x:v>
      </x:c>
      <x:c r="N6" s="3" t="str"/>
      <x:c r="O6" s="3" t="str"/>
      <x:c r="P6" s="3" t="str">
        <x:v>verified</x:v>
      </x:c>
      <x:c r="Q6" s="7" t="str">
        <x:v>https://artificialanalysis.ai/evaluations/aa-analyst-agent</x:v>
      </x:c>
      <x:c r="R6" s="7" t="str">
        <x:v>https://artificialanalysis.ai/evaluations/aa-analyst-agent</x:v>
      </x:c>
      <x:c r="S6" s="3" t="str"/>
      <x:c r="T6" s="3" t="str">
        <x:v>previous README / supplementary search</x:v>
      </x:c>
      <x:c r="U6" s="5" t="d">
        <x:v>2026-10-16T00:00:00.000Z</x:v>
      </x:c>
      <x:c r="V6" s="6" t="str">
        <x:v>未分配</x:v>
      </x:c>
      <x:c r="W6" s="6" t="str"/>
      <x:c r="X6" s="6" t="str"/>
      <x:c r="Y6" s="6" t="str"/>
      <x:c r="Z6" s="3" t="str">
        <x:v>2026年8月发布；数据私有。最终数值答案计分，原workspace分类已调整为Related。</x:v>
      </x:c>
    </x:row>
    <x:row r="7" ht="55" customHeight="1">
      <x:c r="A7" s="3" t="str">
        <x:v>WA-0217</x:v>
      </x:c>
      <x:c r="B7" s="3" t="str">
        <x:v>AA-Briefcase: Agentic Knowledge Work Benchmark</x:v>
      </x:c>
      <x:c r="C7" s="3" t="str">
        <x:v>AA-Briefcase</x:v>
      </x:c>
      <x:c r="D7" s="4" t="n">
        <x:v>2026</x:v>
      </x:c>
      <x:c r="E7" s="7" t="str">
        <x:v>https://artificialanalysis.ai/evaluations/aa-briefcase</x:v>
      </x:c>
      <x:c r="F7" s="3" t="str">
        <x:v>Artificial Analysis</x:v>
      </x:c>
      <x:c r="G7" s="3" t="str">
        <x:v>Product/Resource</x:v>
      </x:c>
      <x:c r="H7" s="3" t="str">
        <x:v>persistent</x:v>
      </x:c>
      <x:c r="I7" s="3" t="str">
        <x:v>Multi-week project deliverables</x:v>
      </x:c>
      <x:c r="J7" s="3" t="str">
        <x:v>perception;planning;state-management;execution;verification</x:v>
      </x:c>
      <x:c r="K7" s="3" t="str"/>
      <x:c r="L7" s="3" t="str">
        <x:v>6.1;7.2</x:v>
      </x:c>
      <x:c r="M7" s="3" t="str">
        <x:v>让代理在多周项目和大量异构资料中持续完成工作任务，并核验交付质量。</x:v>
      </x:c>
      <x:c r="N7" s="7" t="str">
        <x:v>https://github.com/ArtificialAnalysis/Stirrup</x:v>
      </x:c>
      <x:c r="O7" s="7" t="str">
        <x:v>https://huggingface.co/datasets/ArtificialAnalysis/AA-Briefcase-Lite</x:v>
      </x:c>
      <x:c r="P7" s="3" t="str">
        <x:v>verified</x:v>
      </x:c>
      <x:c r="Q7" s="7" t="str">
        <x:v>https://artificialanalysis.ai/evaluations/aa-briefcase</x:v>
      </x:c>
      <x:c r="R7" s="7" t="str">
        <x:v>https://artificialanalysis.ai/evaluations/aa-briefcase</x:v>
      </x:c>
      <x:c r="S7" s="3" t="str"/>
      <x:c r="T7" s="3" t="str">
        <x:v>previous README / supplementary search</x:v>
      </x:c>
      <x:c r="U7" s="5" t="d">
        <x:v>2026-10-16T00:00:00.000Z</x:v>
      </x:c>
      <x:c r="V7" s="6" t="str">
        <x:v>未分配</x:v>
      </x:c>
      <x:c r="W7" s="6" t="str"/>
      <x:c r="X7" s="6" t="str"/>
      <x:c r="Y7" s="6" t="str"/>
      <x:c r="Z7" s="3" t="str">
        <x:v>原README年份2025缺来源；2026为已核验发布年。完整评分集私有，Lite为单独公开示例，不贡献正式得分。</x:v>
      </x:c>
    </x:row>
    <x:row r="8" ht="55" customHeight="1">
      <x:c r="A8" s="3" t="str">
        <x:v>WA-0232</x:v>
      </x:c>
      <x:c r="B8" s="3" t="str">
        <x:v>BigLaw Bench</x:v>
      </x:c>
      <x:c r="C8" s="3" t="str">
        <x:v>BigLaw Bench</x:v>
      </x:c>
      <x:c r="D8" s="4" t="n">
        <x:v>2024</x:v>
      </x:c>
      <x:c r="E8" s="7" t="str">
        <x:v>https://github.com/harveyai/biglaw-bench</x:v>
      </x:c>
      <x:c r="F8" s="3" t="str">
        <x:v>Harvey</x:v>
      </x:c>
      <x:c r="G8" s="3" t="str">
        <x:v>Product/Resource</x:v>
      </x:c>
      <x:c r="H8" s="3" t="str">
        <x:v>related</x:v>
      </x:c>
      <x:c r="I8" s="3" t="str">
        <x:v>Professional legal reasoning</x:v>
      </x:c>
      <x:c r="J8" s="3" t="str">
        <x:v>perception;reasoning;verification</x:v>
      </x:c>
      <x:c r="K8" s="3" t="str"/>
      <x:c r="L8" s="3" t="str">
        <x:v>6.1</x:v>
      </x:c>
      <x:c r="M8" s="3" t="str">
        <x:v>评价法律分析与文本回答的专业质量，是Harvey后续代理工作产物基准的前序资源。</x:v>
      </x:c>
      <x:c r="N8" s="7" t="str">
        <x:v>https://github.com/harveyai/biglaw-bench</x:v>
      </x:c>
      <x:c r="O8" s="3" t="str"/>
      <x:c r="P8" s="3" t="str">
        <x:v>verified</x:v>
      </x:c>
      <x:c r="Q8" s="7" t="str">
        <x:v>https://github.com/harveyai/biglaw-bench</x:v>
      </x:c>
      <x:c r="R8" s="7" t="str">
        <x:v>https://github.com/harveyai/biglaw-bench</x:v>
      </x:c>
      <x:c r="S8" s="3" t="str"/>
      <x:c r="T8" s="3" t="str">
        <x:v>previous README / supplementary search</x:v>
      </x:c>
      <x:c r="U8" s="5" t="d">
        <x:v>2026-10-16T00:00:00.000Z</x:v>
      </x:c>
      <x:c r="V8" s="6" t="str">
        <x:v>未分配</x:v>
      </x:c>
      <x:c r="W8" s="6" t="str"/>
      <x:c r="X8" s="6" t="str"/>
      <x:c r="Y8" s="6" t="str"/>
      <x:c r="Z8" s="3" t="str">
        <x:v>不能与LAB合并或共享2024发布日期；未确认独立论文。</x:v>
      </x:c>
    </x:row>
    <x:row r="9" ht="55" customHeight="1">
      <x:c r="A9" s="3" t="str">
        <x:v>WA-0249</x:v>
      </x:c>
      <x:c r="B9" s="3" t="str">
        <x:v>Excel Modeling Benchmark</x:v>
      </x:c>
      <x:c r="C9" s="3" t="str">
        <x:v>Excel Modeling Benchmark</x:v>
      </x:c>
      <x:c r="D9" s="4" t="n">
        <x:v>2026</x:v>
      </x:c>
      <x:c r="E9" s="7" t="str">
        <x:v>https://www.vals.ai/benchmarks/emb</x:v>
      </x:c>
      <x:c r="F9" s="3" t="str">
        <x:v>Vals AI</x:v>
      </x:c>
      <x:c r="G9" s="3" t="str">
        <x:v>Product/Resource</x:v>
      </x:c>
      <x:c r="H9" s="3" t="str">
        <x:v>artifact</x:v>
      </x:c>
      <x:c r="I9" s="3" t="str">
        <x:v>Financial workbook generation</x:v>
      </x:c>
      <x:c r="J9" s="3" t="str">
        <x:v>reasoning;execution;verification</x:v>
      </x:c>
      <x:c r="K9" s="3" t="str"/>
      <x:c r="L9" s="3" t="str">
        <x:v>6.1</x:v>
      </x:c>
      <x:c r="M9" s="3" t="str">
        <x:v>要求生成可重算的金融模型工作簿，同时评估数值、公式和金融格式约定。</x:v>
      </x:c>
      <x:c r="N9" s="3" t="str"/>
      <x:c r="O9" s="3" t="str"/>
      <x:c r="P9" s="3" t="str">
        <x:v>verified</x:v>
      </x:c>
      <x:c r="Q9" s="7" t="str">
        <x:v>https://www.vals.ai/benchmarks/emb</x:v>
      </x:c>
      <x:c r="R9" s="7" t="str">
        <x:v>https://www.vals.ai/benchmarks/emb</x:v>
      </x:c>
      <x:c r="S9" s="3" t="str"/>
      <x:c r="T9" s="3" t="str">
        <x:v>previous README / supplementary search</x:v>
      </x:c>
      <x:c r="U9" s="5" t="d">
        <x:v>2026-10-16T00:00:00.000Z</x:v>
      </x:c>
      <x:c r="V9" s="6" t="str">
        <x:v>未分配</x:v>
      </x:c>
      <x:c r="W9" s="6" t="str"/>
      <x:c r="X9" s="6" t="str"/>
      <x:c r="Y9" s="6" t="str"/>
      <x:c r="Z9" s="3" t="str">
        <x:v>官方网站基准，无已确认独立论文；测试集私有，官方称有单个公开任务。2026为已核验发布年。</x:v>
      </x:c>
    </x:row>
    <x:row r="10" ht="55" customHeight="1">
      <x:c r="A10" s="3" t="str">
        <x:v>WA-0257</x:v>
      </x:c>
      <x:c r="B10" s="3" t="str">
        <x:v>Harvey Legal Agent Benchmark</x:v>
      </x:c>
      <x:c r="C10" s="3" t="str">
        <x:v>Harvey LAB</x:v>
      </x:c>
      <x:c r="D10" s="4" t="n">
        <x:v>2026</x:v>
      </x:c>
      <x:c r="E10" s="7" t="str">
        <x:v>https://www.harvey.ai/blog/introducing-harveys-legal-agent-benchmark</x:v>
      </x:c>
      <x:c r="F10" s="3" t="str">
        <x:v>Harvey</x:v>
      </x:c>
      <x:c r="G10" s="3" t="str">
        <x:v>Product/Resource</x:v>
      </x:c>
      <x:c r="H10" s="3" t="str">
        <x:v>workspace</x:v>
      </x:c>
      <x:c r="I10" s="3" t="str">
        <x:v>Client-matter legal deliverables</x:v>
      </x:c>
      <x:c r="J10" s="3" t="str">
        <x:v>perception;reasoning;execution;verification</x:v>
      </x:c>
      <x:c r="K10" s="3" t="str"/>
      <x:c r="L10" s="3" t="str">
        <x:v>6.1</x:v>
      </x:c>
      <x:c r="M10" s="3" t="str">
        <x:v>从客户案卷发现材料，生成供合伙人审阅的法律工作产物，并按全项通过标准评分。</x:v>
      </x:c>
      <x:c r="N10" s="7" t="str">
        <x:v>https://github.com/harveyai/harvey-labs</x:v>
      </x:c>
      <x:c r="O10" s="3" t="str"/>
      <x:c r="P10" s="3" t="str">
        <x:v>verified</x:v>
      </x:c>
      <x:c r="Q10" s="7" t="str">
        <x:v>https://www.harvey.ai/blog/introducing-harveys-legal-agent-benchmark</x:v>
      </x:c>
      <x:c r="R10" s="7" t="str">
        <x:v>https://www.harvey.ai/blog/introducing-harveys-legal-agent-benchmark</x:v>
      </x:c>
      <x:c r="S10" s="3" t="str"/>
      <x:c r="T10" s="3" t="str">
        <x:v>previous README / supplementary search</x:v>
      </x:c>
      <x:c r="U10" s="5" t="d">
        <x:v>2026-10-16T00:00:00.000Z</x:v>
      </x:c>
      <x:c r="V10" s="6" t="str">
        <x:v>未分配</x:v>
      </x:c>
      <x:c r="W10" s="6" t="str"/>
      <x:c r="X10" s="6" t="str"/>
      <x:c r="Y10" s="6" t="str"/>
      <x:c r="Z10" s="3" t="str">
        <x:v>2026年5月发布；与2024年BigLaw Bench分开记录。官方项目资源，未确认独立论文。</x:v>
      </x:c>
    </x:row>
    <x:row r="11" ht="55" customHeight="1">
      <x:c r="A11" s="3" t="str">
        <x:v>WA-0265</x:v>
      </x:c>
      <x:c r="B11" s="3" t="str">
        <x:v>MedCode</x:v>
      </x:c>
      <x:c r="C11" s="3" t="str">
        <x:v>MedCode</x:v>
      </x:c>
      <x:c r="D11" s="4" t="n">
        <x:v>2026</x:v>
      </x:c>
      <x:c r="E11" s="7" t="str">
        <x:v>https://www.vals.ai/benchmarks/medcode</x:v>
      </x:c>
      <x:c r="F11" s="3" t="str">
        <x:v>Vals AI; Protege</x:v>
      </x:c>
      <x:c r="G11" s="3" t="str">
        <x:v>Product/Resource</x:v>
      </x:c>
      <x:c r="H11" s="3" t="str">
        <x:v>related</x:v>
      </x:c>
      <x:c r="I11" s="3" t="str">
        <x:v>Clinical coding</x:v>
      </x:c>
      <x:c r="J11" s="3" t="str">
        <x:v>perception;reasoning</x:v>
      </x:c>
      <x:c r="K11" s="3" t="str"/>
      <x:c r="L11" s="3" t="str">
        <x:v>6.1</x:v>
      </x:c>
      <x:c r="M11" s="3" t="str">
        <x:v>依据去标识化住院病历推断主次诊断代码，评价实际医疗编码能力。</x:v>
      </x:c>
      <x:c r="N11" s="3" t="str"/>
      <x:c r="O11" s="3" t="str"/>
      <x:c r="P11" s="3" t="str">
        <x:v>verified</x:v>
      </x:c>
      <x:c r="Q11" s="7" t="str">
        <x:v>https://www.vals.ai/benchmarks/medcode</x:v>
      </x:c>
      <x:c r="R11" s="7" t="str">
        <x:v>https://www.vals.ai/benchmarks/medcode</x:v>
      </x:c>
      <x:c r="S11" s="3" t="str"/>
      <x:c r="T11" s="3" t="str">
        <x:v>previous README / supplementary search</x:v>
      </x:c>
      <x:c r="U11" s="5" t="d">
        <x:v>2026-10-16T00:00:00.000Z</x:v>
      </x:c>
      <x:c r="V11" s="6" t="str">
        <x:v>未分配</x:v>
      </x:c>
      <x:c r="W11" s="6" t="str"/>
      <x:c r="X11" s="6" t="str"/>
      <x:c r="Y11" s="6" t="str"/>
      <x:c r="Z11" s="3" t="str">
        <x:v>官方商业基准；未确认独立论文。2026为核验年，首发年待查。</x:v>
      </x:c>
    </x:row>
    <x:row r="12" ht="55" customHeight="1">
      <x:c r="A12" s="3" t="str">
        <x:v>WA-0266</x:v>
      </x:c>
      <x:c r="B12" s="3" t="str">
        <x:v>MedScribe</x:v>
      </x:c>
      <x:c r="C12" s="3" t="str">
        <x:v>MedScribe</x:v>
      </x:c>
      <x:c r="D12" s="4" t="n">
        <x:v>2026</x:v>
      </x:c>
      <x:c r="E12" s="7" t="str">
        <x:v>https://www.vals.ai/benchmarks/medscribe</x:v>
      </x:c>
      <x:c r="F12" s="3" t="str">
        <x:v>Vals AI; Protege</x:v>
      </x:c>
      <x:c r="G12" s="3" t="str">
        <x:v>Product/Resource</x:v>
      </x:c>
      <x:c r="H12" s="3" t="str">
        <x:v>artifact</x:v>
      </x:c>
      <x:c r="I12" s="3" t="str">
        <x:v>Clinical note generation</x:v>
      </x:c>
      <x:c r="J12" s="3" t="str">
        <x:v>perception;reasoning;execution</x:v>
      </x:c>
      <x:c r="K12" s="3" t="str"/>
      <x:c r="L12" s="3" t="str">
        <x:v>6.1</x:v>
      </x:c>
      <x:c r="M12" s="3" t="str">
        <x:v>以临床会话生成SOAP记录，按专家rubric评价医疗文书质量。</x:v>
      </x:c>
      <x:c r="N12" s="3" t="str"/>
      <x:c r="O12" s="3" t="str"/>
      <x:c r="P12" s="3" t="str">
        <x:v>verified</x:v>
      </x:c>
      <x:c r="Q12" s="7" t="str">
        <x:v>https://www.vals.ai/benchmarks/medscribe</x:v>
      </x:c>
      <x:c r="R12" s="7" t="str">
        <x:v>https://www.vals.ai/benchmarks/medscribe</x:v>
      </x:c>
      <x:c r="S12" s="3" t="str"/>
      <x:c r="T12" s="3" t="str">
        <x:v>previous README / supplementary search</x:v>
      </x:c>
      <x:c r="U12" s="5" t="d">
        <x:v>2026-10-16T00:00:00.000Z</x:v>
      </x:c>
      <x:c r="V12" s="6" t="str">
        <x:v>未分配</x:v>
      </x:c>
      <x:c r="W12" s="6" t="str"/>
      <x:c r="X12" s="6" t="str"/>
      <x:c r="Y12" s="6" t="str"/>
      <x:c r="Z12" s="3" t="str">
        <x:v>官方商业基准；未确认独立论文。2026为本次核验年，首次公开年份待查；不计论文。</x:v>
      </x:c>
    </x:row>
    <x:row r="13" ht="55" customHeight="1">
      <x:c r="A13" s="3" t="str">
        <x:v>WA-0269</x:v>
      </x:c>
      <x:c r="B13" s="3" t="str">
        <x:v>Medical Long Context Reasoning (MLCR-AA)</x:v>
      </x:c>
      <x:c r="C13" s="3" t="str">
        <x:v>MLCR-AA</x:v>
      </x:c>
      <x:c r="D13" s="4" t="n">
        <x:v>2026</x:v>
      </x:c>
      <x:c r="E13" s="7" t="str">
        <x:v>https://artificialanalysis.ai/evaluations/mlcr-aa</x:v>
      </x:c>
      <x:c r="F13" s="3" t="str">
        <x:v>Wisedocs; Artificial Analysis</x:v>
      </x:c>
      <x:c r="G13" s="3" t="str">
        <x:v>Product/Resource</x:v>
      </x:c>
      <x:c r="H13" s="3" t="str">
        <x:v>related</x:v>
      </x:c>
      <x:c r="I13" s="3" t="str">
        <x:v>Long medical-record synthesis</x:v>
      </x:c>
      <x:c r="J13" s="3" t="str">
        <x:v>perception;reasoning;verification</x:v>
      </x:c>
      <x:c r="K13" s="3" t="str"/>
      <x:c r="L13" s="3" t="str">
        <x:v>6.1</x:v>
      </x:c>
      <x:c r="M13" s="3" t="str">
        <x:v>在长篇碎片化病历中综合时间、因果与治疗信息，以准确、完整且简洁的回答计分。</x:v>
      </x:c>
      <x:c r="N13" s="7" t="str">
        <x:v>https://github.com/Wisedocs-AI/medical-long-context-reasoning</x:v>
      </x:c>
      <x:c r="O13" s="7" t="str">
        <x:v>https://huggingface.co/datasets/Wisedocs/mlcr-dataset</x:v>
      </x:c>
      <x:c r="P13" s="3" t="str">
        <x:v>verified</x:v>
      </x:c>
      <x:c r="Q13" s="7" t="str">
        <x:v>https://artificialanalysis.ai/evaluations/mlcr-aa</x:v>
      </x:c>
      <x:c r="R13" s="7" t="str">
        <x:v>https://artificialanalysis.ai/evaluations/mlcr-aa</x:v>
      </x:c>
      <x:c r="S13" s="3" t="str"/>
      <x:c r="T13" s="3" t="str">
        <x:v>previous README / supplementary search</x:v>
      </x:c>
      <x:c r="U13" s="5" t="d">
        <x:v>2026-10-16T00:00:00.000Z</x:v>
      </x:c>
      <x:c r="V13" s="6" t="str">
        <x:v>未分配</x:v>
      </x:c>
      <x:c r="W13" s="6" t="str"/>
      <x:c r="X13" s="6" t="str"/>
      <x:c r="Y13" s="6" t="str"/>
      <x:c r="Z13" s="3" t="str">
        <x:v>MLCR-AA是AA对私有困难留出集的独立运行，不能将公开MLCR数据当作同一测试集。2026为核验年。</x:v>
      </x:c>
    </x:row>
    <x:row r="14" ht="55" customHeight="1">
      <x:c r="A14" s="3" t="str">
        <x:v>WA-0279</x:v>
      </x:c>
      <x:c r="B14" s="3" t="str">
        <x:v>PinchBench</x:v>
      </x:c>
      <x:c r="C14" s="3" t="str">
        <x:v>PinchBench</x:v>
      </x:c>
      <x:c r="D14" s="4" t="n">
        <x:v>2026</x:v>
      </x:c>
      <x:c r="E14" s="7" t="str">
        <x:v>https://github.com/pinchbench/skill</x:v>
      </x:c>
      <x:c r="F14" s="3" t="str">
        <x:v>Kilo</x:v>
      </x:c>
      <x:c r="G14" s="3" t="str">
        <x:v>Product/Resource</x:v>
      </x:c>
      <x:c r="H14" s="3" t="str">
        <x:v>workspace</x:v>
      </x:c>
      <x:c r="I14" s="3" t="str">
        <x:v>OpenClaw work tasks</x:v>
      </x:c>
      <x:c r="J14" s="3" t="str">
        <x:v>planning;execution;verification</x:v>
      </x:c>
      <x:c r="K14" s="3" t="str"/>
      <x:c r="L14" s="3" t="str">
        <x:v>6.1</x:v>
      </x:c>
      <x:c r="M14" s="3" t="str">
        <x:v>为OpenClaw编码代理提供任务和评分技能，评价实际工具执行。</x:v>
      </x:c>
      <x:c r="N14" s="7" t="str">
        <x:v>https://github.com/pinchbench/skill</x:v>
      </x:c>
      <x:c r="O14" s="3" t="str"/>
      <x:c r="P14" s="3" t="str">
        <x:v>verified</x:v>
      </x:c>
      <x:c r="Q14" s="7" t="str">
        <x:v>https://github.com/pinchbench/skill</x:v>
      </x:c>
      <x:c r="R14" s="7" t="str">
        <x:v>https://github.com/pinchbench/skill</x:v>
      </x:c>
      <x:c r="S14" s="3" t="str"/>
      <x:c r="T14" s="3" t="str">
        <x:v>previous README / supplementary search</x:v>
      </x:c>
      <x:c r="U14" s="5" t="d">
        <x:v>2026-10-16T00:00:00.000Z</x:v>
      </x:c>
      <x:c r="V14" s="6" t="str">
        <x:v>未分配</x:v>
      </x:c>
      <x:c r="W14" s="6" t="str"/>
      <x:c r="X14" s="6" t="str"/>
      <x:c r="Y14" s="6" t="str"/>
      <x:c r="Z14" s="3" t="str">
        <x:v>项目资源，未确认独立研究论文；原README年份2025缺乏来源，2026为核验年。</x:v>
      </x:c>
    </x:row>
    <x:row r="15" ht="55" customHeight="1">
      <x:c r="A15" s="3" t="str">
        <x:v>WA-0292</x:v>
      </x:c>
      <x:c r="B15" s="3" t="str">
        <x:v>Tax Agent Bench</x:v>
      </x:c>
      <x:c r="C15" s="3" t="str">
        <x:v>Tax Agent Bench</x:v>
      </x:c>
      <x:c r="D15" s="4" t="n">
        <x:v>2026</x:v>
      </x:c>
      <x:c r="E15" s="7" t="str">
        <x:v>https://www.vals.ai/benchmarks/tax_agent_bench</x:v>
      </x:c>
      <x:c r="F15" s="3" t="str">
        <x:v>Vals AI</x:v>
      </x:c>
      <x:c r="G15" s="3" t="str">
        <x:v>Product/Resource</x:v>
      </x:c>
      <x:c r="H15" s="3" t="str">
        <x:v>related</x:v>
      </x:c>
      <x:c r="I15" s="3" t="str">
        <x:v>US corporate tax research</x:v>
      </x:c>
      <x:c r="J15" s="3" t="str">
        <x:v>perception;reasoning;verification</x:v>
      </x:c>
      <x:c r="K15" s="3" t="str"/>
      <x:c r="L15" s="3" t="str">
        <x:v>6.1</x:v>
      </x:c>
      <x:c r="M15" s="3" t="str">
        <x:v>以真实企业税务问题测试法规研究、规则应用和有来源支撑的最终答案。</x:v>
      </x:c>
      <x:c r="N15" s="7" t="str">
        <x:v>https://github.com/vals-ai/tax-agent-bench</x:v>
      </x:c>
      <x:c r="O15" s="3" t="str"/>
      <x:c r="P15" s="3" t="str">
        <x:v>verified</x:v>
      </x:c>
      <x:c r="Q15" s="7" t="str">
        <x:v>https://www.vals.ai/benchmarks/tax_agent_bench</x:v>
      </x:c>
      <x:c r="R15" s="7" t="str">
        <x:v>https://www.vals.ai/benchmarks/tax_agent_bench</x:v>
      </x:c>
      <x:c r="S15" s="3" t="str"/>
      <x:c r="T15" s="3" t="str">
        <x:v>previous README / supplementary search</x:v>
      </x:c>
      <x:c r="U15" s="5" t="d">
        <x:v>2026-10-16T00:00:00.000Z</x:v>
      </x:c>
      <x:c r="V15" s="6" t="str">
        <x:v>未分配</x:v>
      </x:c>
      <x:c r="W15" s="6" t="str"/>
      <x:c r="X15" s="6" t="str"/>
      <x:c r="Y15" s="6" t="str"/>
      <x:c r="Z15" s="3" t="str">
        <x:v>官方商业基准；未确认独立论文。2026为本次核验年，首发年待查；只有最终答案与引用计分。</x:v>
      </x:c>
    </x:row>
  </x:sheetData>
  <x:conditionalFormatting sqref="A2:Z15">
    <x:cfRule type="expression" dxfId="2" priority="1">
      <x:formula>$P2="pending"</x:formula>
    </x:cfRule>
  </x:conditionalFormatting>
  <x:conditionalFormatting sqref="P2:P15">
    <x:cfRule type="containsText" dxfId="3" priority="2" operator="containsText" text="metadata-only"/>
  </x:conditionalFormatting>
  <x:dataValidations count="3">
    <x:dataValidation type="list" sqref="V2:V15">
      <x:formula1>"未分配,待读,阅读中,已读"</x:formula1>
    </x:dataValidation>
    <x:dataValidation type="list" sqref="H2:H15">
      <x:formula1>"artifact,workspace,computer-use,tool-enterprise,persistent,harness,verification,safety,related,swe-science"</x:formula1>
    </x:dataValidation>
    <x:dataValidation type="list" sqref="P2:P15">
      <x:formula1>"verified,metadata-only,pending"</x:formula1>
    </x:dataValidation>
  </x:dataValidations>
  <x:pageMargins left="0.7" right="0.7" top="0.75" bottom="0.75" header="0.3" footer="0.3"/>
  <x:tableParts count="1">
    <x:tablePart xmlns:r="http://schemas.openxmlformats.org/officeDocument/2006/relationships" r:id="Rba3c9f7bdbd64afb"/>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5" hidden="0" customWidth="1"/>
    <x:col min="2" max="2" width="30" hidden="0" customWidth="1"/>
    <x:col min="3" max="3" width="28" hidden="0" customWidth="1"/>
    <x:col min="4" max="4" width="24" hidden="0" customWidth="1"/>
    <x:col min="5" max="5" width="100" hidden="0" customWidth="1"/>
  </x:cols>
  <x:sheetData>
    <x:row r="1">
      <x:c r="A1" s="2"/>
      <x:c r="B1" s="2"/>
      <x:c r="C1" s="2"/>
      <x:c r="D1" s="2"/>
      <x:c r="E1" s="2"/>
    </x:row>
    <x:row r="2" ht="30" customHeight="1">
      <x:c r="A2" s="12" t="str">
        <x:v>分类词表 v0.1</x:v>
      </x:c>
      <x:c r="B2" s="2"/>
      <x:c r="C2" s="2"/>
      <x:c r="D2" s="2"/>
      <x:c r="E2" s="2"/>
    </x:row>
    <x:row r="3">
      <x:c r="A3" s="2" t="str">
        <x:v>主分类、条目类型、能力和优化机制是独立维度；分号表示多值。</x:v>
      </x:c>
      <x:c r="B3" s="2"/>
      <x:c r="C3" s="2"/>
      <x:c r="D3" s="2"/>
      <x:c r="E3" s="2"/>
    </x:row>
    <x:row r="4">
      <x:c r="A4" s="2"/>
      <x:c r="B4" s="2"/>
      <x:c r="C4" s="2"/>
      <x:c r="D4" s="2"/>
      <x:c r="E4" s="2"/>
    </x:row>
    <x:row r="5" ht="30" customHeight="1">
      <x:c r="A5" s="11" t="str">
        <x:v>维度</x:v>
      </x:c>
      <x:c r="B5" s="11" t="str">
        <x:v>代码</x:v>
      </x:c>
      <x:c r="C5" s="11" t="str">
        <x:v>中文术语</x:v>
      </x:c>
      <x:c r="D5" s="11" t="str">
        <x:v>Survey章节</x:v>
      </x:c>
      <x:c r="E5" s="11" t="str">
        <x:v>定义 / 代表工作</x:v>
      </x:c>
    </x:row>
    <x:row r="6" ht="48" customHeight="1">
      <x:c r="A6" s="3" t="str">
        <x:v>主分类</x:v>
      </x:c>
      <x:c r="B6" s="3" t="str">
        <x:v>artifact</x:v>
      </x:c>
      <x:c r="C6" s="3" t="str">
        <x:v>工作产物生成与编辑</x:v>
      </x:c>
      <x:c r="D6" s="3" t="str"/>
      <x:c r="E6" s="3" t="str">
        <x:v>Create or edit a spreadsheet, slide deck, or document. Use workspace when discovering dependencies across deliverables is central. Read-only understanding belongs in related foundations.</x:v>
      </x:c>
    </x:row>
    <x:row r="7" ht="48" customHeight="1">
      <x:c r="A7" s="3" t="str">
        <x:v>主分类</x:v>
      </x:c>
      <x:c r="B7" s="3" t="str">
        <x:v>workspace</x:v>
      </x:c>
      <x:c r="C7" s="3" t="str">
        <x:v>工作空间与跨文件工作</x:v>
      </x:c>
      <x:c r="D7" s="3" t="str"/>
      <x:c r="E7" s="3" t="str">
        <x:v>Discover and connect files, applications, and deliverables in a workspace; occupational work packages.</x:v>
      </x:c>
    </x:row>
    <x:row r="8" ht="48" customHeight="1">
      <x:c r="A8" s="3" t="str">
        <x:v>主分类</x:v>
      </x:c>
      <x:c r="B8" s="3" t="str">
        <x:v>computer-use</x:v>
      </x:c>
      <x:c r="C8" s="3" t="str">
        <x:v>计算机与应用操作</x:v>
      </x:c>
      <x:c r="D8" s="3" t="str"/>
      <x:c r="E8" s="3" t="str">
        <x:v>GUI grounding, web navigation, desktop and mobile control. A GUI interface alone does not override a more distinctive work objective.</x:v>
      </x:c>
    </x:row>
    <x:row r="9" ht="48" customHeight="1">
      <x:c r="A9" s="3" t="str">
        <x:v>主分类</x:v>
      </x:c>
      <x:c r="B9" s="3" t="str">
        <x:v>tool-enterprise</x:v>
      </x:c>
      <x:c r="C9" s="3" t="str">
        <x:v>工具调用与企业流程</x:v>
      </x:c>
      <x:c r="D9" s="3" t="str"/>
      <x:c r="E9" s="3" t="str">
        <x:v>Function calling, tool-mediated work, stateful business processes, and user-tool interaction.</x:v>
      </x:c>
    </x:row>
    <x:row r="10" ht="48" customHeight="1">
      <x:c r="A10" s="3" t="str">
        <x:v>主分类</x:v>
      </x:c>
      <x:c r="B10" s="3" t="str">
        <x:v>persistent</x:v>
      </x:c>
      <x:c r="C10" s="3" t="str">
        <x:v>持续责任与长期工作</x:v>
      </x:c>
      <x:c r="D10" s="3" t="str"/>
      <x:c r="E10" s="3" t="str">
        <x:v>Memory, asynchronous work, proactive assistance, personalization, and long-horizon evaluation. Execution length does not itself prove persistent responsibility.</x:v>
      </x:c>
    </x:row>
    <x:row r="11" ht="48" customHeight="1">
      <x:c r="A11" s="3" t="str">
        <x:v>主分类</x:v>
      </x:c>
      <x:c r="B11" s="3" t="str">
        <x:v>harness</x:v>
      </x:c>
      <x:c r="C11" s="3" t="str">
        <x:v>运行框架、训练与优化</x:v>
      </x:c>
      <x:c r="D11" s="3" t="str"/>
      <x:c r="E11" s="3" t="str">
        <x:v>Execution platforms and cross-domain environment, data, model, harness, and joint optimization. Domain-specific methods stay in their work category; optimization mechanism is recorded independently.</x:v>
      </x:c>
    </x:row>
    <x:row r="12" ht="48" customHeight="1">
      <x:c r="A12" s="3" t="str">
        <x:v>主分类</x:v>
      </x:c>
      <x:c r="B12" s="3" t="str">
        <x:v>verification</x:v>
      </x:c>
      <x:c r="C12" s="3" t="str">
        <x:v>验证、评判与恢复</x:v>
      </x:c>
      <x:c r="D12" s="3" t="str"/>
      <x:c r="E12" s="3" t="str">
        <x:v>Feedback, self-correction, evaluators, state validity, recovery, and transaction guarantees.</x:v>
      </x:c>
    </x:row>
    <x:row r="13" ht="48" customHeight="1">
      <x:c r="A13" s="3" t="str">
        <x:v>主分类</x:v>
      </x:c>
      <x:c r="B13" s="3" t="str">
        <x:v>safety</x:v>
      </x:c>
      <x:c r="C13" s="3" t="str">
        <x:v>安全、注入与授权</x:v>
      </x:c>
      <x:c r="D13" s="3" t="str"/>
      <x:c r="E13" s="3" t="str">
        <x:v>Prompt injection, harmful tool use, permission boundaries, delegation, and side-effect control.</x:v>
      </x:c>
    </x:row>
    <x:row r="14" ht="48" customHeight="1">
      <x:c r="A14" s="3" t="str">
        <x:v>主分类</x:v>
      </x:c>
      <x:c r="B14" s="3" t="str">
        <x:v>related</x:v>
      </x:c>
      <x:c r="C14" s="3" t="str">
        <x:v>相关基础与工作影响</x:v>
      </x:c>
      <x:c r="D14" s="3" t="str"/>
      <x:c r="E14" s="3" t="str">
        <x:v>Document/answer-only tasks, planning foundations, coordination and database theory, productivity and occupational studies. Retain as context and distinguish from end-to-end working-agent evidence.</x:v>
      </x:c>
    </x:row>
    <x:row r="15" ht="48" customHeight="1">
      <x:c r="A15" s="3" t="str">
        <x:v>主分类</x:v>
      </x:c>
      <x:c r="B15" s="3" t="str">
        <x:v>swe-science</x:v>
      </x:c>
      <x:c r="C15" s="3" t="str">
        <x:v>软件、数据科学与科研工作</x:v>
      </x:c>
      <x:c r="D15" s="3" t="str"/>
      <x:c r="E15" s="3" t="str">
        <x:v>Software development, executable data analysis, ML experiments, and research replication. Record an interface or optimization tag separately.</x:v>
      </x:c>
    </x:row>
    <x:row r="16" ht="48" customHeight="1">
      <x:c r="A16" s="3" t="str">
        <x:v>条目类型</x:v>
      </x:c>
      <x:c r="B16" s="3" t="str">
        <x:v>Method</x:v>
      </x:c>
      <x:c r="C16" s="3" t="str">
        <x:v>方法</x:v>
      </x:c>
      <x:c r="D16" s="3" t="str"/>
      <x:c r="E16" s="3" t="str">
        <x:v>A proposed agent, algorithm, training recipe, or optimization method.</x:v>
      </x:c>
    </x:row>
    <x:row r="17" ht="48" customHeight="1">
      <x:c r="A17" s="3" t="str">
        <x:v>条目类型</x:v>
      </x:c>
      <x:c r="B17" s="3" t="str">
        <x:v>Benchmark</x:v>
      </x:c>
      <x:c r="C17" s="3" t="str">
        <x:v>评测</x:v>
      </x:c>
      <x:c r="D17" s="3" t="str"/>
      <x:c r="E17" s="3" t="str">
        <x:v>A task set, dataset, evaluation protocol, or benchmark environment.</x:v>
      </x:c>
    </x:row>
    <x:row r="18" ht="48" customHeight="1">
      <x:c r="A18" s="3" t="str">
        <x:v>条目类型</x:v>
      </x:c>
      <x:c r="B18" s="3" t="str">
        <x:v>Framework</x:v>
      </x:c>
      <x:c r="C18" s="3" t="str">
        <x:v>框架</x:v>
      </x:c>
      <x:c r="D18" s="3" t="str"/>
      <x:c r="E18" s="3" t="str">
        <x:v>A reusable runtime, platform, or research infrastructure with a paper.</x:v>
      </x:c>
    </x:row>
    <x:row r="19" ht="48" customHeight="1">
      <x:c r="A19" s="3" t="str">
        <x:v>条目类型</x:v>
      </x:c>
      <x:c r="B19" s="3" t="str">
        <x:v>Survey</x:v>
      </x:c>
      <x:c r="C19" s="3" t="str">
        <x:v>综述</x:v>
      </x:c>
      <x:c r="D19" s="3" t="str"/>
      <x:c r="E19" s="3" t="str">
        <x:v>A literature survey or roadmap.</x:v>
      </x:c>
    </x:row>
    <x:row r="20" ht="48" customHeight="1">
      <x:c r="A20" s="3" t="str">
        <x:v>条目类型</x:v>
      </x:c>
      <x:c r="B20" s="3" t="str">
        <x:v>Background</x:v>
      </x:c>
      <x:c r="C20" s="3" t="str">
        <x:v>背景研究</x:v>
      </x:c>
      <x:c r="D20" s="3" t="str"/>
      <x:c r="E20" s="3" t="str">
        <x:v>Foundational theory or an empirical work-impact study.</x:v>
      </x:c>
    </x:row>
    <x:row r="21" ht="48" customHeight="1">
      <x:c r="A21" s="3" t="str">
        <x:v>条目类型</x:v>
      </x:c>
      <x:c r="B21" s="3" t="str">
        <x:v>Product/Resource</x:v>
      </x:c>
      <x:c r="C21" s="3" t="str">
        <x:v>产品或资源</x:v>
      </x:c>
      <x:c r="D21" s="3" t="str"/>
      <x:c r="E21" s="3" t="str">
        <x:v>Documentation, a product page, or a resource without an identified research paper. Excluded from the paper count.</x:v>
      </x:c>
    </x:row>
    <x:row r="22" ht="48" customHeight="1">
      <x:c r="A22" s="3" t="str">
        <x:v>能力</x:v>
      </x:c>
      <x:c r="B22" s="3" t="str">
        <x:v>perception</x:v>
      </x:c>
      <x:c r="C22" s="3" t="str">
        <x:v>感知与理解</x:v>
      </x:c>
      <x:c r="D22" s="3" t="str">
        <x:v>4.1</x:v>
      </x:c>
      <x:c r="E22" s="3" t="str">
        <x:v>Benchmark 的标签描述所考察能力；Method 的标签描述方法侧重。</x:v>
      </x:c>
    </x:row>
    <x:row r="23" ht="48" customHeight="1">
      <x:c r="A23" s="3" t="str">
        <x:v>能力</x:v>
      </x:c>
      <x:c r="B23" s="3" t="str">
        <x:v>reasoning</x:v>
      </x:c>
      <x:c r="C23" s="3" t="str">
        <x:v>推理与决策</x:v>
      </x:c>
      <x:c r="D23" s="3" t="str">
        <x:v>4.2</x:v>
      </x:c>
      <x:c r="E23" s="3" t="str">
        <x:v>Benchmark 的标签描述所考察能力；Method 的标签描述方法侧重。</x:v>
      </x:c>
    </x:row>
    <x:row r="24" ht="48" customHeight="1">
      <x:c r="A24" s="3" t="str">
        <x:v>能力</x:v>
      </x:c>
      <x:c r="B24" s="3" t="str">
        <x:v>planning</x:v>
      </x:c>
      <x:c r="C24" s="3" t="str">
        <x:v>规划</x:v>
      </x:c>
      <x:c r="D24" s="3" t="str">
        <x:v>4.3</x:v>
      </x:c>
      <x:c r="E24" s="3" t="str">
        <x:v>Benchmark 的标签描述所考察能力；Method 的标签描述方法侧重。</x:v>
      </x:c>
    </x:row>
    <x:row r="25" ht="48" customHeight="1">
      <x:c r="A25" s="3" t="str">
        <x:v>能力</x:v>
      </x:c>
      <x:c r="B25" s="3" t="str">
        <x:v>coordination</x:v>
      </x:c>
      <x:c r="C25" s="3" t="str">
        <x:v>协作与协调</x:v>
      </x:c>
      <x:c r="D25" s="3" t="str">
        <x:v>4.3</x:v>
      </x:c>
      <x:c r="E25" s="3" t="str">
        <x:v>Benchmark 的标签描述所考察能力；Method 的标签描述方法侧重。</x:v>
      </x:c>
    </x:row>
    <x:row r="26" ht="48" customHeight="1">
      <x:c r="A26" s="3" t="str">
        <x:v>能力</x:v>
      </x:c>
      <x:c r="B26" s="3" t="str">
        <x:v>execution</x:v>
      </x:c>
      <x:c r="C26" s="3" t="str">
        <x:v>执行</x:v>
      </x:c>
      <x:c r="D26" s="3" t="str">
        <x:v>4.4</x:v>
      </x:c>
      <x:c r="E26" s="3" t="str">
        <x:v>Benchmark 的标签描述所考察能力；Method 的标签描述方法侧重。</x:v>
      </x:c>
    </x:row>
    <x:row r="27" ht="48" customHeight="1">
      <x:c r="A27" s="3" t="str">
        <x:v>能力</x:v>
      </x:c>
      <x:c r="B27" s="3" t="str">
        <x:v>state-management</x:v>
      </x:c>
      <x:c r="C27" s="3" t="str">
        <x:v>状态管理</x:v>
      </x:c>
      <x:c r="D27" s="3" t="str">
        <x:v>4.4</x:v>
      </x:c>
      <x:c r="E27" s="3" t="str">
        <x:v>Benchmark 的标签描述所考察能力；Method 的标签描述方法侧重。</x:v>
      </x:c>
    </x:row>
    <x:row r="28" ht="48" customHeight="1">
      <x:c r="A28" s="3" t="str">
        <x:v>能力</x:v>
      </x:c>
      <x:c r="B28" s="3" t="str">
        <x:v>memory</x:v>
      </x:c>
      <x:c r="C28" s="3" t="str">
        <x:v>记忆</x:v>
      </x:c>
      <x:c r="D28" s="3" t="str">
        <x:v>4.4;5.3.3;7.2</x:v>
      </x:c>
      <x:c r="E28" s="3" t="str">
        <x:v>Benchmark 的标签描述所考察能力；Method 的标签描述方法侧重。</x:v>
      </x:c>
    </x:row>
    <x:row r="29" ht="48" customHeight="1">
      <x:c r="A29" s="3" t="str">
        <x:v>能力</x:v>
      </x:c>
      <x:c r="B29" s="3" t="str">
        <x:v>verification</x:v>
      </x:c>
      <x:c r="C29" s="3" t="str">
        <x:v>验证</x:v>
      </x:c>
      <x:c r="D29" s="3" t="str">
        <x:v>4.5;6.2</x:v>
      </x:c>
      <x:c r="E29" s="3" t="str">
        <x:v>Benchmark 的标签描述所考察能力；Method 的标签描述方法侧重。</x:v>
      </x:c>
    </x:row>
    <x:row r="30" ht="48" customHeight="1">
      <x:c r="A30" s="3" t="str">
        <x:v>能力</x:v>
      </x:c>
      <x:c r="B30" s="3" t="str">
        <x:v>recovery</x:v>
      </x:c>
      <x:c r="C30" s="3" t="str">
        <x:v>恢复与重规划</x:v>
      </x:c>
      <x:c r="D30" s="3" t="str">
        <x:v>4.5</x:v>
      </x:c>
      <x:c r="E30" s="3" t="str">
        <x:v>Benchmark 的标签描述所考察能力；Method 的标签描述方法侧重。</x:v>
      </x:c>
    </x:row>
    <x:row r="31" ht="48" customHeight="1">
      <x:c r="A31" s="3" t="str">
        <x:v>能力</x:v>
      </x:c>
      <x:c r="B31" s="3" t="str">
        <x:v>learning</x:v>
      </x:c>
      <x:c r="C31" s="3" t="str">
        <x:v>学习与优化（辅助研究标签）</x:v>
      </x:c>
      <x:c r="D31" s="3" t="str">
        <x:v>5</x:v>
      </x:c>
      <x:c r="E31" s="3" t="str">
        <x:v>Benchmark 的标签描述所考察能力；Method 的标签描述方法侧重。</x:v>
      </x:c>
    </x:row>
    <x:row r="32" ht="48" customHeight="1">
      <x:c r="A32" s="3" t="str">
        <x:v>优化类型</x:v>
      </x:c>
      <x:c r="B32" s="3" t="str">
        <x:v>environment-synthesis</x:v>
      </x:c>
      <x:c r="C32" s="3" t="str">
        <x:v>任务与环境合成</x:v>
      </x:c>
      <x:c r="D32" s="3" t="str">
        <x:v>5.1.1</x:v>
      </x:c>
      <x:c r="E32" s="3" t="str">
        <x:v>NexForge, GraphForge, WorkGenesis, EnvScaler</x:v>
      </x:c>
    </x:row>
    <x:row r="33" ht="48" customHeight="1">
      <x:c r="A33" s="3" t="str">
        <x:v>优化类型</x:v>
      </x:c>
      <x:c r="B33" s="3" t="str">
        <x:v>trajectory-curation</x:v>
      </x:c>
      <x:c r="C33" s="3" t="str">
        <x:v>轨迹收集与筛选</x:v>
      </x:c>
      <x:c r="D33" s="3" t="str">
        <x:v>5.1.2</x:v>
      </x:c>
      <x:c r="E33" s="3" t="str">
        <x:v>SEE, OpenThoughts-Agent, CurateEvo</x:v>
      </x:c>
    </x:row>
    <x:row r="34" ht="48" customHeight="1">
      <x:c r="A34" s="3" t="str">
        <x:v>优化类型</x:v>
      </x:c>
      <x:c r="B34" s="3" t="str">
        <x:v>reward-verification</x:v>
      </x:c>
      <x:c r="C34" s="3" t="str">
        <x:v>奖励与验证信号</x:v>
      </x:c>
      <x:c r="D34" s="3" t="str">
        <x:v>5.1.3</x:v>
      </x:c>
      <x:c r="E34" s="3" t="str">
        <x:v>Spreadsheet-RL, AeSlides, Learning to Present</x:v>
      </x:c>
    </x:row>
    <x:row r="35" ht="48" customHeight="1">
      <x:c r="A35" s="3" t="str">
        <x:v>优化类型</x:v>
      </x:c>
      <x:c r="B35" s="3" t="str">
        <x:v>mid-training-sft</x:v>
      </x:c>
      <x:c r="C35" s="3" t="str">
        <x:v>中期训练与监督微调</x:v>
      </x:c>
      <x:c r="D35" s="3" t="str">
        <x:v>5.2.1</x:v>
      </x:c>
      <x:c r="E35" s="3" t="str">
        <x:v>daVinci-Dev, TrajLong, Function-Aware FIM</x:v>
      </x:c>
    </x:row>
    <x:row r="36" ht="48" customHeight="1">
      <x:c r="A36" s="3" t="str">
        <x:v>优化类型</x:v>
      </x:c>
      <x:c r="B36" s="3" t="str">
        <x:v>agentic-rl</x:v>
      </x:c>
      <x:c r="C36" s="3" t="str">
        <x:v>智能体强化学习</x:v>
      </x:c>
      <x:c r="D36" s="3" t="str">
        <x:v>5.2.2</x:v>
      </x:c>
      <x:c r="E36" s="3" t="str">
        <x:v>HiPER, Adaptive Milestone Reward, ReTool</x:v>
      </x:c>
    </x:row>
    <x:row r="37" ht="48" customHeight="1">
      <x:c r="A37" s="3" t="str">
        <x:v>优化类型</x:v>
      </x:c>
      <x:c r="B37" s="3" t="str">
        <x:v>on-policy-distillation</x:v>
      </x:c>
      <x:c r="C37" s="3" t="str">
        <x:v>同策略蒸馏</x:v>
      </x:c>
      <x:c r="D37" s="3" t="str">
        <x:v>5.2.3</x:v>
      </x:c>
      <x:c r="E37" s="3" t="str">
        <x:v>TCOD, SOD, Skill-SD</x:v>
      </x:c>
    </x:row>
    <x:row r="38" ht="48" customHeight="1">
      <x:c r="A38" s="3" t="str">
        <x:v>优化类型</x:v>
      </x:c>
      <x:c r="B38" s="3" t="str">
        <x:v>self-improving-training</x:v>
      </x:c>
      <x:c r="C38" s="3" t="str">
        <x:v>自改进模型训练</x:v>
      </x:c>
      <x:c r="D38" s="3" t="str">
        <x:v>5.2.4</x:v>
      </x:c>
      <x:c r="E38" s="3" t="str">
        <x:v>Socratic-SWE, Self-Retrospection Distillation</x:v>
      </x:c>
    </x:row>
    <x:row r="39" ht="48" customHeight="1">
      <x:c r="A39" s="3" t="str">
        <x:v>优化类型</x:v>
      </x:c>
      <x:c r="B39" s="3" t="str">
        <x:v>tool-interface</x:v>
      </x:c>
      <x:c r="C39" s="3" t="str">
        <x:v>接口与工具优化</x:v>
      </x:c>
      <x:c r="D39" s="3" t="str">
        <x:v>5.3.1</x:v>
      </x:c>
      <x:c r="E39" s="3" t="str">
        <x:v>SWE-agent, JTPRO, Beyond Prompts</x:v>
      </x:c>
    </x:row>
    <x:row r="40" ht="48" customHeight="1">
      <x:c r="A40" s="3" t="str">
        <x:v>优化类型</x:v>
      </x:c>
      <x:c r="B40" s="3" t="str">
        <x:v>prompt-workflow</x:v>
      </x:c>
      <x:c r="C40" s="3" t="str">
        <x:v>提示与工作流优化</x:v>
      </x:c>
      <x:c r="D40" s="3" t="str">
        <x:v>5.3.2</x:v>
      </x:c>
      <x:c r="E40" s="3" t="str">
        <x:v>AFlow, GEPA, Meta-Harness</x:v>
      </x:c>
    </x:row>
    <x:row r="41" ht="48" customHeight="1">
      <x:c r="A41" s="3" t="str">
        <x:v>优化类型</x:v>
      </x:c>
      <x:c r="B41" s="3" t="str">
        <x:v>memory-skill</x:v>
      </x:c>
      <x:c r="C41" s="3" t="str">
        <x:v>记忆与技能优化</x:v>
      </x:c>
      <x:c r="D41" s="3" t="str">
        <x:v>5.3.3</x:v>
      </x:c>
      <x:c r="E41" s="3" t="str">
        <x:v>Agent Workflow Memory, ReasoningBank, SkillOpt</x:v>
      </x:c>
    </x:row>
    <x:row r="42" ht="48" customHeight="1">
      <x:c r="A42" s="3" t="str">
        <x:v>优化类型</x:v>
      </x:c>
      <x:c r="B42" s="3" t="str">
        <x:v>model-harness-coupling</x:v>
      </x:c>
      <x:c r="C42" s="3" t="str">
        <x:v>模型与运行框架耦合优化</x:v>
      </x:c>
      <x:c r="D42" s="3" t="str">
        <x:v>5.4</x:v>
      </x:c>
      <x:c r="E42" s="3" t="str">
        <x:v>UI-Copilot, SkillRL, Optimas</x:v>
      </x:c>
    </x:row>
    <x:row r="43">
      <x:c r="A43" s="2"/>
      <x:c r="B43" s="2"/>
      <x:c r="C43" s="2"/>
      <x:c r="D43" s="2"/>
      <x:c r="E43" s="2"/>
    </x:row>
    <x:row r="44">
      <x:c r="A44" s="2"/>
      <x:c r="B44" s="2"/>
      <x:c r="C44" s="2"/>
      <x:c r="D44" s="2"/>
      <x:c r="E44" s="2"/>
    </x:row>
    <x:row r="45">
      <x:c r="A45" s="2"/>
      <x:c r="B45" s="2"/>
      <x:c r="C45" s="2"/>
      <x:c r="D45" s="2"/>
      <x:c r="E45" s="2"/>
    </x:row>
    <x:row r="46">
      <x:c r="A46" s="2"/>
      <x:c r="B46" s="2"/>
      <x:c r="C46" s="2"/>
      <x:c r="D46" s="2"/>
      <x:c r="E46" s="2"/>
    </x:row>
    <x:row r="47">
      <x:c r="A47" s="2"/>
      <x:c r="B47" s="2"/>
      <x:c r="C47" s="2"/>
      <x:c r="D47" s="2"/>
      <x:c r="E47" s="2"/>
    </x:row>
    <x:row r="48">
      <x:c r="A48" s="2"/>
      <x:c r="B48" s="2"/>
      <x:c r="C48" s="2"/>
      <x:c r="D48" s="2"/>
      <x:c r="E48" s="2"/>
    </x:row>
    <x:row r="49">
      <x:c r="A49" s="2"/>
      <x:c r="B49" s="2"/>
      <x:c r="C49" s="2"/>
      <x:c r="D49" s="2"/>
      <x:c r="E49" s="2"/>
    </x:row>
    <x:row r="50">
      <x:c r="A50" s="2"/>
      <x:c r="B50" s="2"/>
      <x:c r="C50" s="2"/>
      <x:c r="D50" s="2"/>
      <x:c r="E50" s="2"/>
    </x:row>
    <x:row r="51">
      <x:c r="A51" s="2"/>
      <x:c r="B51" s="2"/>
      <x:c r="C51" s="2"/>
      <x:c r="D51" s="2"/>
      <x:c r="E51" s="2"/>
    </x:row>
    <x:row r="52">
      <x:c r="A52" s="2"/>
      <x:c r="B52" s="2"/>
      <x:c r="C52" s="2"/>
      <x:c r="D52" s="2"/>
      <x:c r="E52" s="2"/>
    </x:row>
    <x:row r="53">
      <x:c r="A53" s="2"/>
      <x:c r="B53" s="2"/>
      <x:c r="C53" s="2"/>
      <x:c r="D53" s="2"/>
      <x:c r="E53" s="2"/>
    </x:row>
    <x:row r="54">
      <x:c r="A54" s="2"/>
      <x:c r="B54" s="2"/>
      <x:c r="C54" s="2"/>
      <x:c r="D54" s="2"/>
      <x:c r="E54" s="2"/>
    </x:row>
    <x:row r="55">
      <x:c r="A55" s="2"/>
      <x:c r="B55" s="2"/>
      <x:c r="C55" s="2"/>
      <x:c r="D55" s="2"/>
      <x:c r="E55" s="2"/>
    </x:row>
    <x:row r="56">
      <x:c r="A56" s="2"/>
      <x:c r="B56" s="2"/>
      <x:c r="C56" s="2"/>
      <x:c r="D56" s="2"/>
      <x:c r="E56" s="2"/>
    </x:row>
    <x:row r="57">
      <x:c r="A57" s="2"/>
      <x:c r="B57" s="2"/>
      <x:c r="C57" s="2"/>
      <x:c r="D57" s="2"/>
      <x:c r="E57" s="2"/>
    </x:row>
    <x:row r="58">
      <x:c r="A58" s="2"/>
      <x:c r="B58" s="2"/>
      <x:c r="C58" s="2"/>
      <x:c r="D58" s="2"/>
      <x:c r="E58" s="2"/>
    </x:row>
    <x:row r="59">
      <x:c r="A59" s="2"/>
      <x:c r="B59" s="2"/>
      <x:c r="C59" s="2"/>
      <x:c r="D59" s="2"/>
      <x:c r="E59" s="2"/>
    </x:row>
    <x:row r="60">
      <x:c r="A60" s="2"/>
      <x:c r="B60" s="2"/>
      <x:c r="C60" s="2"/>
      <x:c r="D60" s="2"/>
      <x:c r="E60" s="2"/>
    </x:row>
    <x:row r="61">
      <x:c r="A61" s="2"/>
      <x:c r="B61" s="2"/>
      <x:c r="C61" s="2"/>
      <x:c r="D61" s="2"/>
      <x:c r="E61" s="2"/>
    </x:row>
    <x:row r="62">
      <x:c r="A62" s="2"/>
      <x:c r="B62" s="2"/>
      <x:c r="C62" s="2"/>
      <x:c r="D62" s="2"/>
      <x:c r="E62" s="2"/>
    </x:row>
    <x:row r="63">
      <x:c r="A63" s="2"/>
      <x:c r="B63" s="2"/>
      <x:c r="C63" s="2"/>
      <x:c r="D63" s="2"/>
      <x:c r="E63" s="2"/>
    </x:row>
    <x:row r="64">
      <x:c r="A64" s="2"/>
      <x:c r="B64" s="2"/>
      <x:c r="C64" s="2"/>
      <x:c r="D64" s="2"/>
      <x:c r="E64" s="2"/>
    </x:row>
    <x:row r="65">
      <x:c r="A65" s="2"/>
      <x:c r="B65" s="2"/>
      <x:c r="C65" s="2"/>
      <x:c r="D65" s="2"/>
      <x:c r="E65" s="2"/>
    </x:row>
  </x:sheetData>
  <x:pageMargins left="0.7" right="0.7" top="0.75" bottom="0.75" header="0.3" footer="0.3"/>
  <x:tableParts count="1">
    <x:tablePart xmlns:r="http://schemas.openxmlformats.org/officeDocument/2006/relationships" r:id="R4b3f3d9fafbb43da"/>
  </x:tableParts>
</x:worksheet>
</file>