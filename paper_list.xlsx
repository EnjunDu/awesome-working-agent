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df3127883094095" /></Relationships>
</file>

<file path=xl/workbook.xml><?xml version="1.0" encoding="utf-8"?>
<x:workbook xmlns:x="http://schemas.openxmlformats.org/spreadsheetml/2006/main">
  <x:sheets>
    <x:sheet xmlns:r="http://schemas.openxmlformats.org/officeDocument/2006/relationships" name="Overview" sheetId="1" r:id="Re33150342c7f4120"/>
    <x:sheet xmlns:r="http://schemas.openxmlformats.org/officeDocument/2006/relationships" name="Paper List" sheetId="2" r:id="R084c2341c3ae4bb3"/>
    <x:sheet xmlns:r="http://schemas.openxmlformats.org/officeDocument/2006/relationships" name="Resources" sheetId="3" r:id="R580ff142809345eb"/>
    <x:sheet xmlns:r="http://schemas.openxmlformats.org/officeDocument/2006/relationships" name="Taxonomy" sheetId="4" r:id="Rade181f218b74ade"/>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yyyy-mm-dd"/>
  </x:numFmts>
  <x:fonts count="6">
    <x:font>
      <x:sz val="11"/>
      <x:name val="Carlito"/>
    </x:font>
    <x:font>
      <x:sz val="10"/>
      <x:color rgb="FF24344B"/>
      <x:name val="Arial"/>
    </x:font>
    <x:font>
      <x:b/>
      <x:sz val="15"/>
      <x:color rgb="FF24344B"/>
      <x:name val="Arial"/>
    </x:font>
    <x:font>
      <x:b/>
      <x:sz val="10"/>
      <x:color rgb="FFFFFFFF"/>
      <x:name val="Arial"/>
    </x:font>
    <x:font>
      <x:sz val="10"/>
      <x:color rgb="FF1D5E9C"/>
      <x:name val="Arial"/>
    </x:font>
    <x:font>
      <x:sz val="10"/>
      <x:color rgb="FF64748B"/>
      <x:name val="Arial"/>
    </x:font>
  </x:fonts>
  <x:fills count="8">
    <x:fill>
      <x:patternFill patternType="none"/>
    </x:fill>
    <x:fill>
      <x:patternFill patternType="gray125"/>
    </x:fill>
    <x:fill>
      <x:patternFill patternType="solid">
        <x:fgColor rgb="FF244563"/>
      </x:patternFill>
    </x:fill>
    <x:fill>
      <x:patternFill patternType="solid">
        <x:fgColor rgb="FFF2F5F8"/>
      </x:patternFill>
    </x:fill>
    <x:fill>
      <x:patternFill patternType="solid">
        <x:fgColor rgb="FFFFF1CD"/>
      </x:patternFill>
    </x:fill>
    <x:fill>
      <x:patternFill patternType="solid">
        <x:fgColor rgb="FFFFFFFF"/>
      </x:patternFill>
    </x:fill>
    <x:fill>
      <x:patternFill patternType="solid">
        <x:fgColor rgb="FFF2F5F8"/>
      </x:patternFill>
    </x:fill>
    <x:fill>
      <x:patternFill patternType="solid">
        <x:fgColor rgb="FFFFF1CD"/>
      </x:patternFill>
    </x:fill>
  </x:fills>
  <x:borders count="1">
    <x:border>
      <x:left/>
      <x:right/>
      <x:top/>
      <x:bottom/>
      <x:diagonal/>
    </x:border>
  </x:borders>
  <x:cellStyleXfs count="1">
    <x:xf numFmtId="0" fontId="0" fillId="0" borderId="0"/>
  </x:cellStyleXfs>
  <x:cellXfs count="23">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3" fillId="2" borderId="0" xfId="0" applyNumberFormat="1" applyFont="1" applyFill="1" applyBorder="1" applyAlignment="1">
      <x:alignment vertical="center"/>
    </x:xf>
    <x:xf numFmtId="0" fontId="3" fillId="2" borderId="0" xfId="0" applyNumberFormat="1" applyFont="1" applyFill="1" applyBorder="1" applyAlignment="1">
      <x:alignment vertical="center" wrapText="1"/>
    </x:xf>
    <x:xf numFmtId="0" fontId="3" fillId="2" borderId="0" xfId="0" applyNumberFormat="1" applyFont="1" applyFill="1" applyBorder="1" applyAlignment="1">
      <x:alignment horizontal="center" vertical="center" wrapText="1"/>
    </x:xf>
    <x:xf numFmtId="0" fontId="1" fillId="0" borderId="0" xfId="0" applyNumberFormat="1" applyFont="1" applyFill="1" applyBorder="1" applyAlignment="1">
      <x:alignment vertical="center" wrapText="1"/>
    </x:xf>
    <x:xf numFmtId="200" fontId="1" fillId="0" borderId="0" xfId="0" applyNumberFormat="1" applyFont="1" applyFill="1" applyBorder="1" applyAlignment="1">
      <x:alignment vertical="center" wrapText="1"/>
    </x:xf>
    <x:xf numFmtId="0" fontId="1" fillId="3" borderId="0" xfId="0" applyNumberFormat="1" applyFont="1" applyFill="1" applyBorder="1" applyAlignment="1">
      <x:alignment vertical="center" wrapText="1"/>
    </x:xf>
    <x:xf numFmtId="0" fontId="4" fillId="0" borderId="0" xfId="0" applyNumberFormat="1" applyFont="1" applyFill="1" applyBorder="1" applyAlignment="1">
      <x:alignment vertical="center" wrapText="1"/>
    </x:xf>
    <x:xf numFmtId="0" fontId="1" fillId="4" borderId="0" xfId="0" applyNumberFormat="1" applyFont="1" applyFill="1" applyBorder="1" applyAlignment="1">
      <x:alignment vertical="center" wrapText="1"/>
    </x:xf>
    <x:xf numFmtId="201" fontId="1" fillId="0" borderId="0" xfId="0" applyNumberFormat="1" applyFont="1" applyFill="1" applyBorder="1" applyAlignment="1">
      <x:alignment vertical="center" wrapText="1"/>
    </x:xf>
    <x:xf numFmtId="0" fontId="5" fillId="0" borderId="0" xfId="0" applyNumberFormat="1" applyFont="1" applyFill="1" applyBorder="1" applyAlignment="1">
      <x:alignment vertical="center"/>
    </x:xf>
    <x:xf numFmtId="200" fontId="2" fillId="0" borderId="0" xfId="0" applyNumberFormat="1" applyFont="1" applyFill="1" applyBorder="1" applyAlignment="1">
      <x:alignment vertical="center"/>
    </x:xf>
    <x:xf numFmtId="200" fontId="2" fillId="0" borderId="0" xfId="0" applyNumberFormat="1" applyFont="1" applyFill="1" applyBorder="1" applyAlignment="1">
      <x:alignment horizontal="center" vertical="center"/>
    </x:xf>
    <x:xf numFmtId="0" fontId="1" fillId="0" borderId="0" xfId="0" applyNumberFormat="1" applyFont="1" applyFill="1" applyBorder="1" applyAlignment="1">
      <x:alignment vertical="center" wrapText="0"/>
    </x:xf>
    <x:xf numFmtId="0" fontId="1" fillId="5" borderId="0" xfId="0" applyNumberFormat="1" applyFont="1" applyFill="1" applyBorder="1" applyAlignment="1">
      <x:alignment vertical="center" wrapText="0"/>
    </x:xf>
    <x:xf numFmtId="0" fontId="1" fillId="5" borderId="0" xfId="0" applyNumberFormat="1" applyFont="1" applyFill="1" applyBorder="1" applyAlignment="1">
      <x:alignment vertical="center"/>
    </x:xf>
    <x:xf numFmtId="0" fontId="1" fillId="0" borderId="0" xfId="0" applyNumberFormat="1" applyFont="1" applyFill="1" applyBorder="1" applyAlignment="1">
      <x:alignment wrapText="1"/>
    </x:xf>
    <x:xf numFmtId="0" fontId="1" fillId="6" borderId="0" xfId="0" applyNumberFormat="1" applyFont="1" applyFill="1" applyBorder="1" applyAlignment="1">
      <x:alignment vertical="center" wrapText="1"/>
    </x:xf>
    <x:xf numFmtId="0" fontId="1" fillId="7" borderId="0" xfId="0" applyNumberFormat="1" applyFont="1" applyFill="1" applyBorder="1" applyAlignment="1">
      <x:alignment vertical="center" wrapText="1"/>
    </x:xf>
  </x:cellXfs>
  <x:cellStyles count="1">
    <x:cellStyle name="Normal" xfId="0"/>
  </x:cellStyles>
  <x:dxfs count="8">
    <x:dxf>
      <x:fill>
        <x:patternFill>
          <x:bgColor rgb="FFFCE4E4"/>
        </x:patternFill>
      </x:fill>
    </x:dxf>
    <x:dxf>
      <x:font>
        <x:color rgb="FF86520A"/>
      </x:font>
      <x:fill>
        <x:patternFill>
          <x:bgColor rgb="FFFFF1CD"/>
        </x:patternFill>
      </x:fill>
    </x:dxf>
    <x:dxf>
      <x:fill>
        <x:patternFill>
          <x:bgColor rgb="FFFCE4E4"/>
        </x:patternFill>
      </x:fill>
    </x:dxf>
    <x:dxf>
      <x:font>
        <x:color rgb="FF86520A"/>
      </x:font>
      <x:fill>
        <x:patternFill>
          <x:bgColor rgb="FFFFF1CD"/>
        </x:patternFill>
      </x:fill>
    </x:dxf>
    <x:dxf>
      <x:fill>
        <x:patternFill patternType="solid">
          <x:bgColor rgb="FFFCE4E4"/>
        </x:patternFill>
      </x:fill>
    </x:dxf>
    <x:dxf>
      <x:font>
        <x:color rgb="FF86520A"/>
      </x:font>
      <x:fill>
        <x:patternFill patternType="solid">
          <x:bgColor rgb="FFFFF1CD"/>
        </x:patternFill>
      </x:fill>
    </x:dxf>
    <x:dxf>
      <x:fill>
        <x:patternFill patternType="solid">
          <x:bgColor rgb="FFFCE4E4"/>
        </x:patternFill>
      </x:fill>
    </x:dxf>
    <x:dxf>
      <x:font>
        <x:color rgb="FF86520A"/>
      </x:font>
      <x:fill>
        <x:patternFill patternType="solid">
          <x:bgColor rgb="FFFFF1CD"/>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5511260ab4543f5" /><Relationship Type="http://schemas.openxmlformats.org/officeDocument/2006/relationships/theme" Target="/xl/theme/theme1.xml" Id="R86a67b52cbcf40f3" /><Relationship Type="http://schemas.openxmlformats.org/officeDocument/2006/relationships/sharedStrings" Target="/xl/sharedStrings.xml" Id="R4a4d2ac1e7844358" /><Relationship Type="http://schemas.openxmlformats.org/officeDocument/2006/relationships/worksheet" Target="/xl/worksheets/sheet1.xml" Id="Re33150342c7f4120" /><Relationship Type="http://schemas.openxmlformats.org/officeDocument/2006/relationships/worksheet" Target="/xl/worksheets/sheet2.xml" Id="R084c2341c3ae4bb3" /><Relationship Type="http://schemas.openxmlformats.org/officeDocument/2006/relationships/worksheet" Target="/xl/worksheets/sheet3.xml" Id="R580ff142809345eb" /><Relationship Type="http://schemas.openxmlformats.org/officeDocument/2006/relationships/worksheet" Target="/xl/worksheets/sheet4.xml" Id="Rade181f218b74ade" /></Relationships>
</file>

<file path=xl/tables/table1.xml><?xml version="1.0" encoding="utf-8"?>
<x:table xmlns:x="http://schemas.openxmlformats.org/spreadsheetml/2006/main" id="2" name="Papers" displayName="Papers" ref="A1:AM452" headerRowCount="1" totalsRowCount="0" totalsRowShown="0">
  <x:autoFilter ref="A1:AM452"/>
  <x:tableColumns count="39">
    <x:tableColumn id="1" name="ID"/>
    <x:tableColumn id="2" name="简称"/>
    <x:tableColumn id="3" name="论文名称"/>
    <x:tableColumn id="4" name="年份"/>
    <x:tableColumn id="5" name="单位"/>
    <x:tableColumn id="6" name="论文一级分类"/>
    <x:tableColumn id="7" name="论文二级分类"/>
    <x:tableColumn id="8" name="主归属章节"/>
    <x:tableColumn id="9" name="具体小节名称"/>
    <x:tableColumn id="10" name="细分研究类型"/>
    <x:tableColumn id="11" name="五项核心能力"/>
    <x:tableColumn id="12" name="其他关联章节"/>
    <x:tableColumn id="13" name="优化机制"/>
    <x:tableColumn id="14" name="条目类型"/>
    <x:tableColumn id="15" name="论文链接"/>
    <x:tableColumn id="16" name="核心贡献"/>
    <x:tableColumn id="17" name="对综述的用途"/>
    <x:tableColumn id="18" name="适用边界"/>
    <x:tableColumn id="19" name="清单建议阅读优先级"/>
    <x:tableColumn id="20" name="阅读状态"/>
    <x:tableColumn id="21" name="负责人"/>
    <x:tableColumn id="22" name="写作章节"/>
    <x:tableColumn id="23" name="写作备注"/>
    <x:tableColumn id="24" name="核验状态"/>
    <x:tableColumn id="25" name="代码链接"/>
    <x:tableColumn id="26" name="数据链接"/>
    <x:tableColumn id="27" name="单位来源"/>
    <x:tableColumn id="28" name="元数据来源"/>
    <x:tableColumn id="29" name="新增清单编号"/>
    <x:tableColumn id="30" name="清单记录阅读深度"/>
    <x:tableColumn id="31" name="清单建议位置"/>
    <x:tableColumn id="32" name="分类依据"/>
    <x:tableColumn id="33" name="原工作对象分类"/>
    <x:tableColumn id="34" name="既有技术描述"/>
    <x:tableColumn id="35" name="原稿引用编号"/>
    <x:tableColumn id="36" name="收录来源"/>
    <x:tableColumn id="37" name="复核日期"/>
    <x:tableColumn id="38" name="核验备注"/>
    <x:tableColumn id="39" name="旧章节映射"/>
  </x:tableColumns>
  <x:tableStyleInfo name="TableStyleMedium2" showFirstColumn="0" showLastColumn="0" showRowStripes="1" showColumnStripes="0"/>
</x:table>
</file>

<file path=xl/tables/table2.xml><?xml version="1.0" encoding="utf-8"?>
<x:table xmlns:x="http://schemas.openxmlformats.org/spreadsheetml/2006/main" id="3" name="NonPaperResources" displayName="NonPaperResources" ref="A1:AM51" headerRowCount="1" totalsRowCount="0" totalsRowShown="0">
  <x:autoFilter ref="A1:AM51"/>
  <x:tableColumns count="39">
    <x:tableColumn id="1" name="ID"/>
    <x:tableColumn id="2" name="简称"/>
    <x:tableColumn id="3" name="论文名称"/>
    <x:tableColumn id="4" name="年份"/>
    <x:tableColumn id="5" name="单位"/>
    <x:tableColumn id="6" name="论文一级分类"/>
    <x:tableColumn id="7" name="论文二级分类"/>
    <x:tableColumn id="8" name="主归属章节"/>
    <x:tableColumn id="9" name="具体小节名称"/>
    <x:tableColumn id="10" name="细分研究类型"/>
    <x:tableColumn id="11" name="五项核心能力"/>
    <x:tableColumn id="12" name="其他关联章节"/>
    <x:tableColumn id="13" name="优化机制"/>
    <x:tableColumn id="14" name="条目类型"/>
    <x:tableColumn id="15" name="论文链接"/>
    <x:tableColumn id="16" name="核心贡献"/>
    <x:tableColumn id="17" name="对综述的用途"/>
    <x:tableColumn id="18" name="适用边界"/>
    <x:tableColumn id="19" name="清单建议阅读优先级"/>
    <x:tableColumn id="20" name="阅读状态"/>
    <x:tableColumn id="21" name="负责人"/>
    <x:tableColumn id="22" name="写作章节"/>
    <x:tableColumn id="23" name="写作备注"/>
    <x:tableColumn id="24" name="核验状态"/>
    <x:tableColumn id="25" name="代码链接"/>
    <x:tableColumn id="26" name="数据链接"/>
    <x:tableColumn id="27" name="单位来源"/>
    <x:tableColumn id="28" name="元数据来源"/>
    <x:tableColumn id="29" name="新增清单编号"/>
    <x:tableColumn id="30" name="清单记录阅读深度"/>
    <x:tableColumn id="31" name="清单建议位置"/>
    <x:tableColumn id="32" name="分类依据"/>
    <x:tableColumn id="33" name="原工作对象分类"/>
    <x:tableColumn id="34" name="既有技术描述"/>
    <x:tableColumn id="35" name="原稿引用编号"/>
    <x:tableColumn id="36" name="收录来源"/>
    <x:tableColumn id="37" name="复核日期"/>
    <x:tableColumn id="38" name="核验备注"/>
    <x:tableColumn id="39" name="旧章节映射"/>
  </x:tableColumns>
  <x:tableStyleInfo name="TableStyleMedium2" showFirstColumn="0" showLastColumn="0" showRowStripes="1" showColumnStripes="0"/>
</x:table>
</file>

<file path=xl/tables/table3.xml><?xml version="1.0" encoding="utf-8"?>
<x:table xmlns:x="http://schemas.openxmlformats.org/spreadsheetml/2006/main" id="1" name="ManuscriptSections" displayName="ManuscriptSections" ref="A5:G70" headerRowCount="1" totalsRowCount="0" totalsRowShown="0">
  <x:tableColumns count="7">
    <x:tableColumn id="1" name="章节代码"/>
    <x:tableColumn id="2" name="章编号"/>
    <x:tableColumn id="3" name="一级分类"/>
    <x:tableColumn id="4" name="节编号"/>
    <x:tableColumn id="5" name="二级分类"/>
    <x:tableColumn id="6" name="具体小节"/>
    <x:tableColumn id="7" name="范围"/>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5834a2cb328d461c" /></Relationships>
</file>

<file path=xl/worksheets/_rels/sheet3.xml.rels>&#65279;<?xml version="1.0" encoding="utf-8"?><Relationships xmlns="http://schemas.openxmlformats.org/package/2006/relationships"><Relationship Type="http://schemas.openxmlformats.org/officeDocument/2006/relationships/table" Target="/xl/tables/table2.xml" Id="R12b0f68aab3448bc" /></Relationships>
</file>

<file path=xl/worksheets/_rels/sheet4.xml.rels>&#65279;<?xml version="1.0" encoding="utf-8"?><Relationships xmlns="http://schemas.openxmlformats.org/package/2006/relationships"><Relationship Type="http://schemas.openxmlformats.org/officeDocument/2006/relationships/table" Target="/xl/tables/table3.xml" Id="R60960fc0a7ac4596" /></Relationships>
</file>

<file path=xl/worksheets/sheet1.xml><?xml version="1.0" encoding="utf-8"?>
<x:worksheet xmlns:x="http://schemas.openxmlformats.org/spreadsheetml/2006/main">
  <x:sheetViews>
    <x:sheetView showGridLines="0" workbookViewId="0"/>
  </x:sheetViews>
  <x:sheetFormatPr defaultRowHeight="15"/>
  <x:cols>
    <x:col min="1" max="1" width="25" hidden="0" customWidth="1"/>
    <x:col min="2" max="2" width="38" hidden="0" customWidth="1"/>
    <x:col min="3" max="3" width="24" hidden="0" customWidth="1"/>
    <x:col min="4" max="4" width="72" hidden="0" customWidth="1"/>
    <x:col min="5" max="5" width="23" hidden="0" customWidth="1"/>
    <x:col min="6" max="6" width="8" hidden="0" customWidth="1"/>
    <x:col min="7" max="7" width="14" hidden="0" customWidth="1"/>
    <x:col min="8" max="8" width="14" hidden="0" customWidth="1"/>
    <x:col min="9" max="9" width="14" hidden="0" customWidth="1"/>
  </x:cols>
  <x:sheetData>
    <x:row r="1">
      <x:c r="A1" s="2"/>
      <x:c r="B1" s="2"/>
      <x:c r="C1" s="2"/>
      <x:c r="D1" s="2"/>
      <x:c r="E1" s="2"/>
      <x:c r="F1" s="2"/>
      <x:c r="G1" s="2"/>
      <x:c r="H1" s="2"/>
      <x:c r="I1" s="2"/>
    </x:row>
    <x:row r="2" ht="30" customHeight="1">
      <x:c r="A2" s="3" t="str">
        <x:v>Working Agents 论文索引</x:v>
      </x:c>
      <x:c r="B2" s="2"/>
      <x:c r="C2" s="2"/>
      <x:c r="D2" s="2"/>
      <x:c r="E2" s="2"/>
      <x:c r="F2" s="2"/>
      <x:c r="G2" s="2"/>
      <x:c r="H2" s="2"/>
      <x:c r="I2" s="2"/>
    </x:row>
    <x:row r="3">
      <x:c r="A3" s="14" t="str">
        <x:v>截至 2026-10-16 / 分类 v0.2 / 按论文目录组织</x:v>
      </x:c>
      <x:c r="B3" s="2"/>
      <x:c r="C3" s="2"/>
      <x:c r="D3" s="2"/>
      <x:c r="E3" s="2"/>
      <x:c r="F3" s="2"/>
      <x:c r="G3" s="2"/>
      <x:c r="H3" s="2"/>
      <x:c r="I3" s="2"/>
    </x:row>
    <x:row r="4">
      <x:c r="A4" s="2"/>
      <x:c r="B4" s="2"/>
      <x:c r="C4" s="2"/>
      <x:c r="D4" s="2"/>
      <x:c r="E4" s="2"/>
      <x:c r="F4" s="2"/>
      <x:c r="G4" s="2"/>
      <x:c r="H4" s="2"/>
      <x:c r="I4" s="2"/>
    </x:row>
    <x:row r="5" ht="32" customHeight="1">
      <x:c r="A5" s="7" t="str">
        <x:v>学术条目（含背景）</x:v>
      </x:c>
      <x:c r="B5" s="7" t="str">
        <x:v>单位有来源</x:v>
      </x:c>
      <x:c r="C5" s="7" t="str">
        <x:v>单位待补充</x:v>
      </x:c>
      <x:c r="D5" s="7" t="str">
        <x:v>题名链接待确认</x:v>
      </x:c>
      <x:c r="E5" s="7" t="str">
        <x:v>非论文资源</x:v>
      </x:c>
      <x:c r="F5" s="2"/>
      <x:c r="G5" s="2"/>
      <x:c r="H5" s="2"/>
      <x:c r="I5" s="2"/>
    </x:row>
    <x:row r="6" ht="36" customHeight="1">
      <x:c r="A6" s="16" t="n">
        <x:f>COUNTA('Paper List'!$A$2:$A$2000)</x:f>
        <x:v>451</x:v>
      </x:c>
      <x:c r="B6" s="16" t="n">
        <x:f>COUNTIFS('Paper List'!$X$2:$X$2000,"verified")</x:f>
        <x:v>442</x:v>
      </x:c>
      <x:c r="C6" s="16" t="n">
        <x:f>COUNTIFS('Paper List'!$X$2:$X$2000,"metadata-only")</x:f>
        <x:v>9</x:v>
      </x:c>
      <x:c r="D6" s="16" t="n">
        <x:f>COUNTIFS('Paper List'!$X$2:$X$2000,"pending")</x:f>
        <x:v>0</x:v>
      </x:c>
      <x:c r="E6" s="16" t="n">
        <x:f>COUNTA('Resources'!$A$2:$A$200)</x:f>
        <x:v>50</x:v>
      </x:c>
      <x:c r="F6" s="2"/>
      <x:c r="G6" s="2"/>
      <x:c r="H6" s="2"/>
      <x:c r="I6" s="2"/>
    </x:row>
    <x:row r="7">
      <x:c r="A7" s="2"/>
      <x:c r="B7" s="2"/>
      <x:c r="C7" s="2"/>
      <x:c r="D7" s="2"/>
      <x:c r="E7" s="2"/>
      <x:c r="F7" s="2"/>
      <x:c r="G7" s="2"/>
      <x:c r="H7" s="2"/>
      <x:c r="I7" s="2"/>
    </x:row>
    <x:row r="8">
      <x:c r="A8" s="2"/>
      <x:c r="B8" s="2"/>
      <x:c r="C8" s="2"/>
      <x:c r="D8" s="2"/>
      <x:c r="E8" s="2"/>
      <x:c r="F8" s="2"/>
      <x:c r="G8" s="2"/>
      <x:c r="H8" s="2"/>
      <x:c r="I8" s="2"/>
    </x:row>
    <x:row r="9" ht="32" customHeight="1">
      <x:c r="A9" s="7" t="str">
        <x:v>论文主章</x:v>
      </x:c>
      <x:c r="B9" s="7" t="str">
        <x:v>一级分类</x:v>
      </x:c>
      <x:c r="C9" s="7" t="str">
        <x:v>主要归属论文数</x:v>
      </x:c>
      <x:c r="D9" s="7" t="str">
        <x:v>分类用途</x:v>
      </x:c>
      <x:c r="E9" s="2"/>
      <x:c r="F9" s="2"/>
      <x:c r="G9" s="2"/>
      <x:c r="H9" s="2"/>
      <x:c r="I9" s="2"/>
    </x:row>
    <x:row r="10" ht="44" customHeight="1">
      <x:c r="A10" s="8" t="str">
        <x:v>2</x:v>
      </x:c>
      <x:c r="B10" s="8" t="str">
        <x:v>基础：定义、工作条件与核心能力</x:v>
      </x:c>
      <x:c r="C10" s="8" t="n">
        <x:f>COUNTIFS('Paper List'!$F$2:$F$2000,B10)</x:f>
        <x:v>208</x:v>
      </x:c>
      <x:c r="D10" s="8" t="str">
        <x:v>按主要写作用途归入一次；其他用途见关联章节。</x:v>
      </x:c>
      <x:c r="E10" s="2"/>
      <x:c r="F10" s="2"/>
      <x:c r="G10" s="2"/>
      <x:c r="H10" s="2"/>
      <x:c r="I10" s="2"/>
    </x:row>
    <x:row r="11" ht="44" customHeight="1">
      <x:c r="A11" s="8" t="str">
        <x:v>3</x:v>
      </x:c>
      <x:c r="B11" s="8" t="str">
        <x:v>工作形态：代理承担什么工作</x:v>
      </x:c>
      <x:c r="C11" s="8" t="n">
        <x:f>COUNTIFS('Paper List'!$F$2:$F$2000,B11)</x:f>
        <x:v>15</x:v>
      </x:c>
      <x:c r="D11" s="8" t="str">
        <x:v>按主要写作用途归入一次；其他用途见关联章节。</x:v>
      </x:c>
      <x:c r="E11" s="2"/>
      <x:c r="F11" s="2"/>
      <x:c r="G11" s="2"/>
      <x:c r="H11" s="2"/>
      <x:c r="I11" s="2"/>
    </x:row>
    <x:row r="12" ht="44" customHeight="1">
      <x:c r="A12" s="8" t="str">
        <x:v>5</x:v>
      </x:c>
      <x:c r="B12" s="8" t="str">
        <x:v>优化：从工作经验到系统能力</x:v>
      </x:c>
      <x:c r="C12" s="8" t="n">
        <x:f>COUNTIFS('Paper List'!$F$2:$F$2000,B12)</x:f>
        <x:v>126</x:v>
      </x:c>
      <x:c r="D12" s="8" t="str">
        <x:v>按主要写作用途归入一次；其他用途见关联章节。</x:v>
      </x:c>
      <x:c r="E12" s="2"/>
      <x:c r="F12" s="2"/>
      <x:c r="G12" s="2"/>
      <x:c r="H12" s="2"/>
      <x:c r="I12" s="2"/>
    </x:row>
    <x:row r="13" ht="44" customHeight="1">
      <x:c r="A13" s="8" t="str">
        <x:v>6</x:v>
      </x:c>
      <x:c r="B13" s="8" t="str">
        <x:v>评估与资源：如何检验工作完成</x:v>
      </x:c>
      <x:c r="C13" s="8" t="n">
        <x:f>COUNTIFS('Paper List'!$F$2:$F$2000,B13)</x:f>
        <x:v>75</x:v>
      </x:c>
      <x:c r="D13" s="8" t="str">
        <x:v>按主要写作用途归入一次；其他用途见关联章节。</x:v>
      </x:c>
      <x:c r="E13" s="2"/>
      <x:c r="F13" s="2"/>
      <x:c r="G13" s="2"/>
      <x:c r="H13" s="2"/>
      <x:c r="I13" s="2"/>
    </x:row>
    <x:row r="14" ht="44" customHeight="1">
      <x:c r="A14" s="8" t="str">
        <x:v>7</x:v>
      </x:c>
      <x:c r="B14" s="8" t="str">
        <x:v>前沿：下一代 Working Agents</x:v>
      </x:c>
      <x:c r="C14" s="8" t="n">
        <x:f>COUNTIFS('Paper List'!$F$2:$F$2000,B14)</x:f>
        <x:v>27</x:v>
      </x:c>
      <x:c r="D14" s="8" t="str">
        <x:v>按主要写作用途归入一次；其他用途见关联章节。</x:v>
      </x:c>
      <x:c r="E14" s="2"/>
      <x:c r="F14" s="2"/>
      <x:c r="G14" s="2"/>
      <x:c r="H14" s="2"/>
      <x:c r="I14" s="2"/>
    </x:row>
    <x:row r="15">
      <x:c r="A15" s="2"/>
      <x:c r="B15" s="2"/>
      <x:c r="C15" s="2"/>
      <x:c r="D15" s="2"/>
      <x:c r="E15" s="2"/>
      <x:c r="F15" s="2"/>
      <x:c r="G15" s="2"/>
      <x:c r="H15" s="2"/>
      <x:c r="I15" s="2"/>
    </x:row>
    <x:row r="16">
      <x:c r="A16" s="2"/>
      <x:c r="B16" s="2"/>
      <x:c r="C16" s="2"/>
      <x:c r="D16" s="2"/>
      <x:c r="E16" s="2"/>
      <x:c r="F16" s="2"/>
      <x:c r="G16" s="2"/>
      <x:c r="H16" s="2"/>
      <x:c r="I16" s="2"/>
    </x:row>
    <x:row r="17" ht="32" customHeight="1">
      <x:c r="A17" s="7" t="str">
        <x:v>能力对应小节</x:v>
      </x:c>
      <x:c r="B17" s="7" t="str">
        <x:v>五项核心能力</x:v>
      </x:c>
      <x:c r="C17" s="7" t="str">
        <x:v>代表工作</x:v>
      </x:c>
      <x:c r="D17" s="2"/>
      <x:c r="E17" s="2"/>
      <x:c r="F17" s="2"/>
      <x:c r="G17" s="2"/>
      <x:c r="H17" s="2"/>
      <x:c r="I17" s="2"/>
    </x:row>
    <x:row r="18" ht="35" customHeight="1">
      <x:c r="A18" s="2" t="str">
        <x:v>2.3.1</x:v>
      </x:c>
      <x:c r="B18" s="2" t="str">
        <x:v>感知与理解</x:v>
      </x:c>
      <x:c r="C18" s="2" t="str">
        <x:v>OCB / Workspace-Bench</x:v>
      </x:c>
      <x:c r="D18" s="2"/>
      <x:c r="E18" s="2"/>
      <x:c r="F18" s="2"/>
      <x:c r="G18" s="2"/>
      <x:c r="H18" s="2"/>
      <x:c r="I18" s="2"/>
    </x:row>
    <x:row r="19" ht="35" customHeight="1">
      <x:c r="A19" s="2" t="str">
        <x:v>2.3.2</x:v>
      </x:c>
      <x:c r="B19" s="2" t="str">
        <x:v>推理与决策</x:v>
      </x:c>
      <x:c r="C19" s="2" t="str">
        <x:v>Finance Agent / LRB</x:v>
      </x:c>
      <x:c r="D19" s="2"/>
      <x:c r="E19" s="2"/>
      <x:c r="F19" s="2"/>
      <x:c r="G19" s="2"/>
      <x:c r="H19" s="2"/>
      <x:c r="I19" s="2"/>
    </x:row>
    <x:row r="20" ht="35" customHeight="1">
      <x:c r="A20" s="2" t="str">
        <x:v>2.3.3</x:v>
      </x:c>
      <x:c r="B20" s="2" t="str">
        <x:v>规划与协调</x:v>
      </x:c>
      <x:c r="C20" s="2" t="str">
        <x:v>WorkArena++ / LATS</x:v>
      </x:c>
      <x:c r="D20" s="2"/>
      <x:c r="E20" s="2"/>
      <x:c r="F20" s="2"/>
      <x:c r="G20" s="2"/>
      <x:c r="H20" s="2"/>
      <x:c r="I20" s="2"/>
    </x:row>
    <x:row r="21" ht="35" customHeight="1">
      <x:c r="A21" s="2" t="str">
        <x:v>2.3.4</x:v>
      </x:c>
      <x:c r="B21" s="2" t="str">
        <x:v>执行与状态管理</x:v>
      </x:c>
      <x:c r="C21" s="2" t="str">
        <x:v>LongDS / SyncMind</x:v>
      </x:c>
      <x:c r="D21" s="2"/>
      <x:c r="E21" s="2"/>
      <x:c r="F21" s="2"/>
      <x:c r="G21" s="2"/>
      <x:c r="H21" s="2"/>
      <x:c r="I21" s="2"/>
    </x:row>
    <x:row r="22" ht="35" customHeight="1">
      <x:c r="A22" s="2" t="str">
        <x:v>2.3.5</x:v>
      </x:c>
      <x:c r="B22" s="2" t="str">
        <x:v>验证、恢复与重新规划</x:v>
      </x:c>
      <x:c r="C22" s="2" t="str">
        <x:v>AgentDebug / CRITIC</x:v>
      </x:c>
      <x:c r="D22" s="2"/>
      <x:c r="E22" s="2"/>
      <x:c r="F22" s="2"/>
      <x:c r="G22" s="2"/>
      <x:c r="H22" s="2"/>
      <x:c r="I22" s="2"/>
    </x:row>
    <x:row r="23">
      <x:c r="A23" s="2"/>
      <x:c r="B23" s="2"/>
      <x:c r="C23" s="2"/>
      <x:c r="D23" s="2"/>
      <x:c r="E23" s="2"/>
      <x:c r="F23" s="2"/>
      <x:c r="G23" s="2"/>
      <x:c r="H23" s="2"/>
      <x:c r="I23" s="2"/>
    </x:row>
    <x:row r="24">
      <x:c r="A24" s="2"/>
      <x:c r="B24" s="2"/>
      <x:c r="C24" s="2"/>
      <x:c r="D24" s="2"/>
      <x:c r="E24" s="2"/>
      <x:c r="F24" s="2"/>
      <x:c r="G24" s="2"/>
      <x:c r="H24" s="2"/>
      <x:c r="I24" s="2"/>
    </x:row>
    <x:row r="25" ht="32" customHeight="1">
      <x:c r="A25" s="7" t="str">
        <x:v>内部维护</x:v>
      </x:c>
      <x:c r="B25" s="7" t="str">
        <x:v>操作</x:v>
      </x:c>
      <x:c r="C25" s="2"/>
      <x:c r="D25" s="2"/>
      <x:c r="E25" s="2"/>
      <x:c r="F25" s="2"/>
      <x:c r="G25" s="2"/>
      <x:c r="H25" s="2"/>
      <x:c r="I25" s="2"/>
    </x:row>
    <x:row r="26" ht="31" customHeight="1">
      <x:c r="A26" s="2" t="str">
        <x:v>按论文分类</x:v>
      </x:c>
      <x:c r="B26" s="18" t="str">
        <x:v>F/G/I 为自动标签；在 H 主归属章节选择代码，J 细分类、K 五能力及 L 关联章节允许多值。</x:v>
      </x:c>
      <x:c r="C26" s="19"/>
      <x:c r="D26" s="19"/>
      <x:c r="E26" s="19"/>
      <x:c r="F26" s="19"/>
      <x:c r="G26" s="19"/>
      <x:c r="H26" s="19"/>
      <x:c r="I26" s="19"/>
    </x:row>
    <x:row r="27" ht="31" customHeight="1">
      <x:c r="A27" s="2" t="str">
        <x:v>章节迁移</x:v>
      </x:c>
      <x:c r="B27" s="18" t="str">
        <x:v>原4.1–4.5迁至2.3.1–2.3.5；原始编号保留在旧章节映射列，不当当前目录使用。</x:v>
      </x:c>
      <x:c r="C27" s="19"/>
      <x:c r="D27" s="19"/>
      <x:c r="E27" s="19"/>
      <x:c r="F27" s="19"/>
      <x:c r="G27" s="19"/>
      <x:c r="H27" s="19"/>
      <x:c r="I27" s="19"/>
    </x:row>
    <x:row r="28" ht="31" customHeight="1">
      <x:c r="A28" s="2" t="str">
        <x:v>团队输入</x:v>
      </x:c>
      <x:c r="B28" s="18" t="str">
        <x:v>黄色列保留阅读状态、负责人、写作章节和写作备注；元数据核验不等于已读。</x:v>
      </x:c>
      <x:c r="C28" s="19"/>
      <x:c r="D28" s="19"/>
      <x:c r="E28" s="19"/>
      <x:c r="F28" s="19"/>
      <x:c r="G28" s="19"/>
      <x:c r="H28" s="19"/>
      <x:c r="I28" s="19"/>
    </x:row>
    <x:row r="29" ht="31" customHeight="1">
      <x:c r="A29" s="2" t="str">
        <x:v>阅读深度口径</x:v>
      </x:c>
      <x:c r="B29" s="18" t="str">
        <x:v>清单记录阅读深度逐字保留材料自述，与本表团队阅读状态分别维护。</x:v>
      </x:c>
      <x:c r="C29" s="19"/>
      <x:c r="D29" s="19"/>
      <x:c r="E29" s="19"/>
      <x:c r="F29" s="19"/>
      <x:c r="G29" s="19"/>
      <x:c r="H29" s="19"/>
      <x:c r="I29" s="19"/>
    </x:row>
    <x:row r="30" ht="31" customHeight="1">
      <x:c r="A30" s="2" t="str">
        <x:v>术语使用</x:v>
      </x:c>
      <x:c r="B30" s="18" t="str">
        <x:v>细分研究类型、五项核心能力、优化机制可填代码或词表中文；多值用英文分号。</x:v>
      </x:c>
      <x:c r="C30" s="19"/>
      <x:c r="D30" s="19"/>
      <x:c r="E30" s="19"/>
      <x:c r="F30" s="19"/>
      <x:c r="G30" s="19"/>
      <x:c r="H30" s="19"/>
      <x:c r="I30" s="19"/>
    </x:row>
    <x:row r="31" ht="31" customHeight="1">
      <x:c r="A31" s="2" t="str">
        <x:v>写作证据</x:v>
      </x:c>
      <x:c r="B31" s="18" t="str">
        <x:v>对综述的用途、适用边界、清单建议位置分别记录论证作用与可支持的范围。</x:v>
      </x:c>
      <x:c r="C31" s="19"/>
      <x:c r="D31" s="19"/>
      <x:c r="E31" s="19"/>
      <x:c r="F31" s="19"/>
      <x:c r="G31" s="19"/>
      <x:c r="H31" s="19"/>
      <x:c r="I31" s="19"/>
    </x:row>
    <x:row r="32" ht="31" customHeight="1">
      <x:c r="A32" s="2" t="str">
        <x:v>同步 README</x:v>
      </x:c>
      <x:c r="B32" s="18" t="str">
        <x:v>保存后运行 python3 scripts/catalog.py --import-xlsx paper_list.xlsx；Excel 空白表示清除字段。</x:v>
      </x:c>
      <x:c r="C32" s="19"/>
      <x:c r="D32" s="19"/>
      <x:c r="E32" s="19"/>
      <x:c r="F32" s="19"/>
      <x:c r="G32" s="19"/>
      <x:c r="H32" s="19"/>
      <x:c r="I32" s="19"/>
    </x:row>
    <x:row r="33" ht="31" customHeight="1">
      <x:c r="A33" s="2" t="str">
        <x:v>新增论文</x:v>
      </x:c>
      <x:c r="B33" s="18" t="str">
        <x:v>新增唯一 WA-xxxx ID；在 H 选择小节代码，并向下复制 F/G/I 公式。不要更改已有 ID。</x:v>
      </x:c>
      <x:c r="C33" s="19"/>
      <x:c r="D33" s="19"/>
      <x:c r="E33" s="19"/>
      <x:c r="F33" s="19"/>
      <x:c r="G33" s="19"/>
      <x:c r="H33" s="19"/>
      <x:c r="I33" s="19"/>
    </x:row>
    <x:row r="34" ht="31" customHeight="1">
      <x:c r="A34" s="2" t="str">
        <x:v>核验状态</x:v>
      </x:c>
      <x:c r="B34" s="18" t="str">
        <x:v>verified=题名链接与单位有依据；metadata-only=单位不完整；pending=身份待核。</x:v>
      </x:c>
      <x:c r="C34" s="19"/>
      <x:c r="D34" s="19"/>
      <x:c r="E34" s="19"/>
      <x:c r="F34" s="19"/>
      <x:c r="G34" s="19"/>
      <x:c r="H34" s="19"/>
      <x:c r="I34" s="19"/>
    </x:row>
    <x:row r="35" ht="31" customHeight="1">
      <x:c r="A35" s="2" t="str">
        <x:v>数量口径</x:v>
      </x:c>
      <x:c r="B35" s="18" t="str">
        <x:v>论文页包含综述和背景研究；非论文产品、项目与官方文章在 Resources 单列，不凑论文数。</x:v>
      </x:c>
      <x:c r="C35" s="19"/>
      <x:c r="D35" s="19"/>
      <x:c r="E35" s="19"/>
      <x:c r="F35" s="19"/>
      <x:c r="G35" s="19"/>
      <x:c r="H35" s="19"/>
      <x:c r="I35" s="19"/>
    </x:row>
    <x:row r="36" ht="31" customHeight="1">
      <x:c r="A36" s="2" t="str">
        <x:v>分类解释</x:v>
      </x:c>
      <x:c r="B36" s="18" t="str">
        <x:v>主归属表示写作用途；Benchmark 的能力标签是任务需求，不是能力测量或模型得分。</x:v>
      </x:c>
      <x:c r="C36" s="19"/>
      <x:c r="D36" s="19"/>
      <x:c r="E36" s="19"/>
      <x:c r="F36" s="19"/>
      <x:c r="G36" s="19"/>
      <x:c r="H36" s="19"/>
      <x:c r="I36" s="19"/>
    </x:row>
    <x:row r="37">
      <x:c r="A37" s="2"/>
      <x:c r="B37" s="2"/>
      <x:c r="C37" s="2"/>
      <x:c r="D37" s="2"/>
      <x:c r="E37" s="2"/>
      <x:c r="F37" s="2"/>
      <x:c r="G37" s="2"/>
      <x:c r="H37" s="2"/>
      <x:c r="I37" s="2"/>
    </x:row>
    <x:row r="38">
      <x:c r="A38" s="2"/>
      <x:c r="B38" s="2"/>
      <x:c r="C38" s="2"/>
      <x:c r="D38" s="2"/>
      <x:c r="E38" s="2"/>
      <x:c r="F38" s="2"/>
      <x:c r="G38" s="2"/>
      <x:c r="H38" s="2"/>
      <x:c r="I38" s="2"/>
    </x:row>
    <x:row r="39">
      <x:c r="A39" s="2"/>
      <x:c r="B39" s="2"/>
      <x:c r="C39" s="2"/>
      <x:c r="D39" s="2"/>
      <x:c r="E39" s="2"/>
      <x:c r="F39" s="2"/>
      <x:c r="G39" s="2"/>
      <x:c r="H39" s="2"/>
      <x:c r="I39" s="2"/>
    </x:row>
    <x:row r="40">
      <x:c r="A40" s="2"/>
      <x:c r="B40" s="2"/>
      <x:c r="C40" s="2"/>
      <x:c r="D40" s="2"/>
      <x:c r="E40" s="2"/>
      <x:c r="F40" s="2"/>
      <x:c r="G40" s="2"/>
      <x:c r="H40" s="2"/>
      <x:c r="I40" s="2"/>
    </x:row>
    <x:row r="41">
      <x:c r="A41" s="2"/>
      <x:c r="B41" s="2"/>
      <x:c r="C41" s="2"/>
      <x:c r="D41" s="2"/>
      <x:c r="E41" s="2"/>
      <x:c r="F41" s="2"/>
      <x:c r="G41" s="2"/>
      <x:c r="H41" s="2"/>
      <x:c r="I41" s="2"/>
    </x:row>
    <x:row r="42">
      <x:c r="A42" s="2"/>
      <x:c r="B42" s="2"/>
      <x:c r="C42" s="2"/>
      <x:c r="D42" s="2"/>
      <x:c r="E42" s="2"/>
      <x:c r="F42" s="2"/>
      <x:c r="G42" s="2"/>
      <x:c r="H42" s="2"/>
      <x:c r="I42" s="2"/>
    </x:row>
  </x:sheetData>
  <x:pageMargins left="0.7" right="0.7" top="0.75" bottom="0.75" header="0.3" footer="0.3"/>
</x:worksheet>
</file>

<file path=xl/worksheets/sheet2.xml><?xml version="1.0" encoding="utf-8"?>
<x:worksheet xmlns:x="http://schemas.openxmlformats.org/spreadsheetml/2006/main">
  <x:sheetPr>
    <x:tabColor rgb="FF244563"/>
  </x:sheetPr>
  <x:sheetViews>
    <x:sheetView showGridLines="0" workbookViewId="0">
      <x:pane xSplit="2" ySplit="1" topLeftCell="C2" activePane="bottomRight" state="frozen"/>
    </x:sheetView>
  </x:sheetViews>
  <x:sheetFormatPr defaultRowHeight="15"/>
  <x:cols>
    <x:col min="1" max="1" width="14" hidden="0" customWidth="1"/>
    <x:col min="2" max="2" width="25" hidden="0" customWidth="1"/>
    <x:col min="3" max="3" width="64" hidden="0" customWidth="1"/>
    <x:col min="4" max="4" width="8" hidden="0" customWidth="1"/>
    <x:col min="5" max="5" width="48" hidden="0" customWidth="1"/>
    <x:col min="6" max="6" width="32" hidden="0" customWidth="1"/>
    <x:col min="7" max="7" width="34" hidden="0" customWidth="1"/>
    <x:col min="8" max="8" width="16" hidden="0" customWidth="1"/>
    <x:col min="9" max="9" width="38" hidden="0" customWidth="1"/>
    <x:col min="10" max="10" width="44" hidden="0" customWidth="1"/>
    <x:col min="11" max="11" width="42" hidden="0" customWidth="1"/>
    <x:col min="12" max="12" width="48" hidden="0" customWidth="1"/>
    <x:col min="13" max="13" width="38" hidden="0" customWidth="1"/>
    <x:col min="14" max="14" width="24" hidden="0" customWidth="1"/>
    <x:col min="15" max="15" width="48" hidden="0" customWidth="1"/>
    <x:col min="16" max="16" width="64" hidden="0" customWidth="1"/>
    <x:col min="17" max="17" width="68" hidden="0" customWidth="1"/>
    <x:col min="18" max="18" width="75" hidden="0" customWidth="1"/>
    <x:col min="19" max="19" width="20" hidden="0" customWidth="1"/>
    <x:col min="20" max="20" width="16" hidden="0" customWidth="1"/>
    <x:col min="21" max="21" width="18" hidden="0" customWidth="1"/>
    <x:col min="22" max="22" width="22" hidden="0" customWidth="1"/>
    <x:col min="23" max="23" width="62" hidden="0" customWidth="1"/>
    <x:col min="24" max="24" width="20" hidden="0" customWidth="1"/>
    <x:col min="25" max="25" width="48" hidden="0" customWidth="1"/>
    <x:col min="26" max="26" width="48" hidden="0" customWidth="1"/>
    <x:col min="27" max="27" width="55" hidden="0" customWidth="1"/>
    <x:col min="28" max="28" width="55" hidden="0" customWidth="1"/>
    <x:col min="29" max="29" width="20" hidden="0" customWidth="1"/>
    <x:col min="30" max="30" width="46" hidden="0" customWidth="1"/>
    <x:col min="31" max="31" width="62" hidden="0" customWidth="1"/>
    <x:col min="32" max="32" width="68" hidden="0" customWidth="1"/>
    <x:col min="33" max="33" width="24" hidden="0" customWidth="1"/>
    <x:col min="34" max="34" width="38" hidden="0" customWidth="1"/>
    <x:col min="35" max="35" width="18" hidden="0" customWidth="1"/>
    <x:col min="36" max="36" width="38" hidden="0" customWidth="1"/>
    <x:col min="37" max="37" width="16" hidden="0" customWidth="1"/>
    <x:col min="38" max="38" width="78" hidden="0" customWidth="1"/>
    <x:col min="39" max="39" width="30" hidden="0" customWidth="1"/>
  </x:cols>
  <x:sheetData>
    <x:row r="1" ht="32" customHeight="1">
      <x:c r="A1" s="7" t="str">
        <x:v>ID</x:v>
      </x:c>
      <x:c r="B1" s="7" t="str">
        <x:v>简称</x:v>
      </x:c>
      <x:c r="C1" s="7" t="str">
        <x:v>论文名称</x:v>
      </x:c>
      <x:c r="D1" s="7" t="str">
        <x:v>年份</x:v>
      </x:c>
      <x:c r="E1" s="7" t="str">
        <x:v>单位</x:v>
      </x:c>
      <x:c r="F1" s="7" t="str">
        <x:v>论文一级分类</x:v>
      </x:c>
      <x:c r="G1" s="7" t="str">
        <x:v>论文二级分类</x:v>
      </x:c>
      <x:c r="H1" s="7" t="str">
        <x:v>主归属章节</x:v>
      </x:c>
      <x:c r="I1" s="7" t="str">
        <x:v>具体小节名称</x:v>
      </x:c>
      <x:c r="J1" s="7" t="str">
        <x:v>细分研究类型</x:v>
      </x:c>
      <x:c r="K1" s="7" t="str">
        <x:v>五项核心能力</x:v>
      </x:c>
      <x:c r="L1" s="7" t="str">
        <x:v>其他关联章节</x:v>
      </x:c>
      <x:c r="M1" s="7" t="str">
        <x:v>优化机制</x:v>
      </x:c>
      <x:c r="N1" s="7" t="str">
        <x:v>条目类型</x:v>
      </x:c>
      <x:c r="O1" s="7" t="str">
        <x:v>论文链接</x:v>
      </x:c>
      <x:c r="P1" s="7" t="str">
        <x:v>核心贡献</x:v>
      </x:c>
      <x:c r="Q1" s="7" t="str">
        <x:v>对综述的用途</x:v>
      </x:c>
      <x:c r="R1" s="7" t="str">
        <x:v>适用边界</x:v>
      </x:c>
      <x:c r="S1" s="7" t="str">
        <x:v>清单建议阅读优先级</x:v>
      </x:c>
      <x:c r="T1" s="7" t="str">
        <x:v>阅读状态</x:v>
      </x:c>
      <x:c r="U1" s="7" t="str">
        <x:v>负责人</x:v>
      </x:c>
      <x:c r="V1" s="7" t="str">
        <x:v>写作章节</x:v>
      </x:c>
      <x:c r="W1" s="7" t="str">
        <x:v>写作备注</x:v>
      </x:c>
      <x:c r="X1" s="7" t="str">
        <x:v>核验状态</x:v>
      </x:c>
      <x:c r="Y1" s="7" t="str">
        <x:v>代码链接</x:v>
      </x:c>
      <x:c r="Z1" s="7" t="str">
        <x:v>数据链接</x:v>
      </x:c>
      <x:c r="AA1" s="7" t="str">
        <x:v>单位来源</x:v>
      </x:c>
      <x:c r="AB1" s="7" t="str">
        <x:v>元数据来源</x:v>
      </x:c>
      <x:c r="AC1" s="7" t="str">
        <x:v>新增清单编号</x:v>
      </x:c>
      <x:c r="AD1" s="7" t="str">
        <x:v>清单记录阅读深度</x:v>
      </x:c>
      <x:c r="AE1" s="7" t="str">
        <x:v>清单建议位置</x:v>
      </x:c>
      <x:c r="AF1" s="7" t="str">
        <x:v>分类依据</x:v>
      </x:c>
      <x:c r="AG1" s="7" t="str">
        <x:v>原工作对象分类</x:v>
      </x:c>
      <x:c r="AH1" s="7" t="str">
        <x:v>既有技术描述</x:v>
      </x:c>
      <x:c r="AI1" s="7" t="str">
        <x:v>原稿引用编号</x:v>
      </x:c>
      <x:c r="AJ1" s="7" t="str">
        <x:v>收录来源</x:v>
      </x:c>
      <x:c r="AK1" s="7" t="str">
        <x:v>复核日期</x:v>
      </x:c>
      <x:c r="AL1" s="7" t="str">
        <x:v>核验备注</x:v>
      </x:c>
      <x:c r="AM1" s="7" t="str">
        <x:v>旧章节映射</x:v>
      </x:c>
    </x:row>
    <x:row r="2" ht="68" customHeight="1">
      <x:c r="A2" s="8" t="str">
        <x:v>WA-0001</x:v>
      </x:c>
      <x:c r="B2" s="8" t="str">
        <x:v>Toolformer</x:v>
      </x:c>
      <x:c r="C2" s="8" t="str">
        <x:v>Toolformer: Language Models Can Teach Themselves to Use Tools</x:v>
      </x:c>
      <x:c r="D2" s="9" t="n">
        <x:v>2023</x:v>
      </x:c>
      <x:c r="E2" s="8" t="str">
        <x:v>Meta AI Research; Universitat Pompeu Fabra</x:v>
      </x:c>
      <x:c r="F2" s="10" t="str">
        <x:f>VLOOKUP(H2,'Taxonomy'!$A$6:$G$70,3,FALSE)</x:f>
        <x:v>优化：从工作经验到系统能力</x:v>
      </x:c>
      <x:c r="G2" s="10" t="str">
        <x:f>VLOOKUP(H2,'Taxonomy'!$A$6:$G$70,5,FALSE)</x:f>
        <x:v>模型优化</x:v>
      </x:c>
      <x:c r="H2" s="8" t="str">
        <x:v>5.2.1</x:v>
      </x:c>
      <x:c r="I2" s="10" t="str">
        <x:f>VLOOKUP(H2,'Taxonomy'!$A$6:$G$70,6,FALSE)</x:f>
        <x:v>中期训练与监督微调</x:v>
      </x:c>
      <x:c r="J2" s="8" t="str">
        <x:v>模型参数学习;工具、界面与应用执行;证据与规则约束下的决策</x:v>
      </x:c>
      <x:c r="K2" s="8" t="str">
        <x:v>推理与决策;执行与状态管理</x:v>
      </x:c>
      <x:c r="L2" s="8" t="str">
        <x:v>2.3.4 执行与状态管理</x:v>
      </x:c>
      <x:c r="M2" s="8" t="str">
        <x:v>中期训练与监督微调</x:v>
      </x:c>
      <x:c r="N2" s="8" t="str">
        <x:v>Method</x:v>
      </x:c>
      <x:c r="O2" s="11" t="str">
        <x:v>https://arxiv.org/abs/2302.04761</x:v>
      </x:c>
      <x:c r="P2" s="8" t="str">
        <x:v>通过自监督筛选 API 调用样本，让语言模型学习何时调用工具并使用返回结果。</x:v>
      </x:c>
      <x:c r="Q2" s="8" t="str">
        <x:v>为模型学习何时及如何调用工具提供经典方法。</x:v>
      </x:c>
      <x:c r="R2" s="8" t="str">
        <x:v>训练时API调用选择不等同于长程业务工作流可靠性。</x:v>
      </x:c>
      <x:c r="S2" s="8" t="str">
        <x:v>补充</x:v>
      </x:c>
      <x:c r="T2" s="12" t="str">
        <x:v>未分配</x:v>
      </x:c>
      <x:c r="U2" s="12" t="str"/>
      <x:c r="V2" s="12" t="str"/>
      <x:c r="W2" s="12" t="str"/>
      <x:c r="X2" s="8" t="str">
        <x:v>verified</x:v>
      </x:c>
      <x:c r="Y2" s="11" t="str"/>
      <x:c r="Z2" s="11" t="str"/>
      <x:c r="AA2" s="11" t="str">
        <x:v>https://arxiv.org/pdf/2302.04761</x:v>
      </x:c>
      <x:c r="AB2" s="11" t="str">
        <x:v>https://arxiv.org/abs/2302.04761</x:v>
      </x:c>
      <x:c r="AC2" s="8" t="str">
        <x:v>L145;AIO-214</x:v>
      </x:c>
      <x:c r="AD2" s="8" t="str">
        <x:v>这些条目已出现在第二章或原第四章，但本轮没有重新核查原文。题名、年份与链接沿用现有文献库；不能把它们计作本轮新核实的证据。</x:v>
      </x:c>
      <x:c r="AE2" s="8" t="str">
        <x:v>第二章</x:v>
      </x:c>
      <x:c r="AF2" s="8" t="str">
        <x:v>用于“中期训练与监督微调”：通过自监督筛选 API 调用样本，让语言模型学习何时调用工具并使用返回结果。</x:v>
      </x:c>
      <x:c r="AG2" s="8" t="str">
        <x:v>tool-enterprise</x:v>
      </x:c>
      <x:c r="AH2" s="8" t="str">
        <x:v>self-supervised tool use</x:v>
      </x:c>
      <x:c r="AI2" s="8" t="str">
        <x:v>1</x:v>
      </x:c>
      <x:c r="AJ2" s="8" t="str">
        <x:v>survey bibliography;2026-10-16 chapter 2 / former chapter 4 supplement;2026-10-16 AI Office survey bibliography</x:v>
      </x:c>
      <x:c r="AK2" s="13" t="d">
        <x:v>2026-10-16T00:00:00.000Z</x:v>
      </x:c>
      <x:c r="AL2" s="8" t="str">
        <x:v>来源为附件附录A既有引用索引；未把附件的未复核条目升级为本轮已读证据。原稿位置：第二章；引用键：toolformer。</x:v>
      </x:c>
      <x:c r="AM2" s="8" t="str">
        <x:v>4.4;5.2</x:v>
      </x:c>
    </x:row>
    <x:row r="3" ht="68" customHeight="1">
      <x:c r="A3" s="8" t="str">
        <x:v>WA-0002</x:v>
      </x:c>
      <x:c r="B3" s="8" t="str">
        <x:v>API-Bank</x:v>
      </x:c>
      <x:c r="C3" s="8" t="str">
        <x:v>API-Bank: A Comprehensive Benchmark for Tool-Augmented LLMs</x:v>
      </x:c>
      <x:c r="D3" s="9" t="n">
        <x:v>2023</x:v>
      </x:c>
      <x:c r="E3" s="8" t="str">
        <x:v>Alibaba Group; Hong Kong University of Science and Technology; Peking University; Shenzhen Intelligent Strong Technology</x:v>
      </x:c>
      <x:c r="F3" s="10" t="str">
        <x:f>VLOOKUP(H3,'Taxonomy'!$A$6:$G$70,3,FALSE)</x:f>
        <x:v>评估与资源：如何检验工作完成</x:v>
      </x:c>
      <x:c r="G3" s="10" t="str">
        <x:f>VLOOKUP(H3,'Taxonomy'!$A$6:$G$70,5,FALSE)</x:f>
        <x:v>基准与任务构造</x:v>
      </x:c>
      <x:c r="H3" s="8" t="str">
        <x:v>6.1.2</x:v>
      </x:c>
      <x:c r="I3" s="10" t="str">
        <x:f>VLOOKUP(H3,'Taxonomy'!$A$6:$G$70,6,FALSE)</x:f>
        <x:v>领域覆盖与工作要求</x:v>
      </x:c>
      <x:c r="J3" s="8" t="str">
        <x:v>工具、界面与应用执行;任务分解与行动依赖;答案、产物、状态与过程证据</x:v>
      </x:c>
      <x:c r="K3" s="8" t="str">
        <x:v>规划与协调;执行与状态管理</x:v>
      </x:c>
      <x:c r="L3" s="8" t="str">
        <x:v>3.2 原子动作级工作;2.3.4 执行与状态管理</x:v>
      </x:c>
      <x:c r="M3" s="8" t="str"/>
      <x:c r="N3" s="8" t="str">
        <x:v>Benchmark</x:v>
      </x:c>
      <x:c r="O3" s="11" t="str">
        <x:v>https://arxiv.org/abs/2304.08244</x:v>
      </x:c>
      <x:c r="P3" s="8" t="str">
        <x:v>提供可运行 API、工具对话及分级任务，区分工具调用、检索与规划能力。</x:v>
      </x:c>
      <x:c r="Q3" s="8" t="str">
        <x:v>提供API选择、参数构造与返回信息处理的经典评测。</x:v>
      </x:c>
      <x:c r="R3" s="8" t="str">
        <x:v>API调用或答案正确不自动意味着完整现实业务流程可靠。</x:v>
      </x:c>
      <x:c r="S3" s="8" t="str">
        <x:v>补充</x:v>
      </x:c>
      <x:c r="T3" s="12" t="str">
        <x:v>未分配</x:v>
      </x:c>
      <x:c r="U3" s="12" t="str"/>
      <x:c r="V3" s="12" t="str"/>
      <x:c r="W3" s="12" t="str"/>
      <x:c r="X3" s="8" t="str">
        <x:v>verified</x:v>
      </x:c>
      <x:c r="Y3" s="11" t="str">
        <x:v>https://github.com/AlibabaResearch/DAMO-ConvAI/tree/main/api-bank</x:v>
      </x:c>
      <x:c r="Z3" s="11" t="str"/>
      <x:c r="AA3" s="11" t="str">
        <x:v>https://arxiv.org/pdf/2304.08244</x:v>
      </x:c>
      <x:c r="AB3" s="11" t="str">
        <x:v>https://arxiv.org/abs/2304.08244</x:v>
      </x:c>
      <x:c r="AC3" s="8" t="str">
        <x:v>L136</x:v>
      </x:c>
      <x:c r="AD3" s="8" t="str">
        <x:v>这些条目已出现在第二章或原第四章，但本轮没有重新核查原文。题名、年份与链接沿用现有文献库；不能把它们计作本轮新核实的证据。</x:v>
      </x:c>
      <x:c r="AE3" s="8" t="str">
        <x:v>第二章</x:v>
      </x:c>
      <x:c r="AF3" s="8" t="str">
        <x:v>用于“领域覆盖与工作要求”：提供可运行 API、工具对话及分级任务，区分工具调用、检索与规划能力。</x:v>
      </x:c>
      <x:c r="AG3" s="8" t="str">
        <x:v>tool-enterprise</x:v>
      </x:c>
      <x:c r="AH3" s="8" t="str">
        <x:v>API calling and dialogue</x:v>
      </x:c>
      <x:c r="AI3" s="8" t="str">
        <x:v>2</x:v>
      </x:c>
      <x:c r="AJ3" s="8" t="str">
        <x:v>survey bibliography;2026-10-16 chapter 2 / former chapter 4 supplement</x:v>
      </x:c>
      <x:c r="AK3" s="13" t="d">
        <x:v>2026-10-16T00:00:00.000Z</x:v>
      </x:c>
      <x:c r="AL3" s="8" t="str">
        <x:v>来源为附件附录A既有引用索引；未把附件的未复核条目升级为本轮已读证据。原稿位置：第二章；引用键：apibank。</x:v>
      </x:c>
      <x:c r="AM3" s="8" t="str">
        <x:v>3.2;4.4;6.1</x:v>
      </x:c>
    </x:row>
    <x:row r="4" ht="68" customHeight="1">
      <x:c r="A4" s="8" t="str">
        <x:v>WA-0003</x:v>
      </x:c>
      <x:c r="B4" s="8" t="str">
        <x:v>WebArena</x:v>
      </x:c>
      <x:c r="C4" s="8" t="str">
        <x:v>WebArena: A Realistic Web Environment for Building Autonomous Agents</x:v>
      </x:c>
      <x:c r="D4" s="9" t="n">
        <x:v>2023</x:v>
      </x:c>
      <x:c r="E4" s="8" t="str">
        <x:v>Carnegie Mellon University</x:v>
      </x:c>
      <x:c r="F4" s="10" t="str">
        <x:f>VLOOKUP(H4,'Taxonomy'!$A$6:$G$70,3,FALSE)</x:f>
        <x:v>基础：定义、工作条件与核心能力</x:v>
      </x:c>
      <x:c r="G4" s="10" t="str">
        <x:f>VLOOKUP(H4,'Taxonomy'!$A$6:$G$70,5,FALSE)</x:f>
        <x:v>五项核心能力</x:v>
      </x:c>
      <x:c r="H4" s="8" t="str">
        <x:v>2.3.4</x:v>
      </x:c>
      <x:c r="I4" s="10" t="str">
        <x:f>VLOOKUP(H4,'Taxonomy'!$A$6:$G$70,6,FALSE)</x:f>
        <x:v>执行与状态管理</x:v>
      </x:c>
      <x:c r="J4" s="8" t="str">
        <x:v>工具、界面与应用执行;成果与实际状态核验;工作形态与验收组织</x:v>
      </x:c>
      <x:c r="K4" s="8" t="str">
        <x:v>感知与理解;规划与协调;执行与状态管理</x:v>
      </x:c>
      <x:c r="L4" s="8" t="str">
        <x:v>2.4 相关智能体范式;6.1 基准与任务构造;2.1.2 工作过程六要素;6.2.1 评估目标与可观察证据</x:v>
      </x:c>
      <x:c r="M4" s="8" t="str"/>
      <x:c r="N4" s="8" t="str">
        <x:v>Benchmark</x:v>
      </x:c>
      <x:c r="O4" s="11" t="str">
        <x:v>https://arxiv.org/abs/2307.13854</x:v>
      </x:c>
      <x:c r="P4" s="8" t="str">
        <x:v>在可复现的真实网站环境中，以功能结果检验多步网页任务是否完成。</x:v>
      </x:c>
      <x:c r="Q4" s="8" t="str">
        <x:v>说明工作空间包含可改变的应用状态，工作结果需要由环境中的效果来核验。</x:v>
      </x:c>
      <x:c r="R4" s="8" t="str">
        <x:v>网页任务设置不能自动代表长期职责；页面操作轮数不等于用户对话轮数。</x:v>
      </x:c>
      <x:c r="S4" s="8" t="str">
        <x:v>核心</x:v>
      </x:c>
      <x:c r="T4" s="12" t="str">
        <x:v>未分配</x:v>
      </x:c>
      <x:c r="U4" s="12" t="str"/>
      <x:c r="V4" s="12" t="str"/>
      <x:c r="W4" s="12" t="str"/>
      <x:c r="X4" s="8" t="str">
        <x:v>verified</x:v>
      </x:c>
      <x:c r="Y4" s="11" t="str"/>
      <x:c r="Z4" s="11" t="str"/>
      <x:c r="AA4" s="11" t="str">
        <x:v>https://arxiv.org/pdf/2307.13854</x:v>
      </x:c>
      <x:c r="AB4" s="11" t="str">
        <x:v>https://arxiv.org/abs/2307.13854</x:v>
      </x:c>
      <x:c r="AC4" s="8" t="str">
        <x:v>L065;AIO-289</x:v>
      </x:c>
      <x:c r="AD4" s="8" t="str">
        <x:v>第2／原第4章已引；官方摘要。</x:v>
      </x:c>
      <x:c r="AE4" s="8" t="str">
        <x:v>2.1工作空间；2.3执行；6环境与评测协议。</x:v>
      </x:c>
      <x:c r="AF4" s="8" t="str">
        <x:v>按补充清单 L065 的论证用途归入“执行与状态管理”：说明工作空间包含可改变的应用状态，工作结果需要由环境中的效果来核验。</x:v>
      </x:c>
      <x:c r="AG4" s="8" t="str">
        <x:v>computer-use</x:v>
      </x:c>
      <x:c r="AH4" s="8" t="str">
        <x:v>web environment</x:v>
      </x:c>
      <x:c r="AI4" s="8" t="str">
        <x:v>3</x:v>
      </x:c>
      <x:c r="AJ4" s="8" t="str">
        <x:v>survey bibliography;2026-10-16 chapter 2 / former chapter 4 supplement;2026-10-16 AI Office survey bibliography</x:v>
      </x:c>
      <x:c r="AK4" s="13" t="d">
        <x:v>2026-10-16T00:00:00.000Z</x:v>
      </x:c>
      <x:c r="AL4" s="8" t="str"/>
      <x:c r="AM4" s="8" t="str">
        <x:v>2.4;4.4;6.1</x:v>
      </x:c>
    </x:row>
    <x:row r="5" ht="68" customHeight="1">
      <x:c r="A5" s="8" t="str">
        <x:v>WA-0004</x:v>
      </x:c>
      <x:c r="B5" s="8" t="str">
        <x:v>OSWorld</x:v>
      </x:c>
      <x:c r="C5" s="8" t="str">
        <x:v>OSWorld: Benchmarking Multimodal Agents for Open-Ended Tasks in Real Computer Environments</x:v>
      </x:c>
      <x:c r="D5" s="9" t="n">
        <x:v>2024</x:v>
      </x:c>
      <x:c r="E5" s="8" t="str">
        <x:v>University of Hong Kong; Carnegie Mellon University; Salesforce Research; University of Waterloo</x:v>
      </x:c>
      <x:c r="F5" s="10" t="str">
        <x:f>VLOOKUP(H5,'Taxonomy'!$A$6:$G$70,3,FALSE)</x:f>
        <x:v>基础：定义、工作条件与核心能力</x:v>
      </x:c>
      <x:c r="G5" s="10" t="str">
        <x:f>VLOOKUP(H5,'Taxonomy'!$A$6:$G$70,5,FALSE)</x:f>
        <x:v>五项核心能力</x:v>
      </x:c>
      <x:c r="H5" s="8" t="str">
        <x:v>2.3.4</x:v>
      </x:c>
      <x:c r="I5" s="10" t="str">
        <x:f>VLOOKUP(H5,'Taxonomy'!$A$6:$G$70,6,FALSE)</x:f>
        <x:v>执行与状态管理</x:v>
      </x:c>
      <x:c r="J5" s="8" t="str">
        <x:v>对象结构、模态与语义;工具、界面与应用执行;成果与实际状态核验</x:v>
      </x:c>
      <x:c r="K5" s="8" t="str">
        <x:v>感知与理解;规划与协调;执行与状态管理;验证、恢复与重新规划</x:v>
      </x:c>
      <x:c r="L5" s="8" t="str">
        <x:v>2.4 相关智能体范式;2.3.1 感知与理解;6.1.2 领域覆盖与工作要求</x:v>
      </x:c>
      <x:c r="M5" s="8" t="str"/>
      <x:c r="N5" s="8" t="str">
        <x:v>Benchmark</x:v>
      </x:c>
      <x:c r="O5" s="11" t="str">
        <x:v>https://arxiv.org/abs/2404.07972</x:v>
      </x:c>
      <x:c r="P5" s="8" t="str">
        <x:v>用真实桌面应用、跨应用任务和执行式评估检验通用计算机操作能力。</x:v>
      </x:c>
      <x:c r="Q5" s="8" t="str">
        <x:v>把界面定位、对象操作、最终状态验证联系起来；可解释为何会说答案并不足以完成工作。</x:v>
      </x:c>
      <x:c r="R5" s="8" t="str">
        <x:v>GUI是交互方式，不能仅据此给任务判定工作形态；检查程序只覆盖任务指定条件。</x:v>
      </x:c>
      <x:c r="S5" s="8" t="str">
        <x:v>核心</x:v>
      </x:c>
      <x:c r="T5" s="12" t="str">
        <x:v>未分配</x:v>
      </x:c>
      <x:c r="U5" s="12" t="str"/>
      <x:c r="V5" s="12" t="str"/>
      <x:c r="W5" s="12" t="str"/>
      <x:c r="X5" s="8" t="str">
        <x:v>verified</x:v>
      </x:c>
      <x:c r="Y5" s="11" t="str">
        <x:v>https://github.com/xlang-ai/OSWorld</x:v>
      </x:c>
      <x:c r="Z5" s="11" t="str">
        <x:v>https://github.com/xlang-ai/OSWorld/tree/main/evaluation_examples</x:v>
      </x:c>
      <x:c r="AA5" s="11" t="str">
        <x:v>https://arxiv.org/pdf/2404.07972</x:v>
      </x:c>
      <x:c r="AB5" s="11" t="str">
        <x:v>https://arxiv.org/abs/2404.07972</x:v>
      </x:c>
      <x:c r="AC5" s="8" t="str">
        <x:v>L053;AIO-255</x:v>
      </x:c>
      <x:c r="AD5" s="8" t="str">
        <x:v>第2／原第4章已引；原文相关章节。</x:v>
      </x:c>
      <x:c r="AE5" s="8" t="str">
        <x:v>2.3感知和执行；6计算机环境评测。</x:v>
      </x:c>
      <x:c r="AF5" s="8" t="str">
        <x:v>按补充清单 L053 的论证用途归入“执行与状态管理”：把界面定位、对象操作、最终状态验证联系起来；可解释为何会说答案并不足以完成工作。</x:v>
      </x:c>
      <x:c r="AG5" s="8" t="str">
        <x:v>computer-use</x:v>
      </x:c>
      <x:c r="AH5" s="8" t="str">
        <x:v>desktop environment</x:v>
      </x:c>
      <x:c r="AI5" s="8" t="str">
        <x:v>4</x:v>
      </x:c>
      <x:c r="AJ5" s="8" t="str">
        <x:v>survey bibliography;2026-10-16 chapter 2 / former chapter 4 supplement;2026-10-16 AI Office survey bibliography</x:v>
      </x:c>
      <x:c r="AK5" s="13" t="d">
        <x:v>2026-10-16T00:00:00.000Z</x:v>
      </x:c>
      <x:c r="AL5" s="8" t="str"/>
      <x:c r="AM5" s="8" t="str">
        <x:v>2.4;4.4;6.1</x:v>
      </x:c>
    </x:row>
    <x:row r="6" ht="68" customHeight="1">
      <x:c r="A6" s="8" t="str">
        <x:v>WA-0005</x:v>
      </x:c>
      <x:c r="B6" s="8" t="str">
        <x:v>SheetCopilot</x:v>
      </x:c>
      <x:c r="C6" s="8" t="str">
        <x:v>SheetCopilot: Bringing Software Productivity to the Next Level through Large Language Models</x:v>
      </x:c>
      <x:c r="D6" s="9" t="n">
        <x:v>2023</x:v>
      </x:c>
      <x:c r="E6" s="8" t="str">
        <x:v>University of Chinese Academy of Sciences; Institute of Automation, Chinese Academy of Sciences; HKISI, Chinese Academy of Sciences; Hong Kong Polytechnic University; Shanghai AI Laboratory</x:v>
      </x:c>
      <x:c r="F6" s="10" t="str">
        <x:f>VLOOKUP(H6,'Taxonomy'!$A$6:$G$70,3,FALSE)</x:f>
        <x:v>基础：定义、工作条件与核心能力</x:v>
      </x:c>
      <x:c r="G6" s="10" t="str">
        <x:f>VLOOKUP(H6,'Taxonomy'!$A$6:$G$70,5,FALSE)</x:f>
        <x:v>五项核心能力</x:v>
      </x:c>
      <x:c r="H6" s="8" t="str">
        <x:v>2.3.3</x:v>
      </x:c>
      <x:c r="I6" s="10" t="str">
        <x:f>VLOOKUP(H6,'Taxonomy'!$A$6:$G$70,6,FALSE)</x:f>
        <x:v>规划与协调</x:v>
      </x:c>
      <x:c r="J6" s="8" t="str">
        <x:v>任务分解与行动依赖;原生工件生成与编辑;工具、界面与应用执行</x:v>
      </x:c>
      <x:c r="K6" s="8" t="str">
        <x:v>规划与协调;执行与状态管理</x:v>
      </x:c>
      <x:c r="L6" s="8" t="str">
        <x:v>3.3 多步骤级工作;2.3.4 执行与状态管理</x:v>
      </x:c>
      <x:c r="M6" s="8" t="str"/>
      <x:c r="N6" s="8" t="str">
        <x:v>Method;Benchmark</x:v>
      </x:c>
      <x:c r="O6" s="11" t="str">
        <x:v>https://arxiv.org/abs/2305.19308</x:v>
      </x:c>
      <x:c r="P6" s="8" t="str">
        <x:v>以电子表格原子动作抽象软件功能，结合状态机计划和自动评估。</x:v>
      </x:c>
      <x:c r="Q6" s="8" t="str">
        <x:v>提供harness怎样把模型意图变成软件操作的清晰代表。</x:v>
      </x:c>
      <x:c r="R6" s="8" t="str">
        <x:v>受具体动作接口和工作簿环境约束；不是通用所有办公软件的直接证据。</x:v>
      </x:c>
      <x:c r="S6" s="8" t="str">
        <x:v>补充</x:v>
      </x:c>
      <x:c r="T6" s="12" t="str">
        <x:v>未分配</x:v>
      </x:c>
      <x:c r="U6" s="12" t="str"/>
      <x:c r="V6" s="12" t="str"/>
      <x:c r="W6" s="12" t="str"/>
      <x:c r="X6" s="8" t="str">
        <x:v>verified</x:v>
      </x:c>
      <x:c r="Y6" s="11" t="str">
        <x:v>https://github.com/BraveGroup/SheetCopilot</x:v>
      </x:c>
      <x:c r="Z6" s="11" t="str"/>
      <x:c r="AA6" s="11" t="str">
        <x:v>https://arxiv.org/pdf/2305.19308</x:v>
      </x:c>
      <x:c r="AB6" s="11" t="str">
        <x:v>https://arxiv.org/abs/2305.19308</x:v>
      </x:c>
      <x:c r="AC6" s="8" t="str">
        <x:v>L103;AIO-125</x:v>
      </x:c>
      <x:c r="AD6" s="8" t="str">
        <x:v>第2／原第4章已引；官方摘要。</x:v>
      </x:c>
      <x:c r="AE6" s="8" t="str">
        <x:v>2.3.3规划；2.3.4执行。</x:v>
      </x:c>
      <x:c r="AF6" s="8" t="str">
        <x:v>按补充清单 L103 的论证用途归入“规划与协调”：提供harness怎样把模型意图变成软件操作的清晰代表。</x:v>
      </x:c>
      <x:c r="AG6" s="8" t="str">
        <x:v>artifact</x:v>
      </x:c>
      <x:c r="AH6" s="8" t="str">
        <x:v>spreadsheet manipulation</x:v>
      </x:c>
      <x:c r="AI6" s="8" t="str">
        <x:v>5</x:v>
      </x:c>
      <x:c r="AJ6" s="8" t="str">
        <x:v>survey bibliography;2026-10-16 chapter 2 / former chapter 4 supplement;2026-10-16 AI Office survey bibliography</x:v>
      </x:c>
      <x:c r="AK6" s="13" t="d">
        <x:v>2026-10-16T00:00:00.000Z</x:v>
      </x:c>
      <x:c r="AL6" s="8" t="str"/>
      <x:c r="AM6" s="8" t="str">
        <x:v>3.3;4.4</x:v>
      </x:c>
    </x:row>
    <x:row r="7" ht="68" customHeight="1">
      <x:c r="A7" s="8" t="str">
        <x:v>WA-0006</x:v>
      </x:c>
      <x:c r="B7" s="8" t="str">
        <x:v>PPTAgent</x:v>
      </x:c>
      <x:c r="C7" s="8" t="str">
        <x:v>PPTAgent: Generating and Evaluating Presentations Beyond Text-to-Slides</x:v>
      </x:c>
      <x:c r="D7" s="9" t="n">
        <x:v>2025</x:v>
      </x:c>
      <x:c r="E7" s="8" t="str">
        <x:v>Institute of Software, Chinese Academy of Sciences; University of Chinese Academy of Sciences; Shanghai Jiexin Technology</x:v>
      </x:c>
      <x:c r="F7" s="10" t="str">
        <x:f>VLOOKUP(H7,'Taxonomy'!$A$6:$G$70,3,FALSE)</x:f>
        <x:v>基础：定义、工作条件与核心能力</x:v>
      </x:c>
      <x:c r="G7" s="10" t="str">
        <x:f>VLOOKUP(H7,'Taxonomy'!$A$6:$G$70,5,FALSE)</x:f>
        <x:v>五项核心能力</x:v>
      </x:c>
      <x:c r="H7" s="8" t="str">
        <x:v>2.3.5</x:v>
      </x:c>
      <x:c r="I7" s="10" t="str">
        <x:f>VLOOKUP(H7,'Taxonomy'!$A$6:$G$70,6,FALSE)</x:f>
        <x:v>验证、恢复与重新规划</x:v>
      </x:c>
      <x:c r="J7" s="8" t="str">
        <x:v>对象结构、模态与语义;原生工件生成与编辑;标准、量规与裁判</x:v>
      </x:c>
      <x:c r="K7" s="8" t="str">
        <x:v>感知与理解;规划与协调;执行与状态管理;验证、恢复与重新规划</x:v>
      </x:c>
      <x:c r="L7" s="8" t="str">
        <x:v>3.3 多步骤级工作;2.3.4 执行与状态管理;2.3.1 感知与理解;6.2.2 评判程序</x:v>
      </x:c>
      <x:c r="M7" s="8" t="str"/>
      <x:c r="N7" s="8" t="str">
        <x:v>Method;Benchmark</x:v>
      </x:c>
      <x:c r="O7" s="11" t="str">
        <x:v>https://arxiv.org/abs/2501.03936</x:v>
      </x:c>
      <x:c r="P7" s="8" t="str">
        <x:v>依据参考幻灯片分析功能/内容结构后编辑生成，并用PPTEval观察内容、设计与连贯性。</x:v>
      </x:c>
      <x:c r="Q7" s="8" t="str">
        <x:v>提供跨页组织与视觉设计不能由纯文本质量替代的具体方法。</x:v>
      </x:c>
      <x:c r="R7" s="8" t="str">
        <x:v>此处PPTEval是该论文评估框架，和Microsoft 2026 PPT-Eval必须分开。</x:v>
      </x:c>
      <x:c r="S7" s="8" t="str">
        <x:v>补充</x:v>
      </x:c>
      <x:c r="T7" s="12" t="str">
        <x:v>未分配</x:v>
      </x:c>
      <x:c r="U7" s="12" t="str"/>
      <x:c r="V7" s="12" t="str"/>
      <x:c r="W7" s="12" t="str"/>
      <x:c r="X7" s="8" t="str">
        <x:v>verified</x:v>
      </x:c>
      <x:c r="Y7" s="11" t="str">
        <x:v>https://github.com/icip-cas/PPTAgent</x:v>
      </x:c>
      <x:c r="Z7" s="11" t="str"/>
      <x:c r="AA7" s="11" t="str">
        <x:v>https://arxiv.org/pdf/2501.03936</x:v>
      </x:c>
      <x:c r="AB7" s="11" t="str">
        <x:v>https://arxiv.org/abs/2501.03936</x:v>
      </x:c>
      <x:c r="AC7" s="8" t="str">
        <x:v>L080;AIO-285</x:v>
      </x:c>
      <x:c r="AD7" s="8" t="str">
        <x:v>第2／原第4章已引；官方摘要。</x:v>
      </x:c>
      <x:c r="AE7" s="8" t="str">
        <x:v>2.3.1演示文稿语义；2.3.5多维评价。</x:v>
      </x:c>
      <x:c r="AF7" s="8" t="str">
        <x:v>按补充清单 L080 的论证用途归入“验证、恢复与重新规划”：提供跨页组织与视觉设计不能由纯文本质量替代的具体方法。</x:v>
      </x:c>
      <x:c r="AG7" s="8" t="str">
        <x:v>artifact</x:v>
      </x:c>
      <x:c r="AH7" s="8" t="str">
        <x:v>slide generation</x:v>
      </x:c>
      <x:c r="AI7" s="8" t="str">
        <x:v>6</x:v>
      </x:c>
      <x:c r="AJ7" s="8" t="str">
        <x:v>survey bibliography;2026-10-16 chapter 2 / former chapter 4 supplement;2026-10-16 AI Office survey bibliography</x:v>
      </x:c>
      <x:c r="AK7" s="13" t="d">
        <x:v>2026-10-16T00:00:00.000Z</x:v>
      </x:c>
      <x:c r="AL7" s="8" t="str">
        <x:v>PPTAgent内的PPTEval与Microsoft2026年PPT-Eval为不同对象。</x:v>
      </x:c>
      <x:c r="AM7" s="8" t="str">
        <x:v>3.3;4.4;4.5</x:v>
      </x:c>
    </x:row>
    <x:row r="8" ht="68" customHeight="1">
      <x:c r="A8" s="8" t="str">
        <x:v>WA-0007</x:v>
      </x:c>
      <x:c r="B8" s="8" t="str">
        <x:v>WorkArena</x:v>
      </x:c>
      <x:c r="C8" s="8" t="str">
        <x:v>WorkArena: How Capable Are Web Agents at Solving Common Knowledge Work Tasks?</x:v>
      </x:c>
      <x:c r="D8" s="9" t="n">
        <x:v>2024</x:v>
      </x:c>
      <x:c r="E8" s="8" t="str">
        <x:v>ServiceNow Research; Mila; Polytechnique Montréal; McGill University; Université de Montréal</x:v>
      </x:c>
      <x:c r="F8" s="10" t="str">
        <x:f>VLOOKUP(H8,'Taxonomy'!$A$6:$G$70,3,FALSE)</x:f>
        <x:v>基础：定义、工作条件与核心能力</x:v>
      </x:c>
      <x:c r="G8" s="10" t="str">
        <x:f>VLOOKUP(H8,'Taxonomy'!$A$6:$G$70,5,FALSE)</x:f>
        <x:v>五项核心能力</x:v>
      </x:c>
      <x:c r="H8" s="8" t="str">
        <x:v>2.3.4</x:v>
      </x:c>
      <x:c r="I8" s="10" t="str">
        <x:f>VLOOKUP(H8,'Taxonomy'!$A$6:$G$70,6,FALSE)</x:f>
        <x:v>执行与状态管理</x:v>
      </x:c>
      <x:c r="J8" s="8" t="str">
        <x:v>工具、界面与应用执行;工作形态与验收组织</x:v>
      </x:c>
      <x:c r="K8" s="8" t="str">
        <x:v>感知与理解;推理与决策;执行与状态管理</x:v>
      </x:c>
      <x:c r="L8" s="8" t="str">
        <x:v>3.3 多步骤级工作;6.1 基准与任务构造</x:v>
      </x:c>
      <x:c r="M8" s="8" t="str"/>
      <x:c r="N8" s="8" t="str">
        <x:v>Benchmark</x:v>
      </x:c>
      <x:c r="O8" s="11" t="str">
        <x:v>https://arxiv.org/abs/2403.07718</x:v>
      </x:c>
      <x:c r="P8" s="8" t="str">
        <x:v>在 ServiceNow 上构建典型知识工作任务，并提供 BrowserGym 浏览器交互环境。</x:v>
      </x:c>
      <x:c r="Q8" s="8" t="str">
        <x:v>可与WorkArena++对照，说明局部任务完成和组合成业务流程之间的区别。</x:v>
      </x:c>
      <x:c r="R8" s="8" t="str">
        <x:v>单个平台的任务覆盖不能推广为全部职业工作；具体任务仍须看对象、约束和目标。</x:v>
      </x:c>
      <x:c r="S8" s="8" t="str">
        <x:v>核心</x:v>
      </x:c>
      <x:c r="T8" s="12" t="str">
        <x:v>未分配</x:v>
      </x:c>
      <x:c r="U8" s="12" t="str"/>
      <x:c r="V8" s="12" t="str"/>
      <x:c r="W8" s="12" t="str"/>
      <x:c r="X8" s="8" t="str">
        <x:v>verified</x:v>
      </x:c>
      <x:c r="Y8" s="11" t="str"/>
      <x:c r="Z8" s="11" t="str"/>
      <x:c r="AA8" s="11" t="str">
        <x:v>https://arxiv.org/pdf/2403.07718</x:v>
      </x:c>
      <x:c r="AB8" s="11" t="str">
        <x:v>https://arxiv.org/abs/2403.07718</x:v>
      </x:c>
      <x:c r="AC8" s="8" t="str">
        <x:v>L059;AIO-063</x:v>
      </x:c>
      <x:c r="AD8" s="8" t="str">
        <x:v>第2／原第4章已引；官方摘要。</x:v>
      </x:c>
      <x:c r="AE8" s="8" t="str">
        <x:v>2.3执行；3原子动作与流程的衔接；6企业评测。</x:v>
      </x:c>
      <x:c r="AF8" s="8" t="str">
        <x:v>按补充清单 L059 的论证用途归入“执行与状态管理”：可与WorkArena++对照，说明局部任务完成和组合成业务流程之间的区别。</x:v>
      </x:c>
      <x:c r="AG8" s="8" t="str">
        <x:v>computer-use</x:v>
      </x:c>
      <x:c r="AH8" s="8" t="str">
        <x:v>enterprise web workflow</x:v>
      </x:c>
      <x:c r="AI8" s="8" t="str">
        <x:v>7</x:v>
      </x:c>
      <x:c r="AJ8" s="8" t="str">
        <x:v>survey bibliography;2026-10-16 chapter 2 / former chapter 4 supplement;2026-10-16 AI Office survey bibliography</x:v>
      </x:c>
      <x:c r="AK8" s="13" t="d">
        <x:v>2026-10-16T00:00:00.000Z</x:v>
      </x:c>
      <x:c r="AL8" s="8" t="str"/>
      <x:c r="AM8" s="8" t="str">
        <x:v>3.3;6.1</x:v>
      </x:c>
    </x:row>
    <x:row r="9" ht="68" customHeight="1">
      <x:c r="A9" s="8" t="str">
        <x:v>WA-0008</x:v>
      </x:c>
      <x:c r="B9" s="8" t="str">
        <x:v>SWE-agent</x:v>
      </x:c>
      <x:c r="C9" s="8" t="str">
        <x:v>SWE-agent: Agent-Computer Interfaces Enable Automated Software Engineering</x:v>
      </x:c>
      <x:c r="D9" s="9" t="n">
        <x:v>2024</x:v>
      </x:c>
      <x:c r="E9" s="8" t="str">
        <x:v>Princeton University</x:v>
      </x:c>
      <x:c r="F9" s="10" t="str">
        <x:f>VLOOKUP(H9,'Taxonomy'!$A$6:$G$70,3,FALSE)</x:f>
        <x:v>基础：定义、工作条件与核心能力</x:v>
      </x:c>
      <x:c r="G9" s="10" t="str">
        <x:f>VLOOKUP(H9,'Taxonomy'!$A$6:$G$70,5,FALSE)</x:f>
        <x:v>定义与系统视角</x:v>
      </x:c>
      <x:c r="H9" s="8" t="str">
        <x:v>2.1.2</x:v>
      </x:c>
      <x:c r="I9" s="10" t="str">
        <x:f>VLOOKUP(H9,'Taxonomy'!$A$6:$G$70,6,FALSE)</x:f>
        <x:v>工作过程六要素</x:v>
      </x:c>
      <x:c r="J9" s="8" t="str">
        <x:v>定义、系统职责与工作循环;接口与观测优化;工具、界面与应用执行</x:v>
      </x:c>
      <x:c r="K9" s="8" t="str">
        <x:v>感知与理解;执行与状态管理;验证、恢复与重新规划</x:v>
      </x:c>
      <x:c r="L9" s="8" t="str">
        <x:v>2.3.4 执行与状态管理;6.4 开放框架与执行环境;5.3.1 接口与工具优化</x:v>
      </x:c>
      <x:c r="M9" s="8" t="str">
        <x:v>接口与工具优化</x:v>
      </x:c>
      <x:c r="N9" s="8" t="str">
        <x:v>Method;Framework</x:v>
      </x:c>
      <x:c r="O9" s="11" t="str">
        <x:v>https://arxiv.org/abs/2405.15793</x:v>
      </x:c>
      <x:c r="P9" s="8" t="str">
        <x:v>为软件工程代理设计文件检索、编辑及反馈接口，提升真实仓库问题修复能力。</x:v>
      </x:c>
      <x:c r="Q9" s="8" t="str">
        <x:v>直接支持模型能力经harness和workspace接口转成系统表现。</x:v>
      </x:c>
      <x:c r="R9" s="8" t="str">
        <x:v>软件接口证据不代表所有职业；也不支持系统能力与模型能力互斥。</x:v>
      </x:c>
      <x:c r="S9" s="8" t="str">
        <x:v>核心</x:v>
      </x:c>
      <x:c r="T9" s="12" t="str">
        <x:v>未分配</x:v>
      </x:c>
      <x:c r="U9" s="12" t="str"/>
      <x:c r="V9" s="12" t="str"/>
      <x:c r="W9" s="12" t="str"/>
      <x:c r="X9" s="8" t="str">
        <x:v>verified</x:v>
      </x:c>
      <x:c r="Y9" s="11" t="str"/>
      <x:c r="Z9" s="11" t="str"/>
      <x:c r="AA9" s="11" t="str">
        <x:v>https://arxiv.org/pdf/2405.15793</x:v>
      </x:c>
      <x:c r="AB9" s="11" t="str">
        <x:v>https://arxiv.org/abs/2405.15793</x:v>
      </x:c>
      <x:c r="AC9" s="8" t="str">
        <x:v>L055;AIO-108</x:v>
      </x:c>
      <x:c r="AD9" s="8" t="str">
        <x:v>第2／原第4章已引；官方摘要。</x:v>
      </x:c>
      <x:c r="AE9" s="8" t="str">
        <x:v>2.1 Model/Harness；2.3 决策到执行。</x:v>
      </x:c>
      <x:c r="AF9" s="8" t="str">
        <x:v>按补充清单 L055 的论证用途归入“工作过程六要素”：直接支持模型能力经harness和workspace接口转成系统表现。</x:v>
      </x:c>
      <x:c r="AG9" s="8" t="str">
        <x:v>swe-science</x:v>
      </x:c>
      <x:c r="AH9" s="8" t="str">
        <x:v>agent-computer interface</x:v>
      </x:c>
      <x:c r="AI9" s="8" t="str">
        <x:v>8</x:v>
      </x:c>
      <x:c r="AJ9" s="8" t="str">
        <x:v>survey bibliography;2026-10-16 chapter 2 / former chapter 4 supplement;2026-10-16 AI Office survey bibliography</x:v>
      </x:c>
      <x:c r="AK9" s="13" t="d">
        <x:v>2026-10-16T00:00:00.000Z</x:v>
      </x:c>
      <x:c r="AL9" s="8" t="str"/>
      <x:c r="AM9" s="8" t="str">
        <x:v>4.4;5.3;6.4</x:v>
      </x:c>
    </x:row>
    <x:row r="10" ht="68" customHeight="1">
      <x:c r="A10" s="8" t="str">
        <x:v>WA-0009</x:v>
      </x:c>
      <x:c r="B10" s="8" t="str">
        <x:v>DocVQA</x:v>
      </x:c>
      <x:c r="C10" s="8" t="str">
        <x:v>DocVQA: A Dataset for VQA on Document Images</x:v>
      </x:c>
      <x:c r="D10" s="9" t="n">
        <x:v>2020</x:v>
      </x:c>
      <x:c r="E10" s="8" t="str">
        <x:v>IIIT Hyderabad; Computer Vision Center, Universitat Autònoma de Barcelona</x:v>
      </x:c>
      <x:c r="F10" s="10" t="str">
        <x:f>VLOOKUP(H10,'Taxonomy'!$A$6:$G$70,3,FALSE)</x:f>
        <x:v>基础：定义、工作条件与核心能力</x:v>
      </x:c>
      <x:c r="G10" s="10" t="str">
        <x:f>VLOOKUP(H10,'Taxonomy'!$A$6:$G$70,5,FALSE)</x:f>
        <x:v>五项核心能力</x:v>
      </x:c>
      <x:c r="H10" s="8" t="str">
        <x:v>2.3.1</x:v>
      </x:c>
      <x:c r="I10" s="10" t="str">
        <x:f>VLOOKUP(H10,'Taxonomy'!$A$6:$G$70,6,FALSE)</x:f>
        <x:v>感知与理解</x:v>
      </x:c>
      <x:c r="J10" s="8" t="str">
        <x:v>对象结构、模态与语义;材料发现与证据定位;工作形态与验收组织</x:v>
      </x:c>
      <x:c r="K10" s="8" t="str">
        <x:v>感知与理解;推理与决策</x:v>
      </x:c>
      <x:c r="L10" s="8" t="str">
        <x:v>3.1 响应级工作</x:v>
      </x:c>
      <x:c r="M10" s="8" t="str"/>
      <x:c r="N10" s="8" t="str">
        <x:v>Benchmark;Background</x:v>
      </x:c>
      <x:c r="O10" s="11" t="str">
        <x:v>https://arxiv.org/abs/2007.00398</x:v>
      </x:c>
      <x:c r="P10" s="8" t="str">
        <x:v>以真实文档图像问答测试文字与版面结构理解。</x:v>
      </x:c>
      <x:c r="Q10" s="8" t="str">
        <x:v>可保留作历史基线，再用新原生文件和长文档基准延伸。</x:v>
      </x:c>
      <x:c r="R10" s="8" t="str">
        <x:v>2020预印本/WACV2021；主要是文档图像问答，不测试原生编辑和跨文件工作。</x:v>
      </x:c>
      <x:c r="S10" s="8" t="str">
        <x:v>补充</x:v>
      </x:c>
      <x:c r="T10" s="12" t="str">
        <x:v>未分配</x:v>
      </x:c>
      <x:c r="U10" s="12" t="str"/>
      <x:c r="V10" s="12" t="str"/>
      <x:c r="W10" s="12" t="str"/>
      <x:c r="X10" s="8" t="str">
        <x:v>verified</x:v>
      </x:c>
      <x:c r="Y10" s="11" t="str"/>
      <x:c r="Z10" s="11" t="str"/>
      <x:c r="AA10" s="11" t="str">
        <x:v>https://arxiv.org/pdf/2007.00398</x:v>
      </x:c>
      <x:c r="AB10" s="11" t="str">
        <x:v>https://arxiv.org/abs/2007.00398</x:v>
      </x:c>
      <x:c r="AC10" s="8" t="str">
        <x:v>L105;AIO-149</x:v>
      </x:c>
      <x:c r="AD10" s="8" t="str">
        <x:v>第2／原第4章已引；官方摘要。</x:v>
      </x:c>
      <x:c r="AE10" s="8" t="str">
        <x:v>2.3.1感知理解的经典依据。</x:v>
      </x:c>
      <x:c r="AF10" s="8" t="str">
        <x:v>按补充清单 L105 的论证用途归入“感知与理解”：可保留作历史基线，再用新原生文件和长文档基准延伸。</x:v>
      </x:c>
      <x:c r="AG10" s="8" t="str">
        <x:v>related</x:v>
      </x:c>
      <x:c r="AH10" s="8" t="str">
        <x:v>document visual question answering</x:v>
      </x:c>
      <x:c r="AI10" s="8" t="str">
        <x:v>9</x:v>
      </x:c>
      <x:c r="AJ10" s="8" t="str">
        <x:v>survey bibliography;2026-10-16 chapter 2 / former chapter 4 supplement;2026-10-16 AI Office survey bibliography</x:v>
      </x:c>
      <x:c r="AK10" s="13" t="d">
        <x:v>2026-10-16T00:00:00.000Z</x:v>
      </x:c>
      <x:c r="AL10" s="8" t="str"/>
      <x:c r="AM10" s="8" t="str">
        <x:v>3.1;4.1</x:v>
      </x:c>
    </x:row>
    <x:row r="11" ht="68" customHeight="1">
      <x:c r="A11" s="8" t="str">
        <x:v>WA-0010</x:v>
      </x:c>
      <x:c r="B11" s="8" t="str">
        <x:v>FinQA</x:v>
      </x:c>
      <x:c r="C11" s="8" t="str">
        <x:v>FinQA: A Dataset of Numerical Reasoning over Financial Data</x:v>
      </x:c>
      <x:c r="D11" s="9" t="n">
        <x:v>2021</x:v>
      </x:c>
      <x:c r="E11" s="8" t="str">
        <x:v>University of California, Santa Barbara; J.P. Morgan; Pennsylvania State University; Carnegie Mellon University</x:v>
      </x:c>
      <x:c r="F11" s="10" t="str">
        <x:f>VLOOKUP(H11,'Taxonomy'!$A$6:$G$70,3,FALSE)</x:f>
        <x:v>基础：定义、工作条件与核心能力</x:v>
      </x:c>
      <x:c r="G11" s="10" t="str">
        <x:f>VLOOKUP(H11,'Taxonomy'!$A$6:$G$70,5,FALSE)</x:f>
        <x:v>五项核心能力</x:v>
      </x:c>
      <x:c r="H11" s="8" t="str">
        <x:v>2.3.2</x:v>
      </x:c>
      <x:c r="I11" s="10" t="str">
        <x:f>VLOOKUP(H11,'Taxonomy'!$A$6:$G$70,6,FALSE)</x:f>
        <x:v>推理与决策</x:v>
      </x:c>
      <x:c r="J11" s="8" t="str">
        <x:v>职业知识与专业判断;证据整合与推理;工作形态与验收组织</x:v>
      </x:c>
      <x:c r="K11" s="8" t="str">
        <x:v>感知与理解;推理与决策</x:v>
      </x:c>
      <x:c r="L11" s="8" t="str">
        <x:v>3.1 响应级工作;2.3.1 感知与理解</x:v>
      </x:c>
      <x:c r="M11" s="8" t="str"/>
      <x:c r="N11" s="8" t="str">
        <x:v>Benchmark</x:v>
      </x:c>
      <x:c r="O11" s="11" t="str">
        <x:v>https://arxiv.org/abs/2109.00122</x:v>
      </x:c>
      <x:c r="P11" s="8" t="str">
        <x:v>提供专家标注财报问答及计算程序，评估跨文本与表格的数值推理。</x:v>
      </x:c>
      <x:c r="Q11" s="8" t="str">
        <x:v>提供财报数字与文本联合推理的经典基础。</x:v>
      </x:c>
      <x:c r="R11" s="8" t="str">
        <x:v>静态金融问答不等于可交付财务模型或真实投研工作。</x:v>
      </x:c>
      <x:c r="S11" s="8" t="str">
        <x:v>补充</x:v>
      </x:c>
      <x:c r="T11" s="12" t="str">
        <x:v>未分配</x:v>
      </x:c>
      <x:c r="U11" s="12" t="str"/>
      <x:c r="V11" s="12" t="str"/>
      <x:c r="W11" s="12" t="str"/>
      <x:c r="X11" s="8" t="str">
        <x:v>verified</x:v>
      </x:c>
      <x:c r="Y11" s="11" t="str">
        <x:v>https://github.com/czyssrs/FinQA</x:v>
      </x:c>
      <x:c r="Z11" s="11" t="str"/>
      <x:c r="AA11" s="11" t="str">
        <x:v>https://arxiv.org/pdf/2109.00122</x:v>
      </x:c>
      <x:c r="AB11" s="11" t="str">
        <x:v>https://arxiv.org/abs/2109.00122</x:v>
      </x:c>
      <x:c r="AC11" s="8" t="str">
        <x:v>L148</x:v>
      </x:c>
      <x:c r="AD11" s="8" t="str">
        <x:v>这些条目已出现在第二章或原第四章，但本轮没有重新核查原文。题名、年份与链接沿用现有文献库；不能把它们计作本轮新核实的证据。</x:v>
      </x:c>
      <x:c r="AE11" s="8" t="str">
        <x:v>原第四章、第二章</x:v>
      </x:c>
      <x:c r="AF11" s="8" t="str">
        <x:v>用于“推理与决策”：提供专家标注财报问答及计算程序，评估跨文本与表格的数值推理。</x:v>
      </x:c>
      <x:c r="AG11" s="8" t="str">
        <x:v>related</x:v>
      </x:c>
      <x:c r="AH11" s="8" t="str">
        <x:v>financial numerical reasoning</x:v>
      </x:c>
      <x:c r="AI11" s="8" t="str">
        <x:v>10</x:v>
      </x:c>
      <x:c r="AJ11" s="8" t="str">
        <x:v>survey bibliography;2026-10-16 chapter 2 / former chapter 4 supplement</x:v>
      </x:c>
      <x:c r="AK11" s="13" t="d">
        <x:v>2026-10-16T00:00:00.000Z</x:v>
      </x:c>
      <x:c r="AL11" s="8" t="str">
        <x:v>来源为附件附录A既有引用索引；未把附件的未复核条目升级为本轮已读证据。原稿位置：原第四章、第二章；引用键：finqa。</x:v>
      </x:c>
      <x:c r="AM11" s="8" t="str">
        <x:v>3.1;4.1;4.2</x:v>
      </x:c>
    </x:row>
    <x:row r="12" ht="68" customHeight="1">
      <x:c r="A12" s="8" t="str">
        <x:v>WA-0011</x:v>
      </x:c>
      <x:c r="B12" s="8" t="str">
        <x:v>TAT-QA</x:v>
      </x:c>
      <x:c r="C12" s="8" t="str">
        <x:v>TAT-QA: A Question Answering Benchmark on a Hybrid of Tabular and Textual Content in Finance</x:v>
      </x:c>
      <x:c r="D12" s="9" t="n">
        <x:v>2021</x:v>
      </x:c>
      <x:c r="E12" s="8" t="str">
        <x:v>National University of Singapore; 6Estates; Sichuan University; Bloomberg</x:v>
      </x:c>
      <x:c r="F12" s="10" t="str">
        <x:f>VLOOKUP(H12,'Taxonomy'!$A$6:$G$70,3,FALSE)</x:f>
        <x:v>基础：定义、工作条件与核心能力</x:v>
      </x:c>
      <x:c r="G12" s="10" t="str">
        <x:f>VLOOKUP(H12,'Taxonomy'!$A$6:$G$70,5,FALSE)</x:f>
        <x:v>五项核心能力</x:v>
      </x:c>
      <x:c r="H12" s="8" t="str">
        <x:v>2.3.2</x:v>
      </x:c>
      <x:c r="I12" s="10" t="str">
        <x:f>VLOOKUP(H12,'Taxonomy'!$A$6:$G$70,6,FALSE)</x:f>
        <x:v>推理与决策</x:v>
      </x:c>
      <x:c r="J12" s="8" t="str">
        <x:v>对象关系、来源与依赖;证据整合与推理;工作形态与验收组织</x:v>
      </x:c>
      <x:c r="K12" s="8" t="str">
        <x:v>感知与理解;推理与决策</x:v>
      </x:c>
      <x:c r="L12" s="8" t="str">
        <x:v>3.1 响应级工作;2.3.1 感知与理解</x:v>
      </x:c>
      <x:c r="M12" s="8" t="str"/>
      <x:c r="N12" s="8" t="str">
        <x:v>Benchmark</x:v>
      </x:c>
      <x:c r="O12" s="11" t="str">
        <x:v>https://arxiv.org/abs/2105.07624</x:v>
      </x:c>
      <x:c r="P12" s="8" t="str">
        <x:v>围绕财务报告中的表格与文本，构建需要混合证据和算术推理的问答基准。</x:v>
      </x:c>
      <x:c r="Q12" s="8" t="str">
        <x:v>补充表格和文本混合材料的金融理解与计算。</x:v>
      </x:c>
      <x:c r="R12" s="8" t="str">
        <x:v>问答基准不直接衡量编辑、公式保存或工作流执行。</x:v>
      </x:c>
      <x:c r="S12" s="8" t="str">
        <x:v>补充</x:v>
      </x:c>
      <x:c r="T12" s="12" t="str">
        <x:v>未分配</x:v>
      </x:c>
      <x:c r="U12" s="12" t="str"/>
      <x:c r="V12" s="12" t="str"/>
      <x:c r="W12" s="12" t="str"/>
      <x:c r="X12" s="8" t="str">
        <x:v>verified</x:v>
      </x:c>
      <x:c r="Y12" s="11" t="str">
        <x:v>https://github.com/NExTplusplus/tat-qa</x:v>
      </x:c>
      <x:c r="Z12" s="11" t="str"/>
      <x:c r="AA12" s="11" t="str">
        <x:v>https://arxiv.org/pdf/2105.07624</x:v>
      </x:c>
      <x:c r="AB12" s="11" t="str">
        <x:v>https://arxiv.org/abs/2105.07624</x:v>
      </x:c>
      <x:c r="AC12" s="8" t="str">
        <x:v>L149</x:v>
      </x:c>
      <x:c r="AD12" s="8" t="str">
        <x:v>这些条目已出现在第二章或原第四章，但本轮没有重新核查原文。题名、年份与链接沿用现有文献库；不能把它们计作本轮新核实的证据。</x:v>
      </x:c>
      <x:c r="AE12" s="8" t="str">
        <x:v>原第四章、第二章</x:v>
      </x:c>
      <x:c r="AF12" s="8" t="str">
        <x:v>用于“推理与决策”：围绕财务报告中的表格与文本，构建需要混合证据和算术推理的问答基准。</x:v>
      </x:c>
      <x:c r="AG12" s="8" t="str">
        <x:v>related</x:v>
      </x:c>
      <x:c r="AH12" s="8" t="str">
        <x:v>hybrid table-text reasoning</x:v>
      </x:c>
      <x:c r="AI12" s="8" t="str">
        <x:v>11</x:v>
      </x:c>
      <x:c r="AJ12" s="8" t="str">
        <x:v>survey bibliography;2026-10-16 chapter 2 / former chapter 4 supplement</x:v>
      </x:c>
      <x:c r="AK12" s="13" t="d">
        <x:v>2026-10-16T00:00:00.000Z</x:v>
      </x:c>
      <x:c r="AL12" s="8" t="str">
        <x:v>来源为附件附录A既有引用索引；未把附件的未复核条目升级为本轮已读证据。原稿位置：原第四章、第二章；引用键：tatqa。</x:v>
      </x:c>
      <x:c r="AM12" s="8" t="str">
        <x:v>3.1;4.1;4.2</x:v>
      </x:c>
    </x:row>
    <x:row r="13" ht="68" customHeight="1">
      <x:c r="A13" s="8" t="str">
        <x:v>WA-0012</x:v>
      </x:c>
      <x:c r="B13" s="8" t="str">
        <x:v>ToolSandbox</x:v>
      </x:c>
      <x:c r="C13" s="8" t="str">
        <x:v>ToolSandbox: A Stateful, Conversational, Interactive Evaluation Benchmark for LLM Tool Use Capabilities</x:v>
      </x:c>
      <x:c r="D13" s="9" t="n">
        <x:v>2024</x:v>
      </x:c>
      <x:c r="E13" s="8" t="str">
        <x:v>Apple</x:v>
      </x:c>
      <x:c r="F13" s="10" t="str">
        <x:f>VLOOKUP(H13,'Taxonomy'!$A$6:$G$70,3,FALSE)</x:f>
        <x:v>基础：定义、工作条件与核心能力</x:v>
      </x:c>
      <x:c r="G13" s="10" t="str">
        <x:f>VLOOKUP(H13,'Taxonomy'!$A$6:$G$70,5,FALSE)</x:f>
        <x:v>五项核心能力</x:v>
      </x:c>
      <x:c r="H13" s="8" t="str">
        <x:v>2.3.4</x:v>
      </x:c>
      <x:c r="I13" s="10" t="str">
        <x:f>VLOOKUP(H13,'Taxonomy'!$A$6:$G$70,6,FALSE)</x:f>
        <x:v>执行与状态管理</x:v>
      </x:c>
      <x:c r="J13" s="8" t="str">
        <x:v>工具、界面与应用执行;当前状态与版本有效性;分布信息、澄清与协调</x:v>
      </x:c>
      <x:c r="K13" s="8" t="str">
        <x:v>推理与决策;执行与状态管理</x:v>
      </x:c>
      <x:c r="L13" s="8" t="str">
        <x:v>3.3 多步骤级工作;6.1 基准与任务构造;2.3.3 规划与协调;6.2.1 评估目标与可观察证据</x:v>
      </x:c>
      <x:c r="M13" s="8" t="str"/>
      <x:c r="N13" s="8" t="str">
        <x:v>Benchmark</x:v>
      </x:c>
      <x:c r="O13" s="11" t="str">
        <x:v>https://arxiv.org/abs/2408.04682</x:v>
      </x:c>
      <x:c r="P13" s="8" t="str">
        <x:v>结合有状态工具、隐式状态依赖、随智能体行动生成的用户交互，以及中间与终局里程碑检查。</x:v>
      </x:c>
      <x:c r="Q13" s="8" t="str">
        <x:v>适合说明工具前提、信息澄清与中间过程要求，支持将对话和工具反馈分别编码。</x:v>
      </x:c>
      <x:c r="R13" s="8" t="str">
        <x:v>里程碑是预先定义的部分要求；模拟用户不能替代真实人的沟通成本和行为。</x:v>
      </x:c>
      <x:c r="S13" s="8" t="str">
        <x:v>核心</x:v>
      </x:c>
      <x:c r="T13" s="12" t="str">
        <x:v>未分配</x:v>
      </x:c>
      <x:c r="U13" s="12" t="str"/>
      <x:c r="V13" s="12" t="str"/>
      <x:c r="W13" s="12" t="str"/>
      <x:c r="X13" s="8" t="str">
        <x:v>verified</x:v>
      </x:c>
      <x:c r="Y13" s="11" t="str">
        <x:v>https://github.com/apple/ToolSandbox</x:v>
      </x:c>
      <x:c r="Z13" s="11" t="str"/>
      <x:c r="AA13" s="11" t="str">
        <x:v>https://arxiv.org/pdf/2408.04682</x:v>
      </x:c>
      <x:c r="AB13" s="11" t="str">
        <x:v>https://arxiv.org/abs/2408.04682</x:v>
      </x:c>
      <x:c r="AC13" s="8" t="str">
        <x:v>L057</x:v>
      </x:c>
      <x:c r="AD13" s="8" t="str">
        <x:v>第2／原第4章已引；官方摘要。</x:v>
      </x:c>
      <x:c r="AE13" s="8" t="str">
        <x:v>2.3执行和协调；6状态与里程碑。</x:v>
      </x:c>
      <x:c r="AF13" s="8" t="str">
        <x:v>按补充清单 L057 的论证用途归入“执行与状态管理”：适合说明工具前提、信息澄清与中间过程要求，支持将对话和工具反馈分别编码。</x:v>
      </x:c>
      <x:c r="AG13" s="8" t="str">
        <x:v>tool-enterprise</x:v>
      </x:c>
      <x:c r="AH13" s="8" t="str">
        <x:v>stateful conversational tool use</x:v>
      </x:c>
      <x:c r="AI13" s="8" t="str">
        <x:v>12</x:v>
      </x:c>
      <x:c r="AJ13" s="8" t="str">
        <x:v>survey bibliography;2026-10-16 chapter 2 / former chapter 4 supplement</x:v>
      </x:c>
      <x:c r="AK13" s="13" t="d">
        <x:v>2026-10-16T00:00:00.000Z</x:v>
      </x:c>
      <x:c r="AL13" s="8" t="str"/>
      <x:c r="AM13" s="8" t="str">
        <x:v>3.3;4.4;6.1</x:v>
      </x:c>
    </x:row>
    <x:row r="14" ht="68" customHeight="1">
      <x:c r="A14" s="8" t="str">
        <x:v>WA-0013</x:v>
      </x:c>
      <x:c r="B14" s="8" t="str">
        <x:v>AppWorld</x:v>
      </x:c>
      <x:c r="C14" s="8" t="str">
        <x:v>AppWorld: A Controllable World of Apps and People for Benchmarking Interactive Coding Agents</x:v>
      </x:c>
      <x:c r="D14" s="9" t="n">
        <x:v>2024</x:v>
      </x:c>
      <x:c r="E14" s="8" t="str">
        <x:v>Stony Brook University; Allen Institute for AI; Saarland University</x:v>
      </x:c>
      <x:c r="F14" s="10" t="str">
        <x:f>VLOOKUP(H14,'Taxonomy'!$A$6:$G$70,3,FALSE)</x:f>
        <x:v>基础：定义、工作条件与核心能力</x:v>
      </x:c>
      <x:c r="G14" s="10" t="str">
        <x:f>VLOOKUP(H14,'Taxonomy'!$A$6:$G$70,5,FALSE)</x:f>
        <x:v>五项核心能力</x:v>
      </x:c>
      <x:c r="H14" s="8" t="str">
        <x:v>2.3.4</x:v>
      </x:c>
      <x:c r="I14" s="10" t="str">
        <x:f>VLOOKUP(H14,'Taxonomy'!$A$6:$G$70,6,FALSE)</x:f>
        <x:v>执行与状态管理</x:v>
      </x:c>
      <x:c r="J14" s="8" t="str">
        <x:v>工具、界面与应用执行;当前状态与版本有效性;连续编辑与内容保持;成果与实际状态核验</x:v>
      </x:c>
      <x:c r="K14" s="8" t="str">
        <x:v>规划与协调;执行与状态管理;验证、恢复与重新规划</x:v>
      </x:c>
      <x:c r="L14" s="8" t="str">
        <x:v>3.4 工作流级工作;6.1 基准与任务构造;2.3.5 验证、恢复与重新规划;6.2.1 评估目标与可观察证据</x:v>
      </x:c>
      <x:c r="M14" s="8" t="str"/>
      <x:c r="N14" s="8" t="str">
        <x:v>Benchmark</x:v>
      </x:c>
      <x:c r="O14" s="11" t="str">
        <x:v>https://arxiv.org/abs/2407.18901</x:v>
      </x:c>
      <x:c r="P14" s="8" t="str">
        <x:v>模拟人员与多个应用，通过代码调用 API 完成任务并检查最终状态与副作用。</x:v>
      </x:c>
      <x:c r="Q14" s="8" t="str">
        <x:v>支持执行能力应包括保持无关状态、落实跨应用效果；同时为“工具反馈不是用户对话”提供清晰实例。</x:v>
      </x:c>
      <x:c r="R14" s="8" t="str">
        <x:v>智能体与代码环境多轮交互不等于用户多轮交代任务；环境为可控模拟应用。</x:v>
      </x:c>
      <x:c r="S14" s="8" t="str">
        <x:v>核心</x:v>
      </x:c>
      <x:c r="T14" s="12" t="str">
        <x:v>未分配</x:v>
      </x:c>
      <x:c r="U14" s="12" t="str"/>
      <x:c r="V14" s="12" t="str"/>
      <x:c r="W14" s="12" t="str"/>
      <x:c r="X14" s="8" t="str">
        <x:v>verified</x:v>
      </x:c>
      <x:c r="Y14" s="11" t="str">
        <x:v>https://github.com/stonybrooknlp/appworld</x:v>
      </x:c>
      <x:c r="Z14" s="11" t="str"/>
      <x:c r="AA14" s="11" t="str">
        <x:v>https://arxiv.org/pdf/2407.18901</x:v>
      </x:c>
      <x:c r="AB14" s="11" t="str">
        <x:v>https://arxiv.org/abs/2407.18901</x:v>
      </x:c>
      <x:c r="AC14" s="8" t="str">
        <x:v>L047</x:v>
      </x:c>
      <x:c r="AD14" s="8" t="str">
        <x:v>第2／原第4章已引；原文相关章节。</x:v>
      </x:c>
      <x:c r="AE14" s="8" t="str">
        <x:v>2.3执行与验证；6跨应用状态评测。</x:v>
      </x:c>
      <x:c r="AF14" s="8" t="str">
        <x:v>按补充清单 L047 的论证用途归入“执行与状态管理”：支持执行能力应包括保持无关状态、落实跨应用效果；同时为“工具反馈不是用户对话”提供清晰实例。</x:v>
      </x:c>
      <x:c r="AG14" s="8" t="str">
        <x:v>tool-enterprise</x:v>
      </x:c>
      <x:c r="AH14" s="8" t="str">
        <x:v>interactive app API world</x:v>
      </x:c>
      <x:c r="AI14" s="8" t="str">
        <x:v>13</x:v>
      </x:c>
      <x:c r="AJ14" s="8" t="str">
        <x:v>survey bibliography;2026-10-16 chapter 2 / former chapter 4 supplement</x:v>
      </x:c>
      <x:c r="AK14" s="13" t="d">
        <x:v>2026-10-16T00:00:00.000Z</x:v>
      </x:c>
      <x:c r="AL14" s="8" t="str"/>
      <x:c r="AM14" s="8" t="str">
        <x:v>3.4;4.4;6.1</x:v>
      </x:c>
    </x:row>
    <x:row r="15" ht="68" customHeight="1">
      <x:c r="A15" s="8" t="str">
        <x:v>WA-0014</x:v>
      </x:c>
      <x:c r="B15" s="8" t="str">
        <x:v>MINT</x:v>
      </x:c>
      <x:c r="C15" s="8" t="str">
        <x:v>MINT: Evaluating LLMs in Multi-turn Interaction with Tools and Language Feedback</x:v>
      </x:c>
      <x:c r="D15" s="9" t="n">
        <x:v>2023</x:v>
      </x:c>
      <x:c r="E15" s="8" t="str">
        <x:v>University of Illinois Urbana-Champaign; Renmin University of China</x:v>
      </x:c>
      <x:c r="F15" s="10" t="str">
        <x:f>VLOOKUP(H15,'Taxonomy'!$A$6:$G$70,3,FALSE)</x:f>
        <x:v>评估与资源：如何检验工作完成</x:v>
      </x:c>
      <x:c r="G15" s="10" t="str">
        <x:f>VLOOKUP(H15,'Taxonomy'!$A$6:$G$70,5,FALSE)</x:f>
        <x:v>评估方法</x:v>
      </x:c>
      <x:c r="H15" s="8" t="str">
        <x:v>6.2.1</x:v>
      </x:c>
      <x:c r="I15" s="10" t="str">
        <x:f>VLOOKUP(H15,'Taxonomy'!$A$6:$G$70,6,FALSE)</x:f>
        <x:v>评估目标与可观察证据</x:v>
      </x:c>
      <x:c r="J15" s="8" t="str">
        <x:v>答案、产物、状态与过程证据;工具、界面与应用执行;回滚、补偿与路径调整</x:v>
      </x:c>
      <x:c r="K15" s="8" t="str">
        <x:v>推理与决策;执行与状态管理;验证、恢复与重新规划</x:v>
      </x:c>
      <x:c r="L15" s="8" t="str">
        <x:v>3.3 多步骤级工作;2.3.5 验证、恢复与重新规划;6.1 基准与任务构造</x:v>
      </x:c>
      <x:c r="M15" s="8" t="str"/>
      <x:c r="N15" s="8" t="str">
        <x:v>Benchmark</x:v>
      </x:c>
      <x:c r="O15" s="11" t="str">
        <x:v>https://arxiv.org/abs/2309.10691</x:v>
      </x:c>
      <x:c r="P15" s="8" t="str">
        <x:v>在多轮任务中结合工具执行与自然语言反馈，测量代理利用反馈修正过程的能力。</x:v>
      </x:c>
      <x:c r="Q15" s="8" t="str">
        <x:v>说明代理会使用工具和语言反馈反复调整解题过程。</x:v>
      </x:c>
      <x:c r="R15" s="8" t="str">
        <x:v>多轮任务评价不能单独隔离所有规划、执行和恢复能力。</x:v>
      </x:c>
      <x:c r="S15" s="8" t="str">
        <x:v>补充</x:v>
      </x:c>
      <x:c r="T15" s="12" t="str">
        <x:v>未分配</x:v>
      </x:c>
      <x:c r="U15" s="12" t="str"/>
      <x:c r="V15" s="12" t="str"/>
      <x:c r="W15" s="12" t="str"/>
      <x:c r="X15" s="8" t="str">
        <x:v>verified</x:v>
      </x:c>
      <x:c r="Y15" s="11" t="str">
        <x:v>https://github.com/xingyaoww/mint-bench</x:v>
      </x:c>
      <x:c r="Z15" s="11" t="str">
        <x:v>https://github.com/xingyaoww/mint-bench/blob/main/docs/DATA.md</x:v>
      </x:c>
      <x:c r="AA15" s="11" t="str">
        <x:v>https://arxiv.org/pdf/2309.10691</x:v>
      </x:c>
      <x:c r="AB15" s="11" t="str">
        <x:v>https://arxiv.org/abs/2309.10691</x:v>
      </x:c>
      <x:c r="AC15" s="8" t="str">
        <x:v>L141</x:v>
      </x:c>
      <x:c r="AD15" s="8" t="str">
        <x:v>这些条目已出现在第二章或原第四章，但本轮没有重新核查原文。题名、年份与链接沿用现有文献库；不能把它们计作本轮新核实的证据。</x:v>
      </x:c>
      <x:c r="AE15" s="8" t="str">
        <x:v>第二章</x:v>
      </x:c>
      <x:c r="AF15" s="8" t="str">
        <x:v>用于“评估目标与可观察证据”：在多轮任务中结合工具执行与自然语言反馈，测量代理利用反馈修正过程的能力。</x:v>
      </x:c>
      <x:c r="AG15" s="8" t="str">
        <x:v>tool-enterprise</x:v>
      </x:c>
      <x:c r="AH15" s="8" t="str">
        <x:v>multi-turn tool and language feedback</x:v>
      </x:c>
      <x:c r="AI15" s="8" t="str">
        <x:v>14</x:v>
      </x:c>
      <x:c r="AJ15" s="8" t="str">
        <x:v>survey bibliography;2026-10-16 chapter 2 / former chapter 4 supplement</x:v>
      </x:c>
      <x:c r="AK15" s="13" t="d">
        <x:v>2026-10-16T00:00:00.000Z</x:v>
      </x:c>
      <x:c r="AL15" s="8" t="str">
        <x:v>来源为附件附录A既有引用索引；未把附件的未复核条目升级为本轮已读证据。原稿位置：第二章；引用键：mint。</x:v>
      </x:c>
      <x:c r="AM15" s="8" t="str">
        <x:v>3.3;4.5;6.1</x:v>
      </x:c>
    </x:row>
    <x:row r="16" ht="68" customHeight="1">
      <x:c r="A16" s="8" t="str">
        <x:v>WA-0015</x:v>
      </x:c>
      <x:c r="B16" s="8" t="str">
        <x:v>τ-bench</x:v>
      </x:c>
      <x:c r="C16" s="8" t="str">
        <x:v>τ-bench: A Benchmark for Tool-Agent-User Interaction in Real-World Domains</x:v>
      </x:c>
      <x:c r="D16" s="9" t="n">
        <x:v>2024</x:v>
      </x:c>
      <x:c r="E16" s="8" t="str">
        <x:v>Sierra</x:v>
      </x:c>
      <x:c r="F16" s="10" t="str">
        <x:f>VLOOKUP(H16,'Taxonomy'!$A$6:$G$70,3,FALSE)</x:f>
        <x:v>基础：定义、工作条件与核心能力</x:v>
      </x:c>
      <x:c r="G16" s="10" t="str">
        <x:f>VLOOKUP(H16,'Taxonomy'!$A$6:$G$70,5,FALSE)</x:f>
        <x:v>五项核心能力</x:v>
      </x:c>
      <x:c r="H16" s="8" t="str">
        <x:v>2.3.3</x:v>
      </x:c>
      <x:c r="I16" s="10" t="str">
        <x:f>VLOOKUP(H16,'Taxonomy'!$A$6:$G$70,6,FALSE)</x:f>
        <x:v>规划与协调</x:v>
      </x:c>
      <x:c r="J16" s="8" t="str">
        <x:v>分布信息、澄清与协调;委托、责任与权限;成功、部分进展与稳定性</x:v>
      </x:c>
      <x:c r="K16" s="8" t="str">
        <x:v>推理与决策;规划与协调;执行与状态管理</x:v>
      </x:c>
      <x:c r="L16" s="8" t="str">
        <x:v>3.4 工作流级工作;2.3.4 执行与状态管理;6.1 基准与任务构造;6.3.1 任务成功与成果质量</x:v>
      </x:c>
      <x:c r="M16" s="8" t="str"/>
      <x:c r="N16" s="8" t="str">
        <x:v>Benchmark</x:v>
      </x:c>
      <x:c r="O16" s="11" t="str">
        <x:v>https://arxiv.org/abs/2406.12045</x:v>
      </x:c>
      <x:c r="P16" s="8" t="str">
        <x:v>结合用户模拟器、领域工具和业务政策，通过终态数据库及重复试验指标评价任务完成与稳定性。</x:v>
      </x:c>
      <x:c r="Q16" s="8" t="str">
        <x:v>区分真实的工具—用户双重交互与纯工具循环；为政策约束和重复执行可靠性提供证据。</x:v>
      </x:c>
      <x:c r="R16" s="8" t="str">
        <x:v>终态数据库一致不自动证明全部对话行为合规；用户仍是模拟器。</x:v>
      </x:c>
      <x:c r="S16" s="8" t="str">
        <x:v>核心</x:v>
      </x:c>
      <x:c r="T16" s="12" t="str">
        <x:v>未分配</x:v>
      </x:c>
      <x:c r="U16" s="12" t="str"/>
      <x:c r="V16" s="12" t="str"/>
      <x:c r="W16" s="12" t="str"/>
      <x:c r="X16" s="8" t="str">
        <x:v>verified</x:v>
      </x:c>
      <x:c r="Y16" s="11" t="str">
        <x:v>https://github.com/sierra-research/tau-bench</x:v>
      </x:c>
      <x:c r="Z16" s="11" t="str"/>
      <x:c r="AA16" s="11" t="str">
        <x:v>https://arxiv.org/pdf/2406.12045</x:v>
      </x:c>
      <x:c r="AB16" s="11" t="str">
        <x:v>https://arxiv.org/abs/2406.12045</x:v>
      </x:c>
      <x:c r="AC16" s="8" t="str">
        <x:v>L060</x:v>
      </x:c>
      <x:c r="AD16" s="8" t="str">
        <x:v>第2／原第4章已引；官方摘要。</x:v>
      </x:c>
      <x:c r="AE16" s="8" t="str">
        <x:v>2.3协调；6用户互动与重复运行可靠性。</x:v>
      </x:c>
      <x:c r="AF16" s="8" t="str">
        <x:v>按补充清单 L060 的论证用途归入“规划与协调”：区分真实的工具—用户双重交互与纯工具循环；为政策约束和重复执行可靠性提供证据。</x:v>
      </x:c>
      <x:c r="AG16" s="8" t="str">
        <x:v>tool-enterprise</x:v>
      </x:c>
      <x:c r="AH16" s="8" t="str">
        <x:v>customer service tool-agent-user interaction</x:v>
      </x:c>
      <x:c r="AI16" s="8" t="str">
        <x:v>15</x:v>
      </x:c>
      <x:c r="AJ16" s="8" t="str">
        <x:v>survey bibliography;2026-10-16 chapter 2 / former chapter 4 supplement</x:v>
      </x:c>
      <x:c r="AK16" s="13" t="d">
        <x:v>2026-10-16T00:00:00.000Z</x:v>
      </x:c>
      <x:c r="AL16" s="8" t="str"/>
      <x:c r="AM16" s="8" t="str">
        <x:v>3.4;4.4;6.1</x:v>
      </x:c>
    </x:row>
    <x:row r="17" ht="68" customHeight="1">
      <x:c r="A17" s="8" t="str">
        <x:v>WA-0016</x:v>
      </x:c>
      <x:c r="B17" s="8" t="str">
        <x:v>τ²-Bench</x:v>
      </x:c>
      <x:c r="C17" s="8" t="str">
        <x:v>τ²-Bench: Evaluating Conversational Agents in a Dual-Control Environment</x:v>
      </x:c>
      <x:c r="D17" s="9" t="n">
        <x:v>2025</x:v>
      </x:c>
      <x:c r="E17" s="8" t="str">
        <x:v>Sierra; University of Toronto; Vector Institute</x:v>
      </x:c>
      <x:c r="F17" s="10" t="str">
        <x:f>VLOOKUP(H17,'Taxonomy'!$A$6:$G$70,3,FALSE)</x:f>
        <x:v>基础：定义、工作条件与核心能力</x:v>
      </x:c>
      <x:c r="G17" s="10" t="str">
        <x:f>VLOOKUP(H17,'Taxonomy'!$A$6:$G$70,5,FALSE)</x:f>
        <x:v>五项核心能力</x:v>
      </x:c>
      <x:c r="H17" s="8" t="str">
        <x:v>2.3.3</x:v>
      </x:c>
      <x:c r="I17" s="10" t="str">
        <x:f>VLOOKUP(H17,'Taxonomy'!$A$6:$G$70,6,FALSE)</x:f>
        <x:v>规划与协调</x:v>
      </x:c>
      <x:c r="J17" s="8" t="str">
        <x:v>分布信息、澄清与协调;开放与变化条件;委托、责任与权限</x:v>
      </x:c>
      <x:c r="K17" s="8" t="str">
        <x:v>规划与协调;执行与状态管理</x:v>
      </x:c>
      <x:c r="L17" s="8" t="str">
        <x:v>3.4 工作流级工作;2.2.2 工作开放性;6.1.2 领域覆盖与工作要求</x:v>
      </x:c>
      <x:c r="M17" s="8" t="str"/>
      <x:c r="N17" s="8" t="str">
        <x:v>Benchmark</x:v>
      </x:c>
      <x:c r="O17" s="11" t="str">
        <x:v>https://arxiv.org/abs/2506.07982</x:v>
      </x:c>
      <x:c r="P17" s="8" t="str">
        <x:v>在电信环境中让用户和智能体都能改变共享世界，评估沟通、推理和行动协调。</x:v>
      </x:c>
      <x:c r="Q17" s="8" t="str">
        <x:v>最适合解释协调为什么是一种工作能力：完成任务取决于引导他人实施其掌握的操作。</x:v>
      </x:c>
      <x:c r="R17" s="8" t="str">
        <x:v>领域和用户行为受到模拟器约束；不能据此声称覆盖任意人类组织协作。</x:v>
      </x:c>
      <x:c r="S17" s="8" t="str">
        <x:v>核心</x:v>
      </x:c>
      <x:c r="T17" s="12" t="str">
        <x:v>未分配</x:v>
      </x:c>
      <x:c r="U17" s="12" t="str"/>
      <x:c r="V17" s="12" t="str"/>
      <x:c r="W17" s="12" t="str"/>
      <x:c r="X17" s="8" t="str">
        <x:v>verified</x:v>
      </x:c>
      <x:c r="Y17" s="11" t="str">
        <x:v>https://github.com/sierra-research/tau2-bench</x:v>
      </x:c>
      <x:c r="Z17" s="11" t="str"/>
      <x:c r="AA17" s="11" t="str">
        <x:v>https://arxiv.org/pdf/2506.07982</x:v>
      </x:c>
      <x:c r="AB17" s="11" t="str">
        <x:v>https://arxiv.org/abs/2506.07982</x:v>
      </x:c>
      <x:c r="AC17" s="8" t="str">
        <x:v>L043</x:v>
      </x:c>
      <x:c r="AD17" s="8" t="str">
        <x:v>第2／原第4章已引；官方摘要。</x:v>
      </x:c>
      <x:c r="AE17" s="8" t="str">
        <x:v>2.3协调；6双主体控制评测；2.2 开放性/反馈；2.3 协调。</x:v>
      </x:c>
      <x:c r="AF17" s="8" t="str">
        <x:v>按补充清单 L043 的论证用途归入“规划与协调”：最适合解释协调为什么是一种工作能力：完成任务取决于引导他人实施其掌握的操作。</x:v>
      </x:c>
      <x:c r="AG17" s="8" t="str">
        <x:v>tool-enterprise</x:v>
      </x:c>
      <x:c r="AH17" s="8" t="str">
        <x:v>dual-control customer service</x:v>
      </x:c>
      <x:c r="AI17" s="8" t="str">
        <x:v>16</x:v>
      </x:c>
      <x:c r="AJ17" s="8" t="str">
        <x:v>survey bibliography;previous README;2026-10-16 chapter 2 / former chapter 4 supplement</x:v>
      </x:c>
      <x:c r="AK17" s="13" t="d">
        <x:v>2026-10-16T00:00:00.000Z</x:v>
      </x:c>
      <x:c r="AL17" s="8" t="str"/>
      <x:c r="AM17" s="8" t="str">
        <x:v>3.4;4.3;6.1</x:v>
      </x:c>
    </x:row>
    <x:row r="18" ht="68" customHeight="1">
      <x:c r="A18" s="8" t="str">
        <x:v>WA-0017</x:v>
      </x:c>
      <x:c r="B18" s="8" t="str">
        <x:v>METR time horizon</x:v>
      </x:c>
      <x:c r="C18" s="8" t="str">
        <x:v>Measuring AI Ability to Complete Long Software Tasks</x:v>
      </x:c>
      <x:c r="D18" s="9" t="n">
        <x:v>2025</x:v>
      </x:c>
      <x:c r="E18" s="8" t="str">
        <x:v>Model Evaluation and Threat Research (METR)</x:v>
      </x:c>
      <x:c r="F18" s="10" t="str">
        <x:f>VLOOKUP(H18,'Taxonomy'!$A$6:$G$70,3,FALSE)</x:f>
        <x:v>基础：定义、工作条件与核心能力</x:v>
      </x:c>
      <x:c r="G18" s="10" t="str">
        <x:f>VLOOKUP(H18,'Taxonomy'!$A$6:$G$70,5,FALSE)</x:f>
        <x:v>相关智能体范式</x:v>
      </x:c>
      <x:c r="H18" s="8" t="str">
        <x:v>2.4.1</x:v>
      </x:c>
      <x:c r="I18" s="10" t="str">
        <x:f>VLOOKUP(H18,'Taxonomy'!$A$6:$G$70,6,FALSE)</x:f>
        <x:v>长时程智能体</x:v>
      </x:c>
      <x:c r="J18" s="8" t="str">
        <x:v>范式与自主性边界;质量、时间成本与使用价值;成功、部分进展与稳定性</x:v>
      </x:c>
      <x:c r="K18" s="8" t="str">
        <x:v>规划与协调;执行与状态管理;验证、恢复与重新规划</x:v>
      </x:c>
      <x:c r="L18" s="8" t="str">
        <x:v>6.3.1 任务成功与成果质量</x:v>
      </x:c>
      <x:c r="M18" s="8" t="str"/>
      <x:c r="N18" s="8" t="str">
        <x:v>Benchmark</x:v>
      </x:c>
      <x:c r="O18" s="11" t="str">
        <x:v>https://arxiv.org/abs/2503.14499</x:v>
      </x:c>
      <x:c r="P18" s="8" t="str">
        <x:v>用人类完成任务所需时间标定 AI 软件任务的可完成时长与可靠性。</x:v>
      </x:c>
      <x:c r="Q18" s="8" t="str">
        <x:v>支持通过任务跨度理解长程能力，而非仅看token数。</x:v>
      </x:c>
      <x:c r="R18" s="8" t="str">
        <x:v>human time horizon不等于agent运行时长或跨周监控责任，不能替代本稿persistence定义。</x:v>
      </x:c>
      <x:c r="S18" s="8" t="str">
        <x:v>核心</x:v>
      </x:c>
      <x:c r="T18" s="12" t="str">
        <x:v>未分配</x:v>
      </x:c>
      <x:c r="U18" s="12" t="str"/>
      <x:c r="V18" s="12" t="str"/>
      <x:c r="W18" s="12" t="str"/>
      <x:c r="X18" s="8" t="str">
        <x:v>verified</x:v>
      </x:c>
      <x:c r="Y18" s="11" t="str"/>
      <x:c r="Z18" s="11" t="str"/>
      <x:c r="AA18" s="11" t="str">
        <x:v>https://arxiv.org/pdf/2503.14499</x:v>
      </x:c>
      <x:c r="AB18" s="11" t="str">
        <x:v>https://arxiv.org/abs/2503.14499</x:v>
      </x:c>
      <x:c r="AC18" s="8" t="str">
        <x:v>L031</x:v>
      </x:c>
      <x:c r="AD18" s="8" t="str">
        <x:v>第2／原第4章已引；官方摘要。</x:v>
      </x:c>
      <x:c r="AE18" s="8" t="str">
        <x:v>2.2 Work Persistence经验背景。</x:v>
      </x:c>
      <x:c r="AF18" s="8" t="str">
        <x:v>主要用于执行跨度和时间成本指标；长运行本身不证明跨任务持续责任，因此不沿用旧持久性归类。</x:v>
      </x:c>
      <x:c r="AG18" s="8" t="str">
        <x:v>persistent</x:v>
      </x:c>
      <x:c r="AH18" s="8" t="str">
        <x:v>human-calibrated software task horizon</x:v>
      </x:c>
      <x:c r="AI18" s="8" t="str">
        <x:v>17</x:v>
      </x:c>
      <x:c r="AJ18" s="8" t="str">
        <x:v>survey bibliography;2026-10-16 chapter 2 / former chapter 4 supplement</x:v>
      </x:c>
      <x:c r="AK18" s="13" t="d">
        <x:v>2026-10-16T00:00:00.000Z</x:v>
      </x:c>
      <x:c r="AL18" s="8" t="str">
        <x:v>单位按完成工作时的 METR 归属记录；首页注记中的后续任职不作为论文单位。</x:v>
      </x:c>
      <x:c r="AM18" s="8" t="str">
        <x:v>2.4;6.3;7.2</x:v>
      </x:c>
    </x:row>
    <x:row r="19" ht="68" customHeight="1">
      <x:c r="A19" s="8" t="str">
        <x:v>WA-0018</x:v>
      </x:c>
      <x:c r="B19" s="8" t="str">
        <x:v>RE-Bench</x:v>
      </x:c>
      <x:c r="C19" s="8" t="str">
        <x:v>RE-Bench: Evaluating frontier AI R&amp;D capabilities of language model agents against human experts</x:v>
      </x:c>
      <x:c r="D19" s="9" t="n">
        <x:v>2024</x:v>
      </x:c>
      <x:c r="E19" s="8" t="str">
        <x:v>Model Evaluation and Threat Research (METR)</x:v>
      </x:c>
      <x:c r="F19" s="10" t="str">
        <x:f>VLOOKUP(H19,'Taxonomy'!$A$6:$G$70,3,FALSE)</x:f>
        <x:v>评估与资源：如何检验工作完成</x:v>
      </x:c>
      <x:c r="G19" s="10" t="str">
        <x:f>VLOOKUP(H19,'Taxonomy'!$A$6:$G$70,5,FALSE)</x:f>
        <x:v>结果对齐指标</x:v>
      </x:c>
      <x:c r="H19" s="8" t="str">
        <x:v>6.3.1</x:v>
      </x:c>
      <x:c r="I19" s="10" t="str">
        <x:f>VLOOKUP(H19,'Taxonomy'!$A$6:$G$70,6,FALSE)</x:f>
        <x:v>任务成功与成果质量</x:v>
      </x:c>
      <x:c r="J19" s="8" t="str">
        <x:v>质量、时间成本与使用价值;成功、部分进展与稳定性;任务覆盖与泛化边界</x:v>
      </x:c>
      <x:c r="K19" s="8" t="str">
        <x:v>推理与决策;规划与协调;执行与状态管理</x:v>
      </x:c>
      <x:c r="L19" s="8" t="str">
        <x:v>2.4 相关智能体范式;6.1 基准与任务构造</x:v>
      </x:c>
      <x:c r="M19" s="8" t="str"/>
      <x:c r="N19" s="8" t="str">
        <x:v>Benchmark</x:v>
      </x:c>
      <x:c r="O19" s="11" t="str">
        <x:v>https://arxiv.org/abs/2411.15114</x:v>
      </x:c>
      <x:c r="P19" s="8" t="str">
        <x:v>在研究工程任务上比较agent与专家使用不同预算的进展。</x:v>
      </x:c>
      <x:c r="Q19" s="8" t="str">
        <x:v>支持质量、成本和时间联合讨论；长时间预算是否能转化为进展是关键。</x:v>
      </x:c>
      <x:c r="R19" s="8" t="str">
        <x:v>狭义AI研发，多次尝试预算和单条持续职责不同；不是企业ROI。</x:v>
      </x:c>
      <x:c r="S19" s="8" t="str">
        <x:v>补充</x:v>
      </x:c>
      <x:c r="T19" s="12" t="str">
        <x:v>未分配</x:v>
      </x:c>
      <x:c r="U19" s="12" t="str"/>
      <x:c r="V19" s="12" t="str"/>
      <x:c r="W19" s="12" t="str"/>
      <x:c r="X19" s="8" t="str">
        <x:v>verified</x:v>
      </x:c>
      <x:c r="Y19" s="11" t="str">
        <x:v>https://github.com/METR/ai-rd-tasks</x:v>
      </x:c>
      <x:c r="Z19" s="11" t="str"/>
      <x:c r="AA19" s="11" t="str">
        <x:v>https://arxiv.org/pdf/2411.15114</x:v>
      </x:c>
      <x:c r="AB19" s="11" t="str">
        <x:v>https://arxiv.org/abs/2411.15114</x:v>
      </x:c>
      <x:c r="AC19" s="8" t="str">
        <x:v>L093</x:v>
      </x:c>
      <x:c r="AD19" s="8" t="str">
        <x:v>第2／原第4章已引；官方摘要。</x:v>
      </x:c>
      <x:c r="AE19" s="8" t="str">
        <x:v>2.2 长任务；第六章预算。</x:v>
      </x:c>
      <x:c r="AF19" s="8" t="str">
        <x:v>按补充清单 L093 的论证用途归入“任务成功与成果质量”：支持质量、成本和时间联合讨论；长时间预算是否能转化为进展是关键。</x:v>
      </x:c>
      <x:c r="AG19" s="8" t="str">
        <x:v>swe-science</x:v>
      </x:c>
      <x:c r="AH19" s="8" t="str">
        <x:v>AI research engineering</x:v>
      </x:c>
      <x:c r="AI19" s="8" t="str">
        <x:v>18</x:v>
      </x:c>
      <x:c r="AJ19" s="8" t="str">
        <x:v>survey bibliography;2026-10-16 chapter 2 / former chapter 4 supplement</x:v>
      </x:c>
      <x:c r="AK19" s="13" t="d">
        <x:v>2026-10-16T00:00:00.000Z</x:v>
      </x:c>
      <x:c r="AL19" s="8" t="str">
        <x:v>仅列牵头机构 METR；作者注记还说明若干合作和工作时归属。</x:v>
      </x:c>
      <x:c r="AM19" s="8" t="str">
        <x:v>2.4;6.1;6.3</x:v>
      </x:c>
    </x:row>
    <x:row r="20" ht="68" customHeight="1">
      <x:c r="A20" s="8" t="str">
        <x:v>WA-0019</x:v>
      </x:c>
      <x:c r="B20" s="8" t="str">
        <x:v>Workspace-Bench</x:v>
      </x:c>
      <x:c r="C20" s="8" t="str">
        <x:v>Workspace-Bench 1.0: Benchmarking AI Agents on Workspace Tasks with Large-Scale File Dependencies</x:v>
      </x:c>
      <x:c r="D20" s="9" t="n">
        <x:v>2026</x:v>
      </x:c>
      <x:c r="E20" s="8" t="str">
        <x:v>Shanghai Jiao Tong University; ByteDance; Massachusetts Institute of Technology; Tsinghua University</x:v>
      </x:c>
      <x:c r="F20" s="10" t="str">
        <x:f>VLOOKUP(H20,'Taxonomy'!$A$6:$G$70,3,FALSE)</x:f>
        <x:v>基础：定义、工作条件与核心能力</x:v>
      </x:c>
      <x:c r="G20" s="10" t="str">
        <x:f>VLOOKUP(H20,'Taxonomy'!$A$6:$G$70,5,FALSE)</x:f>
        <x:v>五项核心能力</x:v>
      </x:c>
      <x:c r="H20" s="8" t="str">
        <x:v>2.3.1</x:v>
      </x:c>
      <x:c r="I20" s="10" t="str">
        <x:f>VLOOKUP(H20,'Taxonomy'!$A$6:$G$70,6,FALSE)</x:f>
        <x:v>感知与理解</x:v>
      </x:c>
      <x:c r="J20" s="8" t="str">
        <x:v>对象关系、来源与依赖;材料发现与证据定位;工作形态与验收组织</x:v>
      </x:c>
      <x:c r="K20" s="8" t="str">
        <x:v>感知与理解;推理与决策;规划与协调;执行与状态管理</x:v>
      </x:c>
      <x:c r="L20" s="8" t="str">
        <x:v>3.5 工作空间级工作;2.1.2 工作过程六要素;6.1.2 领域覆盖与工作要求</x:v>
      </x:c>
      <x:c r="M20" s="8" t="str"/>
      <x:c r="N20" s="8" t="str">
        <x:v>Benchmark</x:v>
      </x:c>
      <x:c r="O20" s="11" t="str">
        <x:v>https://arxiv.org/abs/2605.03596</x:v>
      </x:c>
      <x:c r="P20" s="8" t="str">
        <x:v>构建具有大规模异构文件及依赖图的工作区，评估跨文件理解与任务完成能力。</x:v>
      </x:c>
      <x:c r="Q20" s="8" t="str">
        <x:v>使“理解工作空间”具体化为发现来源、依赖和相关对象，避免只统计附件数。</x:v>
      </x:c>
      <x:c r="R20" s="8" t="str">
        <x:v>构建工作空间不等于完整组织流程；官方不同版本/Full与Lite要固定，不能混用数量。</x:v>
      </x:c>
      <x:c r="S20" s="8" t="str">
        <x:v>核心</x:v>
      </x:c>
      <x:c r="T20" s="12" t="str">
        <x:v>未分配</x:v>
      </x:c>
      <x:c r="U20" s="12" t="str"/>
      <x:c r="V20" s="12" t="str"/>
      <x:c r="W20" s="12" t="str"/>
      <x:c r="X20" s="8" t="str">
        <x:v>verified</x:v>
      </x:c>
      <x:c r="Y20" s="11" t="str">
        <x:v>https://github.com/OpenDataBox/Workspace-Bench</x:v>
      </x:c>
      <x:c r="Z20" s="11" t="str"/>
      <x:c r="AA20" s="11" t="str">
        <x:v>https://arxiv.org/pdf/2605.03596</x:v>
      </x:c>
      <x:c r="AB20" s="11" t="str">
        <x:v>https://arxiv.org/abs/2605.03596</x:v>
      </x:c>
      <x:c r="AC20" s="8" t="str">
        <x:v>L025;AIO-232</x:v>
      </x:c>
      <x:c r="AD20" s="8" t="str">
        <x:v>第2／原第4章已引；原文相关章节。</x:v>
      </x:c>
      <x:c r="AE20" s="8" t="str">
        <x:v>2.1 Workspace；2.3.1对象关系；原4.1材料表移交6；2.1工作空间；2.3对象关系；3工作空间形态；6文件依赖。</x:v>
      </x:c>
      <x:c r="AF20" s="8" t="str">
        <x:v>按补充清单 L025 的论证用途归入“感知与理解”：使“理解工作空间”具体化为发现来源、依赖和相关对象，避免只统计附件数。</x:v>
      </x:c>
      <x:c r="AG20" s="8" t="str">
        <x:v>workspace</x:v>
      </x:c>
      <x:c r="AH20" s="8" t="str">
        <x:v>large-scale file dependencies</x:v>
      </x:c>
      <x:c r="AI20" s="8" t="str">
        <x:v>19</x:v>
      </x:c>
      <x:c r="AJ20" s="8" t="str">
        <x:v>survey bibliography;2026-10-16 chapter 2 / former chapter 4 supplement;2026-10-16 AI Office survey bibliography</x:v>
      </x:c>
      <x:c r="AK20" s="13" t="d">
        <x:v>2026-10-16T00:00:00.000Z</x:v>
      </x:c>
      <x:c r="AL20" s="8" t="str"/>
      <x:c r="AM20" s="8" t="str">
        <x:v>3.5;4.1;6.1</x:v>
      </x:c>
    </x:row>
    <x:row r="21" ht="68" customHeight="1">
      <x:c r="A21" s="8" t="str">
        <x:v>WA-0020</x:v>
      </x:c>
      <x:c r="B21" s="8" t="str">
        <x:v>TheAgentCompany</x:v>
      </x:c>
      <x:c r="C21" s="8" t="str">
        <x:v>TheAgentCompany: Benchmarking LLM Agents on Consequential Real World Tasks</x:v>
      </x:c>
      <x:c r="D21" s="9" t="n">
        <x:v>2024</x:v>
      </x:c>
      <x:c r="E21" s="8" t="str">
        <x:v>Carnegie Mellon University; Duke University</x:v>
      </x:c>
      <x:c r="F21" s="10" t="str">
        <x:f>VLOOKUP(H21,'Taxonomy'!$A$6:$G$70,3,FALSE)</x:f>
        <x:v>基础：定义、工作条件与核心能力</x:v>
      </x:c>
      <x:c r="G21" s="10" t="str">
        <x:f>VLOOKUP(H21,'Taxonomy'!$A$6:$G$70,5,FALSE)</x:f>
        <x:v>五项核心能力</x:v>
      </x:c>
      <x:c r="H21" s="8" t="str">
        <x:v>2.3.3</x:v>
      </x:c>
      <x:c r="I21" s="10" t="str">
        <x:f>VLOOKUP(H21,'Taxonomy'!$A$6:$G$70,6,FALSE)</x:f>
        <x:v>规划与协调</x:v>
      </x:c>
      <x:c r="J21" s="8" t="str">
        <x:v>分布信息、澄清与协调;工具、界面与应用执行;开放与变化条件</x:v>
      </x:c>
      <x:c r="K21" s="8" t="str">
        <x:v>规划与协调;执行与状态管理</x:v>
      </x:c>
      <x:c r="L21" s="8" t="str">
        <x:v>3.4 工作流级工作;3.5 工作空间级工作;2.1.2 工作过程六要素;2.2.2 工作开放性;6.1.2 领域覆盖与工作要求</x:v>
      </x:c>
      <x:c r="M21" s="8" t="str"/>
      <x:c r="N21" s="8" t="str">
        <x:v>Benchmark</x:v>
      </x:c>
      <x:c r="O21" s="11" t="str">
        <x:v>https://arxiv.org/abs/2412.14161</x:v>
      </x:c>
      <x:c r="P21" s="8" t="str">
        <x:v>用公司内部网站、文件和同事交互构建真实职业任务，检验端到端数字工作表现。</x:v>
      </x:c>
      <x:c r="Q21" s="8" t="str">
        <x:v>能把协调落到信息获取、职责分工和跨工具工作，而不把协作简化成多模型讨论。</x:v>
      </x:c>
      <x:c r="R21" s="8" t="str">
        <x:v>公司规模与职业覆盖有限；同事和公司环境受实验设置约束，不能代表所有真实组织。</x:v>
      </x:c>
      <x:c r="S21" s="8" t="str">
        <x:v>核心</x:v>
      </x:c>
      <x:c r="T21" s="12" t="str">
        <x:v>未分配</x:v>
      </x:c>
      <x:c r="U21" s="12" t="str"/>
      <x:c r="V21" s="12" t="str"/>
      <x:c r="W21" s="12" t="str"/>
      <x:c r="X21" s="8" t="str">
        <x:v>verified</x:v>
      </x:c>
      <x:c r="Y21" s="11" t="str">
        <x:v>https://github.com/TheAgentCompany/TheAgentCompany</x:v>
      </x:c>
      <x:c r="Z21" s="11" t="str"/>
      <x:c r="AA21" s="11" t="str">
        <x:v>https://arxiv.org/pdf/2412.14161</x:v>
      </x:c>
      <x:c r="AB21" s="11" t="str">
        <x:v>https://arxiv.org/abs/2412.14161</x:v>
      </x:c>
      <x:c r="AC21" s="8" t="str">
        <x:v>L056;AIO-256</x:v>
      </x:c>
      <x:c r="AD21" s="8" t="str">
        <x:v>第2／原第4章已引；官方摘要。</x:v>
      </x:c>
      <x:c r="AE21" s="8" t="str">
        <x:v>2.3协调与执行；6仿真企业工作；2.1 Workspace；2.2 开放性。</x:v>
      </x:c>
      <x:c r="AF21" s="8" t="str">
        <x:v>按补充清单 L056 的论证用途归入“规划与协调”：能把协调落到信息获取、职责分工和跨工具工作，而不把协作简化成多模型讨论。</x:v>
      </x:c>
      <x:c r="AG21" s="8" t="str">
        <x:v>tool-enterprise</x:v>
      </x:c>
      <x:c r="AH21" s="8" t="str">
        <x:v>simulated company workflow</x:v>
      </x:c>
      <x:c r="AI21" s="8" t="str">
        <x:v>20</x:v>
      </x:c>
      <x:c r="AJ21" s="8" t="str">
        <x:v>survey bibliography;2026-10-16 chapter 2 / former chapter 4 supplement;2026-10-16 AI Office survey bibliography</x:v>
      </x:c>
      <x:c r="AK21" s="13" t="d">
        <x:v>2026-10-16T00:00:00.000Z</x:v>
      </x:c>
      <x:c r="AL21" s="8" t="str">
        <x:v>另有 Independent 作者；不将独立研究者计为机构。</x:v>
      </x:c>
      <x:c r="AM21" s="8" t="str">
        <x:v>3.4;3.5;6.1</x:v>
      </x:c>
    </x:row>
    <x:row r="22" ht="68" customHeight="1">
      <x:c r="A22" s="8" t="str">
        <x:v>WA-0021</x:v>
      </x:c>
      <x:c r="B22" s="8" t="str">
        <x:v>WorkArena++</x:v>
      </x:c>
      <x:c r="C22" s="8" t="str">
        <x:v>WorkArena++: Towards Compositional Planning and Reasoning-based Common Knowledge Work Tasks</x:v>
      </x:c>
      <x:c r="D22" s="9" t="n">
        <x:v>2024</x:v>
      </x:c>
      <x:c r="E22" s="8" t="str">
        <x:v>ServiceNow Research; Mila; Polytechnique Montréal; Chandar Research Lab</x:v>
      </x:c>
      <x:c r="F22" s="10" t="str">
        <x:f>VLOOKUP(H22,'Taxonomy'!$A$6:$G$70,3,FALSE)</x:f>
        <x:v>基础：定义、工作条件与核心能力</x:v>
      </x:c>
      <x:c r="G22" s="10" t="str">
        <x:f>VLOOKUP(H22,'Taxonomy'!$A$6:$G$70,5,FALSE)</x:f>
        <x:v>五项核心能力</x:v>
      </x:c>
      <x:c r="H22" s="8" t="str">
        <x:v>2.3.3</x:v>
      </x:c>
      <x:c r="I22" s="10" t="str">
        <x:f>VLOOKUP(H22,'Taxonomy'!$A$6:$G$70,6,FALSE)</x:f>
        <x:v>规划与协调</x:v>
      </x:c>
      <x:c r="J22" s="8" t="str">
        <x:v>任务分解与行动依赖;工作形态与验收组织;任务覆盖与泛化边界</x:v>
      </x:c>
      <x:c r="K22" s="8" t="str">
        <x:v>推理与决策;规划与协调;执行与状态管理</x:v>
      </x:c>
      <x:c r="L22" s="8" t="str">
        <x:v>3.4 工作流级工作;6.1.2 领域覆盖与工作要求</x:v>
      </x:c>
      <x:c r="M22" s="8" t="str"/>
      <x:c r="N22" s="8" t="str">
        <x:v>Benchmark</x:v>
      </x:c>
      <x:c r="O22" s="11" t="str">
        <x:v>https://arxiv.org/abs/2407.05291</x:v>
      </x:c>
      <x:c r="P22" s="8" t="str">
        <x:v>将企业网页操作组合为复杂知识工作流程，检验规划、推理与上下文理解。</x:v>
      </x:c>
      <x:c r="Q22" s="8" t="str">
        <x:v>支持“流程的关键是子任务依赖和业务组合，不只是操作次数多”；适合接续WorkArena。</x:v>
      </x:c>
      <x:c r="R22" s="8" t="str">
        <x:v>它的组合构造不证明本文五种形态具有严格包含关系；首发2024，后续修订年份不替代首发年份。</x:v>
      </x:c>
      <x:c r="S22" s="8" t="str">
        <x:v>核心</x:v>
      </x:c>
      <x:c r="T22" s="12" t="str">
        <x:v>未分配</x:v>
      </x:c>
      <x:c r="U22" s="12" t="str"/>
      <x:c r="V22" s="12" t="str"/>
      <x:c r="W22" s="12" t="str"/>
      <x:c r="X22" s="8" t="str">
        <x:v>verified</x:v>
      </x:c>
      <x:c r="Y22" s="11" t="str">
        <x:v>https://github.com/ServiceNow/WorkArena</x:v>
      </x:c>
      <x:c r="Z22" s="11" t="str"/>
      <x:c r="AA22" s="11" t="str">
        <x:v>https://arxiv.org/pdf/2407.05291</x:v>
      </x:c>
      <x:c r="AB22" s="11" t="str">
        <x:v>https://arxiv.org/abs/2407.05291</x:v>
      </x:c>
      <x:c r="AC22" s="8" t="str">
        <x:v>L058</x:v>
      </x:c>
      <x:c r="AD22" s="8" t="str">
        <x:v>第2／原第4章已引；官方项目。</x:v>
      </x:c>
      <x:c r="AE22" s="8" t="str">
        <x:v>2.3规划；3工作流；6组合任务评测。</x:v>
      </x:c>
      <x:c r="AF22" s="8" t="str">
        <x:v>按补充清单 L058 的论证用途归入“规划与协调”：支持“流程的关键是子任务依赖和业务组合，不只是操作次数多”；适合接续WorkArena。</x:v>
      </x:c>
      <x:c r="AG22" s="8" t="str">
        <x:v>computer-use</x:v>
      </x:c>
      <x:c r="AH22" s="8" t="str">
        <x:v>compositional enterprise web planning</x:v>
      </x:c>
      <x:c r="AI22" s="8" t="str">
        <x:v>21</x:v>
      </x:c>
      <x:c r="AJ22" s="8" t="str">
        <x:v>survey bibliography;2026-10-16 chapter 2 / former chapter 4 supplement</x:v>
      </x:c>
      <x:c r="AK22" s="13" t="d">
        <x:v>2026-10-16T00:00:00.000Z</x:v>
      </x:c>
      <x:c r="AL22" s="8" t="str"/>
      <x:c r="AM22" s="8" t="str">
        <x:v>3.4;4.3;6.1</x:v>
      </x:c>
    </x:row>
    <x:row r="23" ht="68" customHeight="1">
      <x:c r="A23" s="8" t="str">
        <x:v>WA-0022</x:v>
      </x:c>
      <x:c r="B23" s="8" t="str">
        <x:v>SpreadsheetLLM</x:v>
      </x:c>
      <x:c r="C23" s="8" t="str">
        <x:v>SpreadsheetLLM: Encoding Spreadsheets for Large Language Models</x:v>
      </x:c>
      <x:c r="D23" s="9" t="n">
        <x:v>2024</x:v>
      </x:c>
      <x:c r="E23" s="8" t="str">
        <x:v>Microsoft</x:v>
      </x:c>
      <x:c r="F23" s="10" t="str">
        <x:f>VLOOKUP(H23,'Taxonomy'!$A$6:$G$70,3,FALSE)</x:f>
        <x:v>基础：定义、工作条件与核心能力</x:v>
      </x:c>
      <x:c r="G23" s="10" t="str">
        <x:f>VLOOKUP(H23,'Taxonomy'!$A$6:$G$70,5,FALSE)</x:f>
        <x:v>五项核心能力</x:v>
      </x:c>
      <x:c r="H23" s="8" t="str">
        <x:v>2.3.1</x:v>
      </x:c>
      <x:c r="I23" s="10" t="str">
        <x:f>VLOOKUP(H23,'Taxonomy'!$A$6:$G$70,6,FALSE)</x:f>
        <x:v>感知与理解</x:v>
      </x:c>
      <x:c r="J23" s="8" t="str">
        <x:v>对象结构、模态与语义;接口与观测优化</x:v>
      </x:c>
      <x:c r="K23" s="8" t="str">
        <x:v>感知与理解;推理与决策</x:v>
      </x:c>
      <x:c r="L23" s="8" t="str">
        <x:v>5.3 运行框架优化</x:v>
      </x:c>
      <x:c r="M23" s="8" t="str"/>
      <x:c r="N23" s="8" t="str">
        <x:v>Method</x:v>
      </x:c>
      <x:c r="O23" s="11" t="str">
        <x:v>https://arxiv.org/abs/2407.09025</x:v>
      </x:c>
      <x:c r="P23" s="8" t="str">
        <x:v>编码单元格地址、值、格式并用结构锚点等压缩来保留工作簿信息。</x:v>
      </x:c>
      <x:c r="Q23" s="8" t="str">
        <x:v>为“对象语义超出文本”提供方法证据，说明扁平文本可能丢失位置/结构。</x:v>
      </x:c>
      <x:c r="R23" s="8" t="str">
        <x:v>主要支持理解与问答，不能直接作为原生编辑或执行可靠性的证据。</x:v>
      </x:c>
      <x:c r="S23" s="8" t="str">
        <x:v>补充</x:v>
      </x:c>
      <x:c r="T23" s="12" t="str">
        <x:v>未分配</x:v>
      </x:c>
      <x:c r="U23" s="12" t="str"/>
      <x:c r="V23" s="12" t="str"/>
      <x:c r="W23" s="12" t="str"/>
      <x:c r="X23" s="8" t="str">
        <x:v>verified</x:v>
      </x:c>
      <x:c r="Y23" s="11" t="str"/>
      <x:c r="Z23" s="11" t="str"/>
      <x:c r="AA23" s="11" t="str">
        <x:v>https://arxiv.org/pdf/2407.09025</x:v>
      </x:c>
      <x:c r="AB23" s="11" t="str">
        <x:v>https://arxiv.org/abs/2407.09025</x:v>
      </x:c>
      <x:c r="AC23" s="8" t="str">
        <x:v>L096</x:v>
      </x:c>
      <x:c r="AD23" s="8" t="str">
        <x:v>第2／原第4章已引；官方摘要。</x:v>
      </x:c>
      <x:c r="AE23" s="8" t="str">
        <x:v>2.3.1工作对象理解。</x:v>
      </x:c>
      <x:c r="AF23" s="8" t="str">
        <x:v>按补充清单 L096 的论证用途归入“感知与理解”：为“对象语义超出文本”提供方法证据，说明扁平文本可能丢失位置/结构。</x:v>
      </x:c>
      <x:c r="AG23" s="8" t="str">
        <x:v>related</x:v>
      </x:c>
      <x:c r="AH23" s="8" t="str">
        <x:v>spreadsheet representation and compression</x:v>
      </x:c>
      <x:c r="AI23" s="8" t="str">
        <x:v>22</x:v>
      </x:c>
      <x:c r="AJ23" s="8" t="str">
        <x:v>survey bibliography;2026-10-16 chapter 2 / former chapter 4 supplement</x:v>
      </x:c>
      <x:c r="AK23" s="13" t="d">
        <x:v>2026-10-16T00:00:00.000Z</x:v>
      </x:c>
      <x:c r="AL23" s="8" t="str"/>
      <x:c r="AM23" s="8" t="str">
        <x:v>4.1;5.3</x:v>
      </x:c>
    </x:row>
    <x:row r="24" ht="68" customHeight="1">
      <x:c r="A24" s="8" t="str">
        <x:v>WA-0023</x:v>
      </x:c>
      <x:c r="B24" s="8" t="str">
        <x:v>OmniDocBench</x:v>
      </x:c>
      <x:c r="C24" s="8" t="str">
        <x:v>OmniDocBench: Benchmarking Diverse PDF Document Parsing with Comprehensive Annotations</x:v>
      </x:c>
      <x:c r="D24" s="9" t="n">
        <x:v>2024</x:v>
      </x:c>
      <x:c r="E24" s="8" t="str">
        <x:v>Shanghai AI Laboratory; Abaka AI; 2077AI</x:v>
      </x:c>
      <x:c r="F24" s="10" t="str">
        <x:f>VLOOKUP(H24,'Taxonomy'!$A$6:$G$70,3,FALSE)</x:f>
        <x:v>基础：定义、工作条件与核心能力</x:v>
      </x:c>
      <x:c r="G24" s="10" t="str">
        <x:f>VLOOKUP(H24,'Taxonomy'!$A$6:$G$70,5,FALSE)</x:f>
        <x:v>五项核心能力</x:v>
      </x:c>
      <x:c r="H24" s="8" t="str">
        <x:v>2.3.1</x:v>
      </x:c>
      <x:c r="I24" s="10" t="str">
        <x:f>VLOOKUP(H24,'Taxonomy'!$A$6:$G$70,6,FALSE)</x:f>
        <x:v>感知与理解</x:v>
      </x:c>
      <x:c r="J24" s="8" t="str">
        <x:v>对象结构、模态与语义;答案、产物、状态与过程证据</x:v>
      </x:c>
      <x:c r="K24" s="8" t="str">
        <x:v>感知与理解</x:v>
      </x:c>
      <x:c r="L24" s="8" t="str">
        <x:v>6.1 基准与任务构造</x:v>
      </x:c>
      <x:c r="M24" s="8" t="str"/>
      <x:c r="N24" s="8" t="str">
        <x:v>Benchmark</x:v>
      </x:c>
      <x:c r="O24" s="11" t="str">
        <x:v>https://arxiv.org/abs/2412.07626</x:v>
      </x:c>
      <x:c r="P24" s="8" t="str">
        <x:v>通过多来源文档、细粒度版面标签与多层评估，系统检验 PDF 内容解析质量。</x:v>
      </x:c>
      <x:c r="Q24" s="8" t="str">
        <x:v>支撑解析阶段也会造成工作错误，不能把文字抽取当无损前处理。</x:v>
      </x:c>
      <x:c r="R24" s="8" t="str">
        <x:v>解析正确性不等于任务推理或职业成果质量；本单不把v1和后续版本统计混用。</x:v>
      </x:c>
      <x:c r="S24" s="8" t="str">
        <x:v>核心</x:v>
      </x:c>
      <x:c r="T24" s="12" t="str">
        <x:v>未分配</x:v>
      </x:c>
      <x:c r="U24" s="12" t="str"/>
      <x:c r="V24" s="12" t="str"/>
      <x:c r="W24" s="12" t="str"/>
      <x:c r="X24" s="8" t="str">
        <x:v>verified</x:v>
      </x:c>
      <x:c r="Y24" s="11" t="str">
        <x:v>https://github.com/opendatalab/OmniDocBench</x:v>
      </x:c>
      <x:c r="Z24" s="11" t="str"/>
      <x:c r="AA24" s="11" t="str">
        <x:v>https://arxiv.org/pdf/2412.07626</x:v>
      </x:c>
      <x:c r="AB24" s="11" t="str">
        <x:v>https://arxiv.org/abs/2412.07626</x:v>
      </x:c>
      <x:c r="AC24" s="8" t="str">
        <x:v>L052</x:v>
      </x:c>
      <x:c r="AD24" s="8" t="str">
        <x:v>第2／原第4章已引；官方摘要。</x:v>
      </x:c>
      <x:c r="AE24" s="8" t="str">
        <x:v>2.3.1原生对象解析；评估章感知证据。</x:v>
      </x:c>
      <x:c r="AF24" s="8" t="str">
        <x:v>按补充清单 L052 的论证用途归入“感知与理解”：支撑解析阶段也会造成工作错误，不能把文字抽取当无损前处理。</x:v>
      </x:c>
      <x:c r="AG24" s="8" t="str">
        <x:v>related</x:v>
      </x:c>
      <x:c r="AH24" s="8" t="str">
        <x:v>PDF document parsing</x:v>
      </x:c>
      <x:c r="AI24" s="8" t="str">
        <x:v>23</x:v>
      </x:c>
      <x:c r="AJ24" s="8" t="str">
        <x:v>survey bibliography;2026-10-16 chapter 2 / former chapter 4 supplement</x:v>
      </x:c>
      <x:c r="AK24" s="13" t="d">
        <x:v>2026-10-16T00:00:00.000Z</x:v>
      </x:c>
      <x:c r="AL24" s="8" t="str"/>
      <x:c r="AM24" s="8" t="str">
        <x:v>4.1;6.1</x:v>
      </x:c>
    </x:row>
    <x:row r="25" ht="82" customHeight="1">
      <x:c r="A25" s="8" t="str">
        <x:v>WA-0024</x:v>
      </x:c>
      <x:c r="B25" s="8" t="str">
        <x:v>MMLongBench-Doc</x:v>
      </x:c>
      <x:c r="C25" s="8" t="str">
        <x:v>MMLongBench-Doc: Benchmarking Long-context Document Understanding with Visualizations</x:v>
      </x:c>
      <x:c r="D25" s="9" t="n">
        <x:v>2024</x:v>
      </x:c>
      <x:c r="E25" s="8" t="str">
        <x:v>Nanyang Technological University; Shanghai AI Laboratory; Peking University; University of Illinois Urbana-Champaign; National University of Singapore; Wuhan University; Singapore Management University; University of Arizona; Fudan University</x:v>
      </x:c>
      <x:c r="F25" s="10" t="str">
        <x:f>VLOOKUP(H25,'Taxonomy'!$A$6:$G$70,3,FALSE)</x:f>
        <x:v>基础：定义、工作条件与核心能力</x:v>
      </x:c>
      <x:c r="G25" s="10" t="str">
        <x:f>VLOOKUP(H25,'Taxonomy'!$A$6:$G$70,5,FALSE)</x:f>
        <x:v>五项核心能力</x:v>
      </x:c>
      <x:c r="H25" s="8" t="str">
        <x:v>2.3.1</x:v>
      </x:c>
      <x:c r="I25" s="10" t="str">
        <x:f>VLOOKUP(H25,'Taxonomy'!$A$6:$G$70,6,FALSE)</x:f>
        <x:v>感知与理解</x:v>
      </x:c>
      <x:c r="J25" s="8" t="str">
        <x:v>对象结构、模态与语义;材料发现与证据定位;证据整合与推理</x:v>
      </x:c>
      <x:c r="K25" s="8" t="str">
        <x:v>感知与理解;推理与决策</x:v>
      </x:c>
      <x:c r="L25" s="8" t="str">
        <x:v>6.1 基准与任务构造</x:v>
      </x:c>
      <x:c r="M25" s="8" t="str"/>
      <x:c r="N25" s="8" t="str">
        <x:v>Benchmark</x:v>
      </x:c>
      <x:c r="O25" s="11" t="str">
        <x:v>https://arxiv.org/abs/2407.01523</x:v>
      </x:c>
      <x:c r="P25" s="8" t="str">
        <x:v>用跨页面、多模态证据与不可回答问题评估长文档理解和证据整合能力。</x:v>
      </x:c>
      <x:c r="Q25" s="8" t="str">
        <x:v>将“找到并理解证据”展开为多源、多位置整合，支持识别证据不足。</x:v>
      </x:c>
      <x:c r="R25" s="8" t="str">
        <x:v>长上下文问答不是长程工作执行；不能用页面数替代持续责任。</x:v>
      </x:c>
      <x:c r="S25" s="8" t="str">
        <x:v>核心</x:v>
      </x:c>
      <x:c r="T25" s="12" t="str">
        <x:v>未分配</x:v>
      </x:c>
      <x:c r="U25" s="12" t="str"/>
      <x:c r="V25" s="12" t="str"/>
      <x:c r="W25" s="12" t="str"/>
      <x:c r="X25" s="8" t="str">
        <x:v>verified</x:v>
      </x:c>
      <x:c r="Y25" s="11" t="str">
        <x:v>https://github.com/mayubo2333/MMLongBench-Doc</x:v>
      </x:c>
      <x:c r="Z25" s="11" t="str">
        <x:v>https://huggingface.co/datasets/yubo2333/MMLongBench-Doc</x:v>
      </x:c>
      <x:c r="AA25" s="11" t="str">
        <x:v>https://arxiv.org/pdf/2407.01523</x:v>
      </x:c>
      <x:c r="AB25" s="11" t="str">
        <x:v>https://arxiv.org/abs/2407.01523</x:v>
      </x:c>
      <x:c r="AC25" s="8" t="str">
        <x:v>L050;AIO-144</x:v>
      </x:c>
      <x:c r="AD25" s="8" t="str">
        <x:v>第2／原第4章已引；官方摘要。</x:v>
      </x:c>
      <x:c r="AE25" s="8" t="str">
        <x:v>2.3.1跨页理解；2.3.2证据判断。</x:v>
      </x:c>
      <x:c r="AF25" s="8" t="str">
        <x:v>按补充清单 L050 的论证用途归入“感知与理解”：将“找到并理解证据”展开为多源、多位置整合，支持识别证据不足。</x:v>
      </x:c>
      <x:c r="AG25" s="8" t="str">
        <x:v>related</x:v>
      </x:c>
      <x:c r="AH25" s="8" t="str">
        <x:v>long multimodal document understanding</x:v>
      </x:c>
      <x:c r="AI25" s="8" t="str">
        <x:v>24</x:v>
      </x:c>
      <x:c r="AJ25" s="8" t="str">
        <x:v>survey bibliography;2026-10-16 chapter 2 / former chapter 4 supplement;2026-10-16 AI Office survey bibliography</x:v>
      </x:c>
      <x:c r="AK25" s="13" t="d">
        <x:v>2026-10-16T00:00:00.000Z</x:v>
      </x:c>
      <x:c r="AL25" s="8" t="str"/>
      <x:c r="AM25" s="8" t="str">
        <x:v>4.1;6.1</x:v>
      </x:c>
    </x:row>
    <x:row r="26" ht="68" customHeight="1">
      <x:c r="A26" s="8" t="str">
        <x:v>WA-0025</x:v>
      </x:c>
      <x:c r="B26" s="8" t="str">
        <x:v>SpreadsheetBench</x:v>
      </x:c>
      <x:c r="C26" s="8" t="str">
        <x:v>SpreadsheetBench: Towards Challenging Real World Spreadsheet Manipulation</x:v>
      </x:c>
      <x:c r="D26" s="9" t="n">
        <x:v>2024</x:v>
      </x:c>
      <x:c r="E26" s="8" t="str">
        <x:v>Renmin University of China; Tsinghua University; Zhipu AI</x:v>
      </x:c>
      <x:c r="F26" s="10" t="str">
        <x:f>VLOOKUP(H26,'Taxonomy'!$A$6:$G$70,3,FALSE)</x:f>
        <x:v>基础：定义、工作条件与核心能力</x:v>
      </x:c>
      <x:c r="G26" s="10" t="str">
        <x:f>VLOOKUP(H26,'Taxonomy'!$A$6:$G$70,5,FALSE)</x:f>
        <x:v>五项核心能力</x:v>
      </x:c>
      <x:c r="H26" s="8" t="str">
        <x:v>2.3.4</x:v>
      </x:c>
      <x:c r="I26" s="10" t="str">
        <x:f>VLOOKUP(H26,'Taxonomy'!$A$6:$G$70,6,FALSE)</x:f>
        <x:v>执行与状态管理</x:v>
      </x:c>
      <x:c r="J26" s="8" t="str">
        <x:v>原生工件生成与编辑;对象结构、模态与语义;成果与实际状态核验</x:v>
      </x:c>
      <x:c r="K26" s="8" t="str">
        <x:v>推理与决策;执行与状态管理;验证、恢复与重新规划</x:v>
      </x:c>
      <x:c r="L26" s="8" t="str">
        <x:v>3.3 多步骤级工作;2.3.1 感知与理解;2.3.5 验证、恢复与重新规划;6.1.2 领域覆盖与工作要求</x:v>
      </x:c>
      <x:c r="M26" s="8" t="str"/>
      <x:c r="N26" s="8" t="str">
        <x:v>Benchmark</x:v>
      </x:c>
      <x:c r="O26" s="11" t="str">
        <x:v>https://arxiv.org/abs/2406.14991</x:v>
      </x:c>
      <x:c r="P26" s="8" t="str">
        <x:v>基于真实 Excel 论坛问题与复杂工作簿，用多个测试文件检验表格操作的正确性与稳健性。</x:v>
      </x:c>
      <x:c r="Q26" s="8" t="str">
        <x:v>支持验证的是操作的行为正确性，而非仅让一个静态结果看起来对。</x:v>
      </x:c>
      <x:c r="R26" s="8" t="str">
        <x:v>V1不等于V2；不能从多测试用例推成职业流程或全部图表/透视表覆盖。</x:v>
      </x:c>
      <x:c r="S26" s="8" t="str">
        <x:v>核心</x:v>
      </x:c>
      <x:c r="T26" s="12" t="str">
        <x:v>未分配</x:v>
      </x:c>
      <x:c r="U26" s="12" t="str"/>
      <x:c r="V26" s="12" t="str"/>
      <x:c r="W26" s="12" t="str"/>
      <x:c r="X26" s="8" t="str">
        <x:v>verified</x:v>
      </x:c>
      <x:c r="Y26" s="11" t="str">
        <x:v>https://github.com/RUCKBReasoning/SpreadsheetBench</x:v>
      </x:c>
      <x:c r="Z26" s="11" t="str">
        <x:v>https://huggingface.co/datasets/KAKA22/SpreadsheetBench</x:v>
      </x:c>
      <x:c r="AA26" s="11" t="str">
        <x:v>https://arxiv.org/pdf/2406.14991</x:v>
      </x:c>
      <x:c r="AB26" s="11" t="str">
        <x:v>https://arxiv.org/abs/2406.14991</x:v>
      </x:c>
      <x:c r="AC26" s="8" t="str">
        <x:v>L054;AIO-145</x:v>
      </x:c>
      <x:c r="AD26" s="8" t="str">
        <x:v>第2／原第4章已引；官方摘要。</x:v>
      </x:c>
      <x:c r="AE26" s="8" t="str">
        <x:v>2.3.1对象理解；2.3.4执行；2.3.5验证。</x:v>
      </x:c>
      <x:c r="AF26" s="8" t="str">
        <x:v>按补充清单 L054 的论证用途归入“执行与状态管理”：支持验证的是操作的行为正确性，而非仅让一个静态结果看起来对。</x:v>
      </x:c>
      <x:c r="AG26" s="8" t="str">
        <x:v>artifact</x:v>
      </x:c>
      <x:c r="AH26" s="8" t="str">
        <x:v>real-world spreadsheet manipulation</x:v>
      </x:c>
      <x:c r="AI26" s="8" t="str">
        <x:v>25</x:v>
      </x:c>
      <x:c r="AJ26" s="8" t="str">
        <x:v>survey bibliography;2026-10-16 chapter 2 / former chapter 4 supplement;2026-10-16 AI Office survey bibliography</x:v>
      </x:c>
      <x:c r="AK26" s="13" t="d">
        <x:v>2026-10-16T00:00:00.000Z</x:v>
      </x:c>
      <x:c r="AL26" s="8" t="str"/>
      <x:c r="AM26" s="8" t="str">
        <x:v>3.3;4.4;6.1</x:v>
      </x:c>
    </x:row>
    <x:row r="27" ht="68" customHeight="1">
      <x:c r="A27" s="8" t="str">
        <x:v>WA-0026</x:v>
      </x:c>
      <x:c r="B27" s="8" t="str">
        <x:v>PPTC</x:v>
      </x:c>
      <x:c r="C27" s="8" t="str">
        <x:v>PPTC Benchmark: Evaluating Large Language Models for PowerPoint Task Completion</x:v>
      </x:c>
      <x:c r="D27" s="9" t="n">
        <x:v>2023</x:v>
      </x:c>
      <x:c r="E27" s="8" t="str">
        <x:v>Peking University; Microsoft Research Asia</x:v>
      </x:c>
      <x:c r="F27" s="10" t="str">
        <x:f>VLOOKUP(H27,'Taxonomy'!$A$6:$G$70,3,FALSE)</x:f>
        <x:v>基础：定义、工作条件与核心能力</x:v>
      </x:c>
      <x:c r="G27" s="10" t="str">
        <x:f>VLOOKUP(H27,'Taxonomy'!$A$6:$G$70,5,FALSE)</x:f>
        <x:v>五项核心能力</x:v>
      </x:c>
      <x:c r="H27" s="8" t="str">
        <x:v>2.3.4</x:v>
      </x:c>
      <x:c r="I27" s="10" t="str">
        <x:f>VLOOKUP(H27,'Taxonomy'!$A$6:$G$70,6,FALSE)</x:f>
        <x:v>执行与状态管理</x:v>
      </x:c>
      <x:c r="J27" s="8" t="str">
        <x:v>原生工件生成与编辑;对象结构、模态与语义;成果与实际状态核验</x:v>
      </x:c>
      <x:c r="K27" s="8" t="str">
        <x:v>感知与理解;执行与状态管理</x:v>
      </x:c>
      <x:c r="L27" s="8" t="str">
        <x:v>3.3 多步骤级工作;6.1 基准与任务构造</x:v>
      </x:c>
      <x:c r="M27" s="8" t="str"/>
      <x:c r="N27" s="8" t="str">
        <x:v>Benchmark</x:v>
      </x:c>
      <x:c r="O27" s="11" t="str">
        <x:v>https://arxiv.org/abs/2311.01767</x:v>
      </x:c>
      <x:c r="P27" s="8" t="str">
        <x:v>在多轮指令下创建/编辑PPT，并根据最终文件而非唯一API序列检查完成情况。</x:v>
      </x:c>
      <x:c r="Q27" s="8" t="str">
        <x:v>支持多条执行路径可以得到同一合格成果，以及单步成功和整会话成功不同。</x:v>
      </x:c>
      <x:c r="R27" s="8" t="str">
        <x:v>不能把多轮指令等同必须自发检查纠错，也不等同完整文稿生成任务。</x:v>
      </x:c>
      <x:c r="S27" s="8" t="str">
        <x:v>核心</x:v>
      </x:c>
      <x:c r="T27" s="12" t="str">
        <x:v>未分配</x:v>
      </x:c>
      <x:c r="U27" s="12" t="str"/>
      <x:c r="V27" s="12" t="str"/>
      <x:c r="W27" s="12" t="str"/>
      <x:c r="X27" s="8" t="str">
        <x:v>verified</x:v>
      </x:c>
      <x:c r="Y27" s="11" t="str">
        <x:v>https://github.com/gydpku/PPTC</x:v>
      </x:c>
      <x:c r="Z27" s="11" t="str"/>
      <x:c r="AA27" s="11" t="str">
        <x:v>https://arxiv.org/pdf/2311.01767</x:v>
      </x:c>
      <x:c r="AB27" s="11" t="str">
        <x:v>https://arxiv.org/abs/2311.01767</x:v>
      </x:c>
      <x:c r="AC27" s="8" t="str">
        <x:v>L063;AIO-090</x:v>
      </x:c>
      <x:c r="AD27" s="8" t="str">
        <x:v>第2／原第4章已引；官方摘要。</x:v>
      </x:c>
      <x:c r="AE27" s="8" t="str">
        <x:v>2.3.4编辑；2.3.5原生结构验证。</x:v>
      </x:c>
      <x:c r="AF27" s="8" t="str">
        <x:v>按补充清单 L063 的论证用途归入“执行与状态管理”：支持多条执行路径可以得到同一合格成果，以及单步成功和整会话成功不同。</x:v>
      </x:c>
      <x:c r="AG27" s="8" t="str">
        <x:v>artifact</x:v>
      </x:c>
      <x:c r="AH27" s="8" t="str">
        <x:v>PowerPoint task completion</x:v>
      </x:c>
      <x:c r="AI27" s="8" t="str">
        <x:v>26</x:v>
      </x:c>
      <x:c r="AJ27" s="8" t="str">
        <x:v>survey bibliography;2026-10-16 chapter 2 / former chapter 4 supplement;2026-10-16 AI Office survey bibliography</x:v>
      </x:c>
      <x:c r="AK27" s="13" t="d">
        <x:v>2026-10-16T00:00:00.000Z</x:v>
      </x:c>
      <x:c r="AL27" s="8" t="str"/>
      <x:c r="AM27" s="8" t="str">
        <x:v>3.3;4.4;6.1</x:v>
      </x:c>
    </x:row>
    <x:row r="28" ht="68" customHeight="1">
      <x:c r="A28" s="8" t="str">
        <x:v>WA-0027</x:v>
      </x:c>
      <x:c r="B28" s="8" t="str">
        <x:v>PresentBench</x:v>
      </x:c>
      <x:c r="C28" s="8" t="str">
        <x:v>PresentBench: A Fine-Grained Rubric-Based Benchmark for Slide Generation</x:v>
      </x:c>
      <x:c r="D28" s="9" t="n">
        <x:v>2026</x:v>
      </x:c>
      <x:c r="E28" s="8" t="str">
        <x:v>Tsinghua University</x:v>
      </x:c>
      <x:c r="F28" s="10" t="str">
        <x:f>VLOOKUP(H28,'Taxonomy'!$A$6:$G$70,3,FALSE)</x:f>
        <x:v>基础：定义、工作条件与核心能力</x:v>
      </x:c>
      <x:c r="G28" s="10" t="str">
        <x:f>VLOOKUP(H28,'Taxonomy'!$A$6:$G$70,5,FALSE)</x:f>
        <x:v>五项核心能力</x:v>
      </x:c>
      <x:c r="H28" s="8" t="str">
        <x:v>2.3.5</x:v>
      </x:c>
      <x:c r="I28" s="10" t="str">
        <x:f>VLOOKUP(H28,'Taxonomy'!$A$6:$G$70,6,FALSE)</x:f>
        <x:v>验证、恢复与重新规划</x:v>
      </x:c>
      <x:c r="J28" s="8" t="str">
        <x:v>原生工件生成与编辑;标准、量规与裁判;答案、产物、状态与过程证据</x:v>
      </x:c>
      <x:c r="K28" s="8" t="str">
        <x:v>规划与协调;执行与状态管理;验证、恢复与重新规划</x:v>
      </x:c>
      <x:c r="L28" s="8" t="str">
        <x:v>3.3 多步骤级工作;6.2.2 评判程序</x:v>
      </x:c>
      <x:c r="M28" s="8" t="str"/>
      <x:c r="N28" s="8" t="str">
        <x:v>Benchmark</x:v>
      </x:c>
      <x:c r="O28" s="11" t="str">
        <x:v>https://arxiv.org/abs/2603.07244</x:v>
      </x:c>
      <x:c r="P28" s="8" t="str">
        <x:v>通过细粒度评分规则检查幻灯片生成的多方面要求和最终质量。</x:v>
      </x:c>
      <x:c r="Q28" s="8" t="str">
        <x:v>能说明为什么文件能打开仍不足以验收，以及检查标准需要连接具体任务。</x:v>
      </x:c>
      <x:c r="R28" s="8" t="str">
        <x:v>最终成果评价不规定必须采用某种多轮生成流程；接受PDF/PPTX不等于完全评价可编辑性。</x:v>
      </x:c>
      <x:c r="S28" s="8" t="str">
        <x:v>核心</x:v>
      </x:c>
      <x:c r="T28" s="12" t="str">
        <x:v>未分配</x:v>
      </x:c>
      <x:c r="U28" s="12" t="str"/>
      <x:c r="V28" s="12" t="str"/>
      <x:c r="W28" s="12" t="str"/>
      <x:c r="X28" s="8" t="str">
        <x:v>verified</x:v>
      </x:c>
      <x:c r="Y28" s="11" t="str">
        <x:v>https://github.com/PresentBench/PresentBench</x:v>
      </x:c>
      <x:c r="Z28" s="11" t="str">
        <x:v>https://huggingface.co/datasets/PresentBench/PresentBench</x:v>
      </x:c>
      <x:c r="AA28" s="11" t="str">
        <x:v>https://arxiv.org/pdf/2603.07244</x:v>
      </x:c>
      <x:c r="AB28" s="11" t="str">
        <x:v>https://arxiv.org/abs/2603.07244</x:v>
      </x:c>
      <x:c r="AC28" s="8" t="str">
        <x:v>L020</x:v>
      </x:c>
      <x:c r="AD28" s="8" t="str">
        <x:v>第2／原第4章已引；原文相关章节。</x:v>
      </x:c>
      <x:c r="AE28" s="8" t="str">
        <x:v>2.3.5成果检查；评估章输出与证据。</x:v>
      </x:c>
      <x:c r="AF28" s="8" t="str">
        <x:v>按补充清单 L020 的论证用途归入“验证、恢复与重新规划”：能说明为什么文件能打开仍不足以验收，以及检查标准需要连接具体任务。</x:v>
      </x:c>
      <x:c r="AG28" s="8" t="str">
        <x:v>artifact</x:v>
      </x:c>
      <x:c r="AH28" s="8" t="str">
        <x:v>rubric-based slide generation</x:v>
      </x:c>
      <x:c r="AI28" s="8" t="str">
        <x:v>27</x:v>
      </x:c>
      <x:c r="AJ28" s="8" t="str">
        <x:v>survey bibliography;2026-10-16 chapter 2 / former chapter 4 supplement</x:v>
      </x:c>
      <x:c r="AK28" s="13" t="d">
        <x:v>2026-10-16T00:00:00.000Z</x:v>
      </x:c>
      <x:c r="AL28" s="8" t="str"/>
      <x:c r="AM28" s="8" t="str">
        <x:v>3.3;4.5;6.2</x:v>
      </x:c>
    </x:row>
    <x:row r="29" ht="68" customHeight="1">
      <x:c r="A29" s="8" t="str">
        <x:v>WA-0028</x:v>
      </x:c>
      <x:c r="B29" s="8" t="str">
        <x:v>SWE-bench</x:v>
      </x:c>
      <x:c r="C29" s="8" t="str">
        <x:v>SWE-bench: Can Language Models Resolve Real-World GitHub Issues?</x:v>
      </x:c>
      <x:c r="D29" s="9" t="n">
        <x:v>2023</x:v>
      </x:c>
      <x:c r="E29" s="8" t="str">
        <x:v>Princeton University; University of Chicago</x:v>
      </x:c>
      <x:c r="F29" s="10" t="str">
        <x:f>VLOOKUP(H29,'Taxonomy'!$A$6:$G$70,3,FALSE)</x:f>
        <x:v>评估与资源：如何检验工作完成</x:v>
      </x:c>
      <x:c r="G29" s="10" t="str">
        <x:f>VLOOKUP(H29,'Taxonomy'!$A$6:$G$70,5,FALSE)</x:f>
        <x:v>基准与任务构造</x:v>
      </x:c>
      <x:c r="H29" s="8" t="str">
        <x:v>6.1.1</x:v>
      </x:c>
      <x:c r="I29" s="10" t="str">
        <x:f>VLOOKUP(H29,'Taxonomy'!$A$6:$G$70,6,FALSE)</x:f>
        <x:v>任务构造策略</x:v>
      </x:c>
      <x:c r="J29" s="8" t="str">
        <x:v>任务、环境与扰动构造;工具、界面与应用执行;成果与实际状态核验</x:v>
      </x:c>
      <x:c r="K29" s="8" t="str">
        <x:v>推理与决策;执行与状态管理;验证、恢复与重新规划</x:v>
      </x:c>
      <x:c r="L29" s="8" t="str">
        <x:v>3.3 多步骤级工作;2.3.4 执行与状态管理</x:v>
      </x:c>
      <x:c r="M29" s="8" t="str"/>
      <x:c r="N29" s="8" t="str">
        <x:v>Benchmark</x:v>
      </x:c>
      <x:c r="O29" s="11" t="str">
        <x:v>https://arxiv.org/abs/2310.06770</x:v>
      </x:c>
      <x:c r="P29" s="8" t="str">
        <x:v>以真实 GitHub issue 和仓库测试评估模型修复软件问题的能力。</x:v>
      </x:c>
      <x:c r="Q29" s="8" t="str">
        <x:v>以真实GitHub问题和可执行测试展示工作成果验收。</x:v>
      </x:c>
      <x:c r="R29" s="8" t="str">
        <x:v>不同SWE-bench版本不可混用；测试通过仍不穷尽软件质量。</x:v>
      </x:c>
      <x:c r="S29" s="8" t="str">
        <x:v>补充</x:v>
      </x:c>
      <x:c r="T29" s="12" t="str">
        <x:v>未分配</x:v>
      </x:c>
      <x:c r="U29" s="12" t="str"/>
      <x:c r="V29" s="12" t="str"/>
      <x:c r="W29" s="12" t="str"/>
      <x:c r="X29" s="8" t="str">
        <x:v>verified</x:v>
      </x:c>
      <x:c r="Y29" s="11" t="str"/>
      <x:c r="Z29" s="11" t="str"/>
      <x:c r="AA29" s="11" t="str">
        <x:v>https://arxiv.org/pdf/2310.06770</x:v>
      </x:c>
      <x:c r="AB29" s="11" t="str">
        <x:v>https://arxiv.org/abs/2310.06770</x:v>
      </x:c>
      <x:c r="AC29" s="8" t="str">
        <x:v>L144;AIO-109</x:v>
      </x:c>
      <x:c r="AD29" s="8" t="str">
        <x:v>这些条目已出现在第二章或原第四章，但本轮没有重新核查原文。题名、年份与链接沿用现有文献库；不能把它们计作本轮新核实的证据。</x:v>
      </x:c>
      <x:c r="AE29" s="8" t="str">
        <x:v>原第四章、第二章</x:v>
      </x:c>
      <x:c r="AF29" s="8" t="str">
        <x:v>用于“任务构造策略”：以真实 GitHub issue 和仓库测试评估模型修复软件问题的能力。</x:v>
      </x:c>
      <x:c r="AG29" s="8" t="str">
        <x:v>swe-science</x:v>
      </x:c>
      <x:c r="AH29" s="8" t="str">
        <x:v>repository issue resolution</x:v>
      </x:c>
      <x:c r="AI29" s="8" t="str">
        <x:v>28</x:v>
      </x:c>
      <x:c r="AJ29" s="8" t="str">
        <x:v>survey bibliography;2026-10-16 chapter 2 / former chapter 4 supplement;2026-10-16 AI Office survey bibliography</x:v>
      </x:c>
      <x:c r="AK29" s="13" t="d">
        <x:v>2026-10-16T00:00:00.000Z</x:v>
      </x:c>
      <x:c r="AL29" s="8" t="str">
        <x:v>来源为附件附录A既有引用索引；未把附件的未复核条目升级为本轮已读证据。原稿位置：原第四章、第二章；引用键：swebench。</x:v>
      </x:c>
      <x:c r="AM29" s="8" t="str">
        <x:v>3.3;4.4;6.1</x:v>
      </x:c>
    </x:row>
    <x:row r="30" ht="68" customHeight="1">
      <x:c r="A30" s="8" t="str">
        <x:v>WA-0029</x:v>
      </x:c>
      <x:c r="B30" s="8" t="str">
        <x:v>RepoBench</x:v>
      </x:c>
      <x:c r="C30" s="8" t="str">
        <x:v>RepoBench: Benchmarking Repository-Level Code Auto-Completion Systems</x:v>
      </x:c>
      <x:c r="D30" s="9" t="n">
        <x:v>2023</x:v>
      </x:c>
      <x:c r="E30" s="8" t="str">
        <x:v>University of California, San Diego</x:v>
      </x:c>
      <x:c r="F30" s="10" t="str">
        <x:f>VLOOKUP(H30,'Taxonomy'!$A$6:$G$70,3,FALSE)</x:f>
        <x:v>基础：定义、工作条件与核心能力</x:v>
      </x:c>
      <x:c r="G30" s="10" t="str">
        <x:f>VLOOKUP(H30,'Taxonomy'!$A$6:$G$70,5,FALSE)</x:f>
        <x:v>五项核心能力</x:v>
      </x:c>
      <x:c r="H30" s="8" t="str">
        <x:v>2.3.1</x:v>
      </x:c>
      <x:c r="I30" s="10" t="str">
        <x:f>VLOOKUP(H30,'Taxonomy'!$A$6:$G$70,6,FALSE)</x:f>
        <x:v>感知与理解</x:v>
      </x:c>
      <x:c r="J30" s="8" t="str">
        <x:v>材料发现与证据定位;对象关系、来源与依赖</x:v>
      </x:c>
      <x:c r="K30" s="8" t="str">
        <x:v>感知与理解;推理与决策</x:v>
      </x:c>
      <x:c r="L30" s="8" t="str">
        <x:v>6.1 基准与任务构造</x:v>
      </x:c>
      <x:c r="M30" s="8" t="str"/>
      <x:c r="N30" s="8" t="str">
        <x:v>Benchmark</x:v>
      </x:c>
      <x:c r="O30" s="11" t="str">
        <x:v>https://arxiv.org/abs/2306.03091</x:v>
      </x:c>
      <x:c r="P30" s="8" t="str">
        <x:v>将跨文件检索与代码补全联合评估，检验模型利用仓库上下文的能力。</x:v>
      </x:c>
      <x:c r="Q30" s="8" t="str">
        <x:v>补充仓库级跨文件上下文获取与代码补全的专业场景。</x:v>
      </x:c>
      <x:c r="R30" s="8" t="str">
        <x:v>补全与检索质量不等同于修改后软件行为正确。</x:v>
      </x:c>
      <x:c r="S30" s="8" t="str">
        <x:v>补充</x:v>
      </x:c>
      <x:c r="T30" s="12" t="str">
        <x:v>未分配</x:v>
      </x:c>
      <x:c r="U30" s="12" t="str"/>
      <x:c r="V30" s="12" t="str"/>
      <x:c r="W30" s="12" t="str"/>
      <x:c r="X30" s="8" t="str">
        <x:v>verified</x:v>
      </x:c>
      <x:c r="Y30" s="11" t="str">
        <x:v>https://github.com/Leolty/repobench</x:v>
      </x:c>
      <x:c r="Z30" s="11" t="str"/>
      <x:c r="AA30" s="11" t="str">
        <x:v>https://arxiv.org/pdf/2306.03091</x:v>
      </x:c>
      <x:c r="AB30" s="11" t="str">
        <x:v>https://arxiv.org/abs/2306.03091</x:v>
      </x:c>
      <x:c r="AC30" s="8" t="str">
        <x:v>L142</x:v>
      </x:c>
      <x:c r="AD30" s="8" t="str">
        <x:v>这些条目已出现在第二章或原第四章，但本轮没有重新核查原文。题名、年份与链接沿用现有文献库；不能把它们计作本轮新核实的证据。</x:v>
      </x:c>
      <x:c r="AE30" s="8" t="str">
        <x:v>原第四章、第二章</x:v>
      </x:c>
      <x:c r="AF30" s="8" t="str">
        <x:v>用于“感知与理解”：将跨文件检索与代码补全联合评估，检验模型利用仓库上下文的能力。</x:v>
      </x:c>
      <x:c r="AG30" s="8" t="str">
        <x:v>swe-science</x:v>
      </x:c>
      <x:c r="AH30" s="8" t="str">
        <x:v>repository-level code completion</x:v>
      </x:c>
      <x:c r="AI30" s="8" t="str">
        <x:v>29</x:v>
      </x:c>
      <x:c r="AJ30" s="8" t="str">
        <x:v>survey bibliography;2026-10-16 chapter 2 / former chapter 4 supplement</x:v>
      </x:c>
      <x:c r="AK30" s="13" t="d">
        <x:v>2026-10-16T00:00:00.000Z</x:v>
      </x:c>
      <x:c r="AL30" s="8" t="str">
        <x:v>来源为附件附录A既有引用索引；未把附件的未复核条目升级为本轮已读证据。原稿位置：原第四章、第二章；引用键：repobench。</x:v>
      </x:c>
      <x:c r="AM30" s="8" t="str">
        <x:v>4.1;6.1</x:v>
      </x:c>
    </x:row>
    <x:row r="31" ht="68" customHeight="1">
      <x:c r="A31" s="8" t="str">
        <x:v>WA-0030</x:v>
      </x:c>
      <x:c r="B31" s="8" t="str">
        <x:v>CRMArena-Pro</x:v>
      </x:c>
      <x:c r="C31" s="8" t="str">
        <x:v>CRMArena-Pro: Holistic Assessment of LLM Agents Across Diverse Business Scenarios and Interactions</x:v>
      </x:c>
      <x:c r="D31" s="9" t="n">
        <x:v>2025</x:v>
      </x:c>
      <x:c r="E31" s="8" t="str">
        <x:v>Salesforce AI Research</x:v>
      </x:c>
      <x:c r="F31" s="10" t="str">
        <x:f>VLOOKUP(H31,'Taxonomy'!$A$6:$G$70,3,FALSE)</x:f>
        <x:v>基础：定义、工作条件与核心能力</x:v>
      </x:c>
      <x:c r="G31" s="10" t="str">
        <x:f>VLOOKUP(H31,'Taxonomy'!$A$6:$G$70,5,FALSE)</x:f>
        <x:v>五项核心能力</x:v>
      </x:c>
      <x:c r="H31" s="8" t="str">
        <x:v>2.3.2</x:v>
      </x:c>
      <x:c r="I31" s="10" t="str">
        <x:f>VLOOKUP(H31,'Taxonomy'!$A$6:$G$70,6,FALSE)</x:f>
        <x:v>推理与决策</x:v>
      </x:c>
      <x:c r="J31" s="8" t="str">
        <x:v>职业知识与专业判断;分布信息、澄清与协调;委托、责任与权限</x:v>
      </x:c>
      <x:c r="K31" s="8" t="str">
        <x:v>推理与决策;规划与协调;执行与状态管理</x:v>
      </x:c>
      <x:c r="L31" s="8" t="str">
        <x:v>3.4 工作流级工作;2.3.3 规划与协调;6.1.2 领域覆盖与工作要求</x:v>
      </x:c>
      <x:c r="M31" s="8" t="str"/>
      <x:c r="N31" s="8" t="str">
        <x:v>Benchmark</x:v>
      </x:c>
      <x:c r="O31" s="11" t="str">
        <x:v>https://arxiv.org/abs/2505.18878</x:v>
      </x:c>
      <x:c r="P31" s="8" t="str">
        <x:v>销售、服务与报价任务加入多轮用户交互和保密要求。</x:v>
      </x:c>
      <x:c r="Q31" s="8" t="str">
        <x:v>说明领域知识包含业务实体、规则与可披露范围，直接限制可选动作。</x:v>
      </x:c>
      <x:c r="R31" s="8" t="str">
        <x:v>CRM不能代表全部企业；任务成功与保密应分别解释。</x:v>
      </x:c>
      <x:c r="S31" s="8" t="str">
        <x:v>补充</x:v>
      </x:c>
      <x:c r="T31" s="12" t="str">
        <x:v>未分配</x:v>
      </x:c>
      <x:c r="U31" s="12" t="str"/>
      <x:c r="V31" s="12" t="str"/>
      <x:c r="W31" s="12" t="str"/>
      <x:c r="X31" s="8" t="str">
        <x:v>verified</x:v>
      </x:c>
      <x:c r="Y31" s="11" t="str">
        <x:v>https://github.com/SalesforceAIResearch/CRMArena</x:v>
      </x:c>
      <x:c r="Z31" s="11" t="str">
        <x:v>https://huggingface.co/datasets/Salesforce/CRMArenaPro</x:v>
      </x:c>
      <x:c r="AA31" s="11" t="str">
        <x:v>https://arxiv.org/pdf/2505.18878</x:v>
      </x:c>
      <x:c r="AB31" s="11" t="str">
        <x:v>https://arxiv.org/abs/2505.18878</x:v>
      </x:c>
      <x:c r="AC31" s="8" t="str">
        <x:v>L075</x:v>
      </x:c>
      <x:c r="AD31" s="8" t="str">
        <x:v>第2／原第4章已引；官方摘要。</x:v>
      </x:c>
      <x:c r="AE31" s="8" t="str">
        <x:v>2.3 Domain Knowledge/协调/约束。</x:v>
      </x:c>
      <x:c r="AF31" s="8" t="str">
        <x:v>按补充清单 L075 的论证用途归入“推理与决策”：说明领域知识包含业务实体、规则与可披露范围，直接限制可选动作。</x:v>
      </x:c>
      <x:c r="AG31" s="8" t="str">
        <x:v>tool-enterprise</x:v>
      </x:c>
      <x:c r="AH31" s="8" t="str">
        <x:v>business CRM workflow</x:v>
      </x:c>
      <x:c r="AI31" s="8" t="str">
        <x:v>30</x:v>
      </x:c>
      <x:c r="AJ31" s="8" t="str">
        <x:v>survey bibliography;2026-10-16 chapter 2 / former chapter 4 supplement</x:v>
      </x:c>
      <x:c r="AK31" s="13" t="d">
        <x:v>2026-10-16T00:00:00.000Z</x:v>
      </x:c>
      <x:c r="AL31" s="8" t="str"/>
      <x:c r="AM31" s="8" t="str">
        <x:v>3.4;6.1</x:v>
      </x:c>
    </x:row>
    <x:row r="32" ht="68" customHeight="1">
      <x:c r="A32" s="8" t="str">
        <x:v>WA-0031</x:v>
      </x:c>
      <x:c r="B32" s="8" t="str">
        <x:v>MedAgentBench</x:v>
      </x:c>
      <x:c r="C32" s="8" t="str">
        <x:v>MedAgentBench: A Realistic Virtual EHR Environment to Benchmark Medical LLM Agents</x:v>
      </x:c>
      <x:c r="D32" s="9" t="n">
        <x:v>2025</x:v>
      </x:c>
      <x:c r="E32" s="8" t="str">
        <x:v>Stanford University</x:v>
      </x:c>
      <x:c r="F32" s="10" t="str">
        <x:f>VLOOKUP(H32,'Taxonomy'!$A$6:$G$70,3,FALSE)</x:f>
        <x:v>基础：定义、工作条件与核心能力</x:v>
      </x:c>
      <x:c r="G32" s="10" t="str">
        <x:f>VLOOKUP(H32,'Taxonomy'!$A$6:$G$70,5,FALSE)</x:f>
        <x:v>五项核心能力</x:v>
      </x:c>
      <x:c r="H32" s="8" t="str">
        <x:v>2.3.2</x:v>
      </x:c>
      <x:c r="I32" s="10" t="str">
        <x:f>VLOOKUP(H32,'Taxonomy'!$A$6:$G$70,6,FALSE)</x:f>
        <x:v>推理与决策</x:v>
      </x:c>
      <x:c r="J32" s="8" t="str">
        <x:v>职业知识与专业判断;当前状态与版本有效性;证据与规则约束下的决策</x:v>
      </x:c>
      <x:c r="K32" s="8" t="str">
        <x:v>推理与决策;执行与状态管理</x:v>
      </x:c>
      <x:c r="L32" s="8" t="str">
        <x:v>3.4 工作流级工作;2.3.4 执行与状态管理;6.1.2 领域覆盖与工作要求</x:v>
      </x:c>
      <x:c r="M32" s="8" t="str"/>
      <x:c r="N32" s="8" t="str">
        <x:v>Benchmark</x:v>
      </x:c>
      <x:c r="O32" s="11" t="str">
        <x:v>https://arxiv.org/abs/2501.14654</x:v>
      </x:c>
      <x:c r="P32" s="8" t="str">
        <x:v>医生构造患者特定任务，以FHIR接口访问交互式电子病历环境。</x:v>
      </x:c>
      <x:c r="Q32" s="8" t="str">
        <x:v>具体说明专业知识须结合当前患者状态，才能决定下一步操作。</x:v>
      </x:c>
      <x:c r="R32" s="8" t="str">
        <x:v>虚拟EHR和离线任务不是临床部署有效性或患者获益证据。</x:v>
      </x:c>
      <x:c r="S32" s="8" t="str">
        <x:v>核心</x:v>
      </x:c>
      <x:c r="T32" s="12" t="str">
        <x:v>未分配</x:v>
      </x:c>
      <x:c r="U32" s="12" t="str"/>
      <x:c r="V32" s="12" t="str"/>
      <x:c r="W32" s="12" t="str"/>
      <x:c r="X32" s="8" t="str">
        <x:v>verified</x:v>
      </x:c>
      <x:c r="Y32" s="11" t="str">
        <x:v>https://github.com/stanfordmlgroup/MedAgentBench</x:v>
      </x:c>
      <x:c r="Z32" s="11" t="str"/>
      <x:c r="AA32" s="11" t="str">
        <x:v>https://arxiv.org/pdf/2501.14654</x:v>
      </x:c>
      <x:c r="AB32" s="11" t="str">
        <x:v>https://arxiv.org/abs/2501.14654</x:v>
      </x:c>
      <x:c r="AC32" s="8" t="str">
        <x:v>L032</x:v>
      </x:c>
      <x:c r="AD32" s="8" t="str">
        <x:v>第2／原第4章已引；官方摘要。</x:v>
      </x:c>
      <x:c r="AE32" s="8" t="str">
        <x:v>2.3 专业判断；Workspace/State实例。</x:v>
      </x:c>
      <x:c r="AF32" s="8" t="str">
        <x:v>按补充清单 L032 的论证用途归入“推理与决策”：具体说明专业知识须结合当前患者状态，才能决定下一步操作。</x:v>
      </x:c>
      <x:c r="AG32" s="8" t="str">
        <x:v>tool-enterprise</x:v>
      </x:c>
      <x:c r="AH32" s="8" t="str">
        <x:v>electronic health record workflow</x:v>
      </x:c>
      <x:c r="AI32" s="8" t="str">
        <x:v>31</x:v>
      </x:c>
      <x:c r="AJ32" s="8" t="str">
        <x:v>survey bibliography;2026-10-16 chapter 2 / former chapter 4 supplement</x:v>
      </x:c>
      <x:c r="AK32" s="13" t="d">
        <x:v>2026-10-16T00:00:00.000Z</x:v>
      </x:c>
      <x:c r="AL32" s="8" t="str"/>
      <x:c r="AM32" s="8" t="str">
        <x:v>3.4;6.1</x:v>
      </x:c>
    </x:row>
    <x:row r="33" ht="68" customHeight="1">
      <x:c r="A33" s="8" t="str">
        <x:v>WA-0032</x:v>
      </x:c>
      <x:c r="B33" s="8" t="str">
        <x:v>CRMArena</x:v>
      </x:c>
      <x:c r="C33" s="8" t="str">
        <x:v>CRMArena: Understanding the Capacity of LLM Agents to Perform Professional CRM Tasks in Realistic Environments</x:v>
      </x:c>
      <x:c r="D33" s="9" t="n">
        <x:v>2024</x:v>
      </x:c>
      <x:c r="E33" s="8" t="str">
        <x:v>Salesforce AI Research</x:v>
      </x:c>
      <x:c r="F33" s="10" t="str">
        <x:f>VLOOKUP(H33,'Taxonomy'!$A$6:$G$70,3,FALSE)</x:f>
        <x:v>基础：定义、工作条件与核心能力</x:v>
      </x:c>
      <x:c r="G33" s="10" t="str">
        <x:f>VLOOKUP(H33,'Taxonomy'!$A$6:$G$70,5,FALSE)</x:f>
        <x:v>五项核心能力</x:v>
      </x:c>
      <x:c r="H33" s="8" t="str">
        <x:v>2.3.2</x:v>
      </x:c>
      <x:c r="I33" s="10" t="str">
        <x:f>VLOOKUP(H33,'Taxonomy'!$A$6:$G$70,6,FALSE)</x:f>
        <x:v>推理与决策</x:v>
      </x:c>
      <x:c r="J33" s="8" t="str">
        <x:v>职业知识与专业判断;证据与规则约束下的决策;工具、界面与应用执行</x:v>
      </x:c>
      <x:c r="K33" s="8" t="str">
        <x:v>推理与决策;执行与状态管理</x:v>
      </x:c>
      <x:c r="L33" s="8" t="str">
        <x:v>3.4 工作流级工作;6.1 基准与任务构造</x:v>
      </x:c>
      <x:c r="M33" s="8" t="str"/>
      <x:c r="N33" s="8" t="str">
        <x:v>Benchmark</x:v>
      </x:c>
      <x:c r="O33" s="11" t="str">
        <x:v>https://arxiv.org/abs/2411.02305</x:v>
      </x:c>
      <x:c r="P33" s="8" t="str">
        <x:v>以真实感 CRM 对象、数据和专业角色任务评估业务系统操作代理。</x:v>
      </x:c>
      <x:c r="Q33" s="8" t="str">
        <x:v>以业务实体与规则约束解释专业CRM任务的执行要求。</x:v>
      </x:c>
      <x:c r="R33" s="8" t="str">
        <x:v>CRM场景有限；能力、权限、隐私与最终状态需分别讨论。</x:v>
      </x:c>
      <x:c r="S33" s="8" t="str">
        <x:v>补充</x:v>
      </x:c>
      <x:c r="T33" s="12" t="str">
        <x:v>未分配</x:v>
      </x:c>
      <x:c r="U33" s="12" t="str"/>
      <x:c r="V33" s="12" t="str"/>
      <x:c r="W33" s="12" t="str"/>
      <x:c r="X33" s="8" t="str">
        <x:v>verified</x:v>
      </x:c>
      <x:c r="Y33" s="11" t="str">
        <x:v>https://github.com/SalesforceAIResearch/CRMArena</x:v>
      </x:c>
      <x:c r="Z33" s="11" t="str"/>
      <x:c r="AA33" s="11" t="str">
        <x:v>https://arxiv.org/pdf/2411.02305</x:v>
      </x:c>
      <x:c r="AB33" s="11" t="str">
        <x:v>https://arxiv.org/abs/2411.02305</x:v>
      </x:c>
      <x:c r="AC33" s="8" t="str">
        <x:v>L126</x:v>
      </x:c>
      <x:c r="AD33" s="8" t="str">
        <x:v>这些条目已出现在第二章或原第四章，但本轮没有重新核查原文。题名、年份与链接沿用现有文献库；不能把它们计作本轮新核实的证据。</x:v>
      </x:c>
      <x:c r="AE33" s="8" t="str">
        <x:v>原第四章、第二章</x:v>
      </x:c>
      <x:c r="AF33" s="8" t="str">
        <x:v>用于“推理与决策”：以真实感 CRM 对象、数据和专业角色任务评估业务系统操作代理。</x:v>
      </x:c>
      <x:c r="AG33" s="8" t="str">
        <x:v>tool-enterprise</x:v>
      </x:c>
      <x:c r="AH33" s="8" t="str">
        <x:v>professional CRM operations</x:v>
      </x:c>
      <x:c r="AI33" s="8" t="str">
        <x:v>32</x:v>
      </x:c>
      <x:c r="AJ33" s="8" t="str">
        <x:v>survey bibliography;2026-10-16 chapter 2 / former chapter 4 supplement</x:v>
      </x:c>
      <x:c r="AK33" s="13" t="d">
        <x:v>2026-10-16T00:00:00.000Z</x:v>
      </x:c>
      <x:c r="AL33" s="8" t="str">
        <x:v>来源为附件附录A既有引用索引；未把附件的未复核条目升级为本轮已读证据。原稿位置：原第四章、第二章；引用键：crmarena。</x:v>
      </x:c>
      <x:c r="AM33" s="8" t="str">
        <x:v>3.4;6.1</x:v>
      </x:c>
    </x:row>
    <x:row r="34" ht="68" customHeight="1">
      <x:c r="A34" s="8" t="str">
        <x:v>WA-0033</x:v>
      </x:c>
      <x:c r="B34" s="8" t="str">
        <x:v>SheetAgent</x:v>
      </x:c>
      <x:c r="C34" s="8" t="str">
        <x:v>SheetAgent: Towards A Generalist Agent for Spreadsheet Reasoning and Manipulation via Large Language Models</x:v>
      </x:c>
      <x:c r="D34" s="9" t="n">
        <x:v>2024</x:v>
      </x:c>
      <x:c r="E34" s="8" t="str">
        <x:v>Tianjin University</x:v>
      </x:c>
      <x:c r="F34" s="10" t="str">
        <x:f>VLOOKUP(H34,'Taxonomy'!$A$6:$G$70,3,FALSE)</x:f>
        <x:v>基础：定义、工作条件与核心能力</x:v>
      </x:c>
      <x:c r="G34" s="10" t="str">
        <x:f>VLOOKUP(H34,'Taxonomy'!$A$6:$G$70,5,FALSE)</x:f>
        <x:v>五项核心能力</x:v>
      </x:c>
      <x:c r="H34" s="8" t="str">
        <x:v>2.3.2</x:v>
      </x:c>
      <x:c r="I34" s="10" t="str">
        <x:f>VLOOKUP(H34,'Taxonomy'!$A$6:$G$70,6,FALSE)</x:f>
        <x:v>推理与决策</x:v>
      </x:c>
      <x:c r="J34" s="8" t="str">
        <x:v>证据与规则约束下的决策;证据整合与推理;原生工件生成与编辑</x:v>
      </x:c>
      <x:c r="K34" s="8" t="str">
        <x:v>推理与决策;规划与协调;执行与状态管理;验证、恢复与重新规划</x:v>
      </x:c>
      <x:c r="L34" s="8" t="str">
        <x:v>2.3.4 执行与状态管理;5.3 运行框架优化</x:v>
      </x:c>
      <x:c r="M34" s="8" t="str"/>
      <x:c r="N34" s="8" t="str">
        <x:v>Method</x:v>
      </x:c>
      <x:c r="O34" s="11" t="str">
        <x:v>https://arxiv.org/abs/2403.03636</x:v>
      </x:c>
      <x:c r="P34" s="8" t="str">
        <x:v>SheetRM与SheetAgent联结推理及表格操作，用规划、信息获取与检索模块迭代完成任务。</x:v>
      </x:c>
      <x:c r="Q34" s="8" t="str">
        <x:v>能够具体说明为什么工作决策依赖中间表格观察，而非一次性生成计划。</x:v>
      </x:c>
      <x:c r="R34" s="8" t="str">
        <x:v>2024预印本，WWW2025；SheetRM为该论文基准名，不应误称其本身是奖励模型。</x:v>
      </x:c>
      <x:c r="S34" s="8" t="str">
        <x:v>补充</x:v>
      </x:c>
      <x:c r="T34" s="12" t="str">
        <x:v>未分配</x:v>
      </x:c>
      <x:c r="U34" s="12" t="str"/>
      <x:c r="V34" s="12" t="str"/>
      <x:c r="W34" s="12" t="str"/>
      <x:c r="X34" s="8" t="str">
        <x:v>verified</x:v>
      </x:c>
      <x:c r="Y34" s="11" t="str"/>
      <x:c r="Z34" s="11" t="str"/>
      <x:c r="AA34" s="11" t="str">
        <x:v>https://arxiv.org/pdf/2403.03636</x:v>
      </x:c>
      <x:c r="AB34" s="11" t="str">
        <x:v>https://arxiv.org/abs/2403.03636</x:v>
      </x:c>
      <x:c r="AC34" s="8" t="str">
        <x:v>L095;AIO-047</x:v>
      </x:c>
      <x:c r="AD34" s="8" t="str">
        <x:v>第2／原第4章已引；官方摘要。</x:v>
      </x:c>
      <x:c r="AE34" s="8" t="str">
        <x:v>2.3.2执行中决策；2.3.3规划。</x:v>
      </x:c>
      <x:c r="AF34" s="8" t="str">
        <x:v>按补充清单 L095 的论证用途归入“推理与决策”：能够具体说明为什么工作决策依赖中间表格观察，而非一次性生成计划。</x:v>
      </x:c>
      <x:c r="AG34" s="8" t="str">
        <x:v>artifact</x:v>
      </x:c>
      <x:c r="AH34" s="8" t="str">
        <x:v>spreadsheet reasoning and manipulation</x:v>
      </x:c>
      <x:c r="AI34" s="8" t="str">
        <x:v>33</x:v>
      </x:c>
      <x:c r="AJ34" s="8" t="str">
        <x:v>survey bibliography;2026-10-16 chapter 2 / former chapter 4 supplement;2026-10-16 AI Office survey bibliography</x:v>
      </x:c>
      <x:c r="AK34" s="13" t="d">
        <x:v>2026-10-16T00:00:00.000Z</x:v>
      </x:c>
      <x:c r="AL34" s="8" t="str">
        <x:v>PDF 参考文献写作 2025；首次 arXiv 提交为 2024-03-06，年份统一为首次预印本年。另有独立研究者。  附件版本说明：现bib chen2025sheetagentgeneralistagentspreadsheet 年份为2025，本条所列版本年份为2024；先区分首发与正式出版，不能直接判定旧年份错误。</x:v>
      </x:c>
      <x:c r="AM34" s="8" t="str">
        <x:v>4.2;4.4;5.3</x:v>
      </x:c>
    </x:row>
    <x:row r="35" ht="68" customHeight="1">
      <x:c r="A35" s="8" t="str">
        <x:v>WA-0034</x:v>
      </x:c>
      <x:c r="B35" s="8" t="str">
        <x:v>PlanBench</x:v>
      </x:c>
      <x:c r="C35" s="8" t="str">
        <x:v>PlanBench: An Extensible Benchmark for Evaluating Large Language Models on Planning and Reasoning about Change</x:v>
      </x:c>
      <x:c r="D35" s="9" t="n">
        <x:v>2022</x:v>
      </x:c>
      <x:c r="E35" s="8" t="str">
        <x:v>Arizona State University; Colorado State University</x:v>
      </x:c>
      <x:c r="F35" s="10" t="str">
        <x:f>VLOOKUP(H35,'Taxonomy'!$A$6:$G$70,3,FALSE)</x:f>
        <x:v>基础：定义、工作条件与核心能力</x:v>
      </x:c>
      <x:c r="G35" s="10" t="str">
        <x:f>VLOOKUP(H35,'Taxonomy'!$A$6:$G$70,5,FALSE)</x:f>
        <x:v>五项核心能力</x:v>
      </x:c>
      <x:c r="H35" s="8" t="str">
        <x:v>2.3.3</x:v>
      </x:c>
      <x:c r="I35" s="10" t="str">
        <x:f>VLOOKUP(H35,'Taxonomy'!$A$6:$G$70,6,FALSE)</x:f>
        <x:v>规划与协调</x:v>
      </x:c>
      <x:c r="J35" s="8" t="str">
        <x:v>任务分解与行动依赖;答案、产物、状态与过程证据</x:v>
      </x:c>
      <x:c r="K35" s="8" t="str">
        <x:v>推理与决策;规划与协调</x:v>
      </x:c>
      <x:c r="L35" s="8" t="str">
        <x:v>6.1 基准与任务构造</x:v>
      </x:c>
      <x:c r="M35" s="8" t="str"/>
      <x:c r="N35" s="8" t="str">
        <x:v>Benchmark;Background</x:v>
      </x:c>
      <x:c r="O35" s="11" t="str">
        <x:v>https://arxiv.org/abs/2206.10498</x:v>
      </x:c>
      <x:c r="P35" s="8" t="str">
        <x:v>利用可扩展规划任务及扰动设定检验 LLM 的计划生成与状态变化推理。</x:v>
      </x:c>
      <x:c r="Q35" s="8" t="str">
        <x:v>为规划与状态变化推理提供可控评测背景。</x:v>
      </x:c>
      <x:c r="R35" s="8" t="str">
        <x:v>抽象规划任务不是职业工作执行或真实系统状态变更。</x:v>
      </x:c>
      <x:c r="S35" s="8" t="str">
        <x:v>补充</x:v>
      </x:c>
      <x:c r="T35" s="12" t="str">
        <x:v>未分配</x:v>
      </x:c>
      <x:c r="U35" s="12" t="str"/>
      <x:c r="V35" s="12" t="str"/>
      <x:c r="W35" s="12" t="str"/>
      <x:c r="X35" s="8" t="str">
        <x:v>verified</x:v>
      </x:c>
      <x:c r="Y35" s="11" t="str">
        <x:v>https://github.com/karthikv792/LLMs-Planning</x:v>
      </x:c>
      <x:c r="Z35" s="11" t="str"/>
      <x:c r="AA35" s="11" t="str">
        <x:v>https://arxiv.org/pdf/2206.10498</x:v>
      </x:c>
      <x:c r="AB35" s="11" t="str">
        <x:v>https://arxiv.org/abs/2206.10498</x:v>
      </x:c>
      <x:c r="AC35" s="8" t="str">
        <x:v>L147</x:v>
      </x:c>
      <x:c r="AD35" s="8" t="str">
        <x:v>这些条目已出现在第二章或原第四章，但本轮没有重新核查原文。题名、年份与链接沿用现有文献库；不能把它们计作本轮新核实的证据。</x:v>
      </x:c>
      <x:c r="AE35" s="8" t="str">
        <x:v>原第四章、第二章</x:v>
      </x:c>
      <x:c r="AF35" s="8" t="str">
        <x:v>用于“规划与协调”：利用可扩展规划任务及扰动设定检验 LLM 的计划生成与状态变化推理。</x:v>
      </x:c>
      <x:c r="AG35" s="8" t="str">
        <x:v>related</x:v>
      </x:c>
      <x:c r="AH35" s="8" t="str">
        <x:v>formal planning</x:v>
      </x:c>
      <x:c r="AI35" s="8" t="str">
        <x:v>34</x:v>
      </x:c>
      <x:c r="AJ35" s="8" t="str">
        <x:v>survey bibliography;2026-10-16 chapter 2 / former chapter 4 supplement</x:v>
      </x:c>
      <x:c r="AK35" s="13" t="d">
        <x:v>2026-10-16T00:00:00.000Z</x:v>
      </x:c>
      <x:c r="AL35" s="8" t="str">
        <x:v>来源为附件附录A既有引用索引；未把附件的未复核条目升级为本轮已读证据。原稿位置：原第四章、第二章；引用键：planbench。</x:v>
      </x:c>
      <x:c r="AM35" s="8" t="str">
        <x:v>4.3;6.1</x:v>
      </x:c>
    </x:row>
    <x:row r="36" ht="68" customHeight="1">
      <x:c r="A36" s="8" t="str">
        <x:v>WA-0035</x:v>
      </x:c>
      <x:c r="B36" s="8" t="str">
        <x:v>TravelPlanner</x:v>
      </x:c>
      <x:c r="C36" s="8" t="str">
        <x:v>TravelPlanner: A Benchmark for Real-World Planning with Language Agents</x:v>
      </x:c>
      <x:c r="D36" s="9" t="n">
        <x:v>2024</x:v>
      </x:c>
      <x:c r="E36" s="8" t="str">
        <x:v>Fudan University; Ohio State University; Pennsylvania State University; Meta AI</x:v>
      </x:c>
      <x:c r="F36" s="10" t="str">
        <x:f>VLOOKUP(H36,'Taxonomy'!$A$6:$G$70,3,FALSE)</x:f>
        <x:v>基础：定义、工作条件与核心能力</x:v>
      </x:c>
      <x:c r="G36" s="10" t="str">
        <x:f>VLOOKUP(H36,'Taxonomy'!$A$6:$G$70,5,FALSE)</x:f>
        <x:v>五项核心能力</x:v>
      </x:c>
      <x:c r="H36" s="8" t="str">
        <x:v>2.3.3</x:v>
      </x:c>
      <x:c r="I36" s="10" t="str">
        <x:f>VLOOKUP(H36,'Taxonomy'!$A$6:$G$70,6,FALSE)</x:f>
        <x:v>规划与协调</x:v>
      </x:c>
      <x:c r="J36" s="8" t="str">
        <x:v>任务分解与行动依赖;证据与规则约束下的决策</x:v>
      </x:c>
      <x:c r="K36" s="8" t="str">
        <x:v>推理与决策;规划与协调;执行与状态管理</x:v>
      </x:c>
      <x:c r="L36" s="8" t="str">
        <x:v>3.4 工作流级工作;6.1 基准与任务构造</x:v>
      </x:c>
      <x:c r="M36" s="8" t="str"/>
      <x:c r="N36" s="8" t="str">
        <x:v>Benchmark</x:v>
      </x:c>
      <x:c r="O36" s="11" t="str">
        <x:v>https://arxiv.org/abs/2402.01622</x:v>
      </x:c>
      <x:c r="P36" s="8" t="str">
        <x:v>在工具支持的旅行环境中检查多日行程能否同时满足预算、偏好等全局约束。</x:v>
      </x:c>
      <x:c r="Q36" s="8" t="str">
        <x:v>说明计划同时满足预算、偏好和工具约束的需求。</x:v>
      </x:c>
      <x:c r="R36" s="8" t="str">
        <x:v>最终行程答案评分不意味着预订或外部系统状态已改变。</x:v>
      </x:c>
      <x:c r="S36" s="8" t="str">
        <x:v>补充</x:v>
      </x:c>
      <x:c r="T36" s="12" t="str">
        <x:v>未分配</x:v>
      </x:c>
      <x:c r="U36" s="12" t="str"/>
      <x:c r="V36" s="12" t="str"/>
      <x:c r="W36" s="12" t="str"/>
      <x:c r="X36" s="8" t="str">
        <x:v>verified</x:v>
      </x:c>
      <x:c r="Y36" s="11" t="str">
        <x:v>https://github.com/OSU-NLP-Group/TravelPlanner</x:v>
      </x:c>
      <x:c r="Z36" s="11" t="str">
        <x:v>https://huggingface.co/datasets/osunlp/TravelPlanner</x:v>
      </x:c>
      <x:c r="AA36" s="11" t="str">
        <x:v>https://arxiv.org/pdf/2402.01622</x:v>
      </x:c>
      <x:c r="AB36" s="11" t="str">
        <x:v>https://arxiv.org/abs/2402.01622</x:v>
      </x:c>
      <x:c r="AC36" s="8" t="str">
        <x:v>L132</x:v>
      </x:c>
      <x:c r="AD36" s="8" t="str">
        <x:v>这些条目已出现在第二章或原第四章，但本轮没有重新核查原文。题名、年份与链接沿用现有文献库；不能把它们计作本轮新核实的证据。</x:v>
      </x:c>
      <x:c r="AE36" s="8" t="str">
        <x:v>原第四章、第二章</x:v>
      </x:c>
      <x:c r="AF36" s="8" t="str">
        <x:v>用于“规划与协调”：在工具支持的旅行环境中检查多日行程能否同时满足预算、偏好等全局约束。</x:v>
      </x:c>
      <x:c r="AG36" s="8" t="str">
        <x:v>tool-enterprise</x:v>
      </x:c>
      <x:c r="AH36" s="8" t="str">
        <x:v>constraint-based travel planning</x:v>
      </x:c>
      <x:c r="AI36" s="8" t="str">
        <x:v>35</x:v>
      </x:c>
      <x:c r="AJ36" s="8" t="str">
        <x:v>survey bibliography;2026-10-16 chapter 2 / former chapter 4 supplement</x:v>
      </x:c>
      <x:c r="AK36" s="13" t="d">
        <x:v>2026-10-16T00:00:00.000Z</x:v>
      </x:c>
      <x:c r="AL36" s="8" t="str">
        <x:v>来源为附件附录A既有引用索引；未把附件的未复核条目升级为本轮已读证据。原稿位置：原第四章、第二章；引用键：travelplanner。</x:v>
      </x:c>
      <x:c r="AM36" s="8" t="str">
        <x:v>3.4;4.3;6.1</x:v>
      </x:c>
    </x:row>
    <x:row r="37" ht="68" customHeight="1">
      <x:c r="A37" s="8" t="str">
        <x:v>WA-0036</x:v>
      </x:c>
      <x:c r="B37" s="8" t="str">
        <x:v>AutoGen</x:v>
      </x:c>
      <x:c r="C37" s="8" t="str">
        <x:v>AutoGen: Enabling Next-Gen LLM Applications via Multi-Agent Conversation</x:v>
      </x:c>
      <x:c r="D37" s="9" t="n">
        <x:v>2023</x:v>
      </x:c>
      <x:c r="E37" s="8" t="str">
        <x:v>Microsoft Research; Pennsylvania State University; University of Washington; Xidian University</x:v>
      </x:c>
      <x:c r="F37" s="10" t="str">
        <x:f>VLOOKUP(H37,'Taxonomy'!$A$6:$G$70,3,FALSE)</x:f>
        <x:v>基础：定义、工作条件与核心能力</x:v>
      </x:c>
      <x:c r="G37" s="10" t="str">
        <x:f>VLOOKUP(H37,'Taxonomy'!$A$6:$G$70,5,FALSE)</x:f>
        <x:v>五项核心能力</x:v>
      </x:c>
      <x:c r="H37" s="8" t="str">
        <x:v>2.3.3</x:v>
      </x:c>
      <x:c r="I37" s="10" t="str">
        <x:f>VLOOKUP(H37,'Taxonomy'!$A$6:$G$70,6,FALSE)</x:f>
        <x:v>规划与协调</x:v>
      </x:c>
      <x:c r="J37" s="8" t="str">
        <x:v>分布信息、澄清与协调;定义、系统职责与工作循环</x:v>
      </x:c>
      <x:c r="K37" s="8" t="str">
        <x:v>规划与协调;执行与状态管理;验证、恢复与重新规划</x:v>
      </x:c>
      <x:c r="L37" s="8" t="str">
        <x:v>5.3 运行框架优化;6.4 开放框架与执行环境</x:v>
      </x:c>
      <x:c r="M37" s="8" t="str"/>
      <x:c r="N37" s="8" t="str">
        <x:v>Framework</x:v>
      </x:c>
      <x:c r="O37" s="11" t="str">
        <x:v>https://arxiv.org/abs/2308.08155</x:v>
      </x:c>
      <x:c r="P37" s="8" t="str">
        <x:v>通过可配置的多代理对话组织模型、工具与人类协作，支持多种任务执行模式。</x:v>
      </x:c>
      <x:c r="Q37" s="8" t="str">
        <x:v>作为多代理对话与工具协作的框架入口。</x:v>
      </x:c>
      <x:c r="R37" s="8" t="str">
        <x:v>框架提供协作机制，不证明任意多代理配置优于单代理。</x:v>
      </x:c>
      <x:c r="S37" s="8" t="str">
        <x:v>补充</x:v>
      </x:c>
      <x:c r="T37" s="12" t="str">
        <x:v>未分配</x:v>
      </x:c>
      <x:c r="U37" s="12" t="str"/>
      <x:c r="V37" s="12" t="str"/>
      <x:c r="W37" s="12" t="str"/>
      <x:c r="X37" s="8" t="str">
        <x:v>verified</x:v>
      </x:c>
      <x:c r="Y37" s="11" t="str">
        <x:v>https://github.com/microsoft/autogen</x:v>
      </x:c>
      <x:c r="Z37" s="11" t="str"/>
      <x:c r="AA37" s="11" t="str">
        <x:v>https://arxiv.org/pdf/2308.08155</x:v>
      </x:c>
      <x:c r="AB37" s="11" t="str">
        <x:v>https://arxiv.org/abs/2308.08155</x:v>
      </x:c>
      <x:c r="AC37" s="8" t="str">
        <x:v>L137</x:v>
      </x:c>
      <x:c r="AD37" s="8" t="str">
        <x:v>这些条目已出现在第二章或原第四章，但本轮没有重新核查原文。题名、年份与链接沿用现有文献库；不能把它们计作本轮新核实的证据。</x:v>
      </x:c>
      <x:c r="AE37" s="8" t="str">
        <x:v>原第四章、第二章</x:v>
      </x:c>
      <x:c r="AF37" s="8" t="str">
        <x:v>用于“规划与协调”：通过可配置的多代理对话组织模型、工具与人类协作，支持多种任务执行模式。</x:v>
      </x:c>
      <x:c r="AG37" s="8" t="str">
        <x:v>harness</x:v>
      </x:c>
      <x:c r="AH37" s="8" t="str">
        <x:v>multi-agent conversation</x:v>
      </x:c>
      <x:c r="AI37" s="8" t="str">
        <x:v>36</x:v>
      </x:c>
      <x:c r="AJ37" s="8" t="str">
        <x:v>survey bibliography;2026-10-16 chapter 2 / former chapter 4 supplement</x:v>
      </x:c>
      <x:c r="AK37" s="13" t="d">
        <x:v>2026-10-16T00:00:00.000Z</x:v>
      </x:c>
      <x:c r="AL37" s="8" t="str">
        <x:v>来源为附件附录A既有引用索引；未把附件的未复核条目升级为本轮已读证据。原稿位置：原第四章、第二章；引用键：autogen。</x:v>
      </x:c>
      <x:c r="AM37" s="8" t="str">
        <x:v>4.3;5.3;6.4</x:v>
      </x:c>
    </x:row>
    <x:row r="38" ht="82" customHeight="1">
      <x:c r="A38" s="8" t="str">
        <x:v>WA-0037</x:v>
      </x:c>
      <x:c r="B38" s="8" t="str">
        <x:v>MetaGPT</x:v>
      </x:c>
      <x:c r="C38" s="8" t="str">
        <x:v>MetaGPT: Meta Programming for A Multi-Agent Collaborative Framework</x:v>
      </x:c>
      <x:c r="D38" s="9" t="n">
        <x:v>2023</x:v>
      </x:c>
      <x:c r="E38" s="8" t="str">
        <x:v>DeepWisdom; King Abdullah University of Science and Technology; Xiamen University; Chinese University of Hong Kong, Shenzhen; Nanjing University; University of Pennsylvania; University of California, Berkeley; IDSIA/USI/SUPSI</x:v>
      </x:c>
      <x:c r="F38" s="10" t="str">
        <x:f>VLOOKUP(H38,'Taxonomy'!$A$6:$G$70,3,FALSE)</x:f>
        <x:v>基础：定义、工作条件与核心能力</x:v>
      </x:c>
      <x:c r="G38" s="10" t="str">
        <x:f>VLOOKUP(H38,'Taxonomy'!$A$6:$G$70,5,FALSE)</x:f>
        <x:v>五项核心能力</x:v>
      </x:c>
      <x:c r="H38" s="8" t="str">
        <x:v>2.3.3</x:v>
      </x:c>
      <x:c r="I38" s="10" t="str">
        <x:f>VLOOKUP(H38,'Taxonomy'!$A$6:$G$70,6,FALSE)</x:f>
        <x:v>规划与协调</x:v>
      </x:c>
      <x:c r="J38" s="8" t="str">
        <x:v>分布信息、澄清与协调;任务分解与行动依赖;原生工件生成与编辑</x:v>
      </x:c>
      <x:c r="K38" s="8" t="str">
        <x:v>规划与协调;执行与状态管理</x:v>
      </x:c>
      <x:c r="L38" s="8" t="str">
        <x:v>5.3 运行框架优化;6.4 开放框架与执行环境</x:v>
      </x:c>
      <x:c r="M38" s="8" t="str"/>
      <x:c r="N38" s="8" t="str">
        <x:v>Framework;Method</x:v>
      </x:c>
      <x:c r="O38" s="11" t="str">
        <x:v>https://arxiv.org/abs/2308.00352</x:v>
      </x:c>
      <x:c r="P38" s="8" t="str">
        <x:v>将标准作业流程与分工角色编码进多代理协作过程，以结构化中间产物减少沟通混乱。</x:v>
      </x:c>
      <x:c r="Q38" s="8" t="str">
        <x:v>以角色、标准操作程序和产物交接补充多代理协调方法。</x:v>
      </x:c>
      <x:c r="R38" s="8" t="str">
        <x:v>结构化角色协作仍依赖领域流程和验证；不宜据此推广到所有工作。</x:v>
      </x:c>
      <x:c r="S38" s="8" t="str">
        <x:v>补充</x:v>
      </x:c>
      <x:c r="T38" s="12" t="str">
        <x:v>未分配</x:v>
      </x:c>
      <x:c r="U38" s="12" t="str"/>
      <x:c r="V38" s="12" t="str"/>
      <x:c r="W38" s="12" t="str"/>
      <x:c r="X38" s="8" t="str">
        <x:v>verified</x:v>
      </x:c>
      <x:c r="Y38" s="11" t="str">
        <x:v>https://github.com/geekan/MetaGPT</x:v>
      </x:c>
      <x:c r="Z38" s="11" t="str"/>
      <x:c r="AA38" s="11" t="str">
        <x:v>https://arxiv.org/pdf/2308.00352</x:v>
      </x:c>
      <x:c r="AB38" s="11" t="str">
        <x:v>https://arxiv.org/abs/2308.00352</x:v>
      </x:c>
      <x:c r="AC38" s="8" t="str">
        <x:v>L140</x:v>
      </x:c>
      <x:c r="AD38" s="8" t="str">
        <x:v>这些条目已出现在第二章或原第四章，但本轮没有重新核查原文。题名、年份与链接沿用现有文献库；不能把它们计作本轮新核实的证据。</x:v>
      </x:c>
      <x:c r="AE38" s="8" t="str">
        <x:v>原第四章、第二章</x:v>
      </x:c>
      <x:c r="AF38" s="8" t="str">
        <x:v>用于“规划与协调”：将标准作业流程与分工角色编码进多代理协作过程，以结构化中间产物减少沟通混乱。</x:v>
      </x:c>
      <x:c r="AG38" s="8" t="str">
        <x:v>swe-science</x:v>
      </x:c>
      <x:c r="AH38" s="8" t="str">
        <x:v>role-based multi-agent workflow</x:v>
      </x:c>
      <x:c r="AI38" s="8" t="str">
        <x:v>37</x:v>
      </x:c>
      <x:c r="AJ38" s="8" t="str">
        <x:v>survey bibliography;2026-10-16 chapter 2 / former chapter 4 supplement</x:v>
      </x:c>
      <x:c r="AK38" s="13" t="d">
        <x:v>2026-10-16T00:00:00.000Z</x:v>
      </x:c>
      <x:c r="AL38" s="8" t="str">
        <x:v>来源为附件附录A既有引用索引；未把附件的未复核条目升级为本轮已读证据。原稿位置：原第四章、第二章；引用键：metagpt。</x:v>
      </x:c>
      <x:c r="AM38" s="8" t="str">
        <x:v>4.3;5.3;6.4</x:v>
      </x:c>
    </x:row>
    <x:row r="39" ht="68" customHeight="1">
      <x:c r="A39" s="8" t="str">
        <x:v>WA-0038</x:v>
      </x:c>
      <x:c r="B39" s="8" t="str">
        <x:v>AgentDojo</x:v>
      </x:c>
      <x:c r="C39" s="8" t="str">
        <x:v>AgentDojo: A Dynamic Environment to Evaluate Prompt Injection Attacks and Defenses for LLM Agents</x:v>
      </x:c>
      <x:c r="D39" s="9" t="n">
        <x:v>2024</x:v>
      </x:c>
      <x:c r="E39" s="8" t="str">
        <x:v>ETH Zurich; Invariant Labs</x:v>
      </x:c>
      <x:c r="F39" s="10" t="str">
        <x:f>VLOOKUP(H39,'Taxonomy'!$A$6:$G$70,3,FALSE)</x:f>
        <x:v>基础：定义、工作条件与核心能力</x:v>
      </x:c>
      <x:c r="G39" s="10" t="str">
        <x:f>VLOOKUP(H39,'Taxonomy'!$A$6:$G$70,5,FALSE)</x:f>
        <x:v>工作条件</x:v>
      </x:c>
      <x:c r="H39" s="8" t="str">
        <x:v>2.2.2</x:v>
      </x:c>
      <x:c r="I39" s="10" t="str">
        <x:f>VLOOKUP(H39,'Taxonomy'!$A$6:$G$70,6,FALSE)</x:f>
        <x:v>工作开放性</x:v>
      </x:c>
      <x:c r="J39" s="8" t="str">
        <x:v>开放与变化条件;安全、隐私与授权边界;委托、责任与权限</x:v>
      </x:c>
      <x:c r="K39" s="8" t="str">
        <x:v>执行与状态管理;验证、恢复与重新规划</x:v>
      </x:c>
      <x:c r="L39" s="8" t="str">
        <x:v>2.3.4 执行与状态管理;6.1 基准与任务构造;7.1 环境扩展;6.2.1 评估目标与可观察证据</x:v>
      </x:c>
      <x:c r="M39" s="8" t="str"/>
      <x:c r="N39" s="8" t="str">
        <x:v>Benchmark</x:v>
      </x:c>
      <x:c r="O39" s="11" t="str">
        <x:v>https://arxiv.org/abs/2406.13352</x:v>
      </x:c>
      <x:c r="P39" s="8" t="str">
        <x:v>在动态工具环境中联合评估合法任务完成及间接提示注入攻击与防御。</x:v>
      </x:c>
      <x:c r="Q39" s="8" t="str">
        <x:v>说明外部信息既是工作依据，也可能改变行动方向；执行可靠性需要保护授权边界。</x:v>
      </x:c>
      <x:c r="R39" s="8" t="str">
        <x:v>安全攻击实验只刻画工作风险的一部分，不等于全面职业质量评价。</x:v>
      </x:c>
      <x:c r="S39" s="8" t="str">
        <x:v>核心</x:v>
      </x:c>
      <x:c r="T39" s="12" t="str">
        <x:v>未分配</x:v>
      </x:c>
      <x:c r="U39" s="12" t="str"/>
      <x:c r="V39" s="12" t="str"/>
      <x:c r="W39" s="12" t="str"/>
      <x:c r="X39" s="8" t="str">
        <x:v>verified</x:v>
      </x:c>
      <x:c r="Y39" s="11" t="str">
        <x:v>https://github.com/ethz-spylab/agentdojo</x:v>
      </x:c>
      <x:c r="Z39" s="11" t="str"/>
      <x:c r="AA39" s="11" t="str">
        <x:v>https://arxiv.org/pdf/2406.13352</x:v>
      </x:c>
      <x:c r="AB39" s="11" t="str">
        <x:v>https://arxiv.org/abs/2406.13352</x:v>
      </x:c>
      <x:c r="AC39" s="8" t="str">
        <x:v>L046</x:v>
      </x:c>
      <x:c r="AD39" s="8" t="str">
        <x:v>第2／原第4章已引；官方摘要。</x:v>
      </x:c>
      <x:c r="AE39" s="8" t="str">
        <x:v>2.2开放性；2.3执行约束；6安全评估。</x:v>
      </x:c>
      <x:c r="AF39" s="8" t="str">
        <x:v>按补充清单 L046 的论证用途归入“工作开放性”：说明外部信息既是工作依据，也可能改变行动方向；执行可靠性需要保护授权边界。</x:v>
      </x:c>
      <x:c r="AG39" s="8" t="str">
        <x:v>safety</x:v>
      </x:c>
      <x:c r="AH39" s="8" t="str">
        <x:v>prompt injection evaluation</x:v>
      </x:c>
      <x:c r="AI39" s="8" t="str">
        <x:v>38</x:v>
      </x:c>
      <x:c r="AJ39" s="8" t="str">
        <x:v>survey bibliography;2026-10-16 chapter 2 / former chapter 4 supplement</x:v>
      </x:c>
      <x:c r="AK39" s="13" t="d">
        <x:v>2026-10-16T00:00:00.000Z</x:v>
      </x:c>
      <x:c r="AL39" s="8" t="str"/>
      <x:c r="AM39" s="8" t="str">
        <x:v>4.4;6.1;7.1</x:v>
      </x:c>
    </x:row>
    <x:row r="40" ht="68" customHeight="1">
      <x:c r="A40" s="8" t="str">
        <x:v>WA-0039</x:v>
      </x:c>
      <x:c r="B40" s="8" t="str">
        <x:v>DeepPresenter</x:v>
      </x:c>
      <x:c r="C40" s="8" t="str">
        <x:v>DeepPresenter: Environment-Grounded Reflection for Agentic Presentation Generation</x:v>
      </x:c>
      <x:c r="D40" s="9" t="n">
        <x:v>2026</x:v>
      </x:c>
      <x:c r="E40" s="8" t="str">
        <x:v>Institute of Software, Chinese Academy of Sciences; University of Chinese Academy of Sciences</x:v>
      </x:c>
      <x:c r="F40" s="10" t="str">
        <x:f>VLOOKUP(H40,'Taxonomy'!$A$6:$G$70,3,FALSE)</x:f>
        <x:v>基础：定义、工作条件与核心能力</x:v>
      </x:c>
      <x:c r="G40" s="10" t="str">
        <x:f>VLOOKUP(H40,'Taxonomy'!$A$6:$G$70,5,FALSE)</x:f>
        <x:v>五项核心能力</x:v>
      </x:c>
      <x:c r="H40" s="8" t="str">
        <x:v>2.3.5</x:v>
      </x:c>
      <x:c r="I40" s="10" t="str">
        <x:f>VLOOKUP(H40,'Taxonomy'!$A$6:$G$70,6,FALSE)</x:f>
        <x:v>验证、恢复与重新规划</x:v>
      </x:c>
      <x:c r="J40" s="8" t="str">
        <x:v>原生工件生成与编辑;成果与实际状态核验;回滚、补偿与路径调整</x:v>
      </x:c>
      <x:c r="K40" s="8" t="str">
        <x:v>规划与协调;执行与状态管理;验证、恢复与重新规划</x:v>
      </x:c>
      <x:c r="L40" s="8" t="str">
        <x:v>2.3.4 执行与状态管理;6.2.1 评估目标与可观察证据;5.3.2 提示与工作流优化</x:v>
      </x:c>
      <x:c r="M40" s="8" t="str"/>
      <x:c r="N40" s="8" t="str">
        <x:v>Method</x:v>
      </x:c>
      <x:c r="O40" s="11" t="str">
        <x:v>https://arxiv.org/abs/2602.22839</x:v>
      </x:c>
      <x:c r="P40" s="8" t="str">
        <x:v>通过与演示环境交互获取真实反馈，驱动幻灯片生成过程中的反思与修订。</x:v>
      </x:c>
      <x:c r="Q40" s="8" t="str">
        <x:v>是“检查实际成果，而不只反思自身文字推理”的直接例子。</x:v>
      </x:c>
      <x:c r="R40" s="8" t="str">
        <x:v>属于具体生成系统，不能从其自我修订机制推出所有任务都必须多轮。</x:v>
      </x:c>
      <x:c r="S40" s="8" t="str">
        <x:v>核心</x:v>
      </x:c>
      <x:c r="T40" s="12" t="str">
        <x:v>未分配</x:v>
      </x:c>
      <x:c r="U40" s="12" t="str"/>
      <x:c r="V40" s="12" t="str"/>
      <x:c r="W40" s="12" t="str"/>
      <x:c r="X40" s="8" t="str">
        <x:v>verified</x:v>
      </x:c>
      <x:c r="Y40" s="11" t="str">
        <x:v>https://github.com/icip-cas/PPTAgent</x:v>
      </x:c>
      <x:c r="Z40" s="11" t="str"/>
      <x:c r="AA40" s="11" t="str">
        <x:v>https://arxiv.org/pdf/2602.22839</x:v>
      </x:c>
      <x:c r="AB40" s="11" t="str">
        <x:v>https://arxiv.org/abs/2602.22839</x:v>
      </x:c>
      <x:c r="AC40" s="8" t="str">
        <x:v>L005;AIO-286</x:v>
      </x:c>
      <x:c r="AD40" s="8" t="str">
        <x:v>第2／原第4章已引；官方摘要。</x:v>
      </x:c>
      <x:c r="AE40" s="8" t="str">
        <x:v>2.3.5验证与恢复。</x:v>
      </x:c>
      <x:c r="AF40" s="8" t="str">
        <x:v>按补充清单 L005 的论证用途归入“验证、恢复与重新规划”：是“检查实际成果，而不只反思自身文字推理”的直接例子。</x:v>
      </x:c>
      <x:c r="AG40" s="8" t="str">
        <x:v>artifact</x:v>
      </x:c>
      <x:c r="AH40" s="8" t="str">
        <x:v>environment-grounded slide reflection</x:v>
      </x:c>
      <x:c r="AI40" s="8" t="str">
        <x:v>39</x:v>
      </x:c>
      <x:c r="AJ40" s="8" t="str">
        <x:v>survey bibliography;2026-10-16 chapter 2 / former chapter 4 supplement;2026-10-16 AI Office survey bibliography</x:v>
      </x:c>
      <x:c r="AK40" s="13" t="d">
        <x:v>2026-10-16T00:00:00.000Z</x:v>
      </x:c>
      <x:c r="AL40" s="8" t="str"/>
      <x:c r="AM40" s="8" t="str">
        <x:v>4.4;4.5;5.3</x:v>
      </x:c>
    </x:row>
    <x:row r="41" ht="68" customHeight="1">
      <x:c r="A41" s="8" t="str">
        <x:v>WA-0040</x:v>
      </x:c>
      <x:c r="B41" s="8" t="str">
        <x:v>SQuAD</x:v>
      </x:c>
      <x:c r="C41" s="8" t="str">
        <x:v>SQuAD: 100,000+ Questions for Machine Comprehension of Text</x:v>
      </x:c>
      <x:c r="D41" s="9" t="n">
        <x:v>2016</x:v>
      </x:c>
      <x:c r="E41" s="8" t="str">
        <x:v>Stanford University</x:v>
      </x:c>
      <x:c r="F41" s="10" t="str">
        <x:f>VLOOKUP(H41,'Taxonomy'!$A$6:$G$70,3,FALSE)</x:f>
        <x:v>工作形态：代理承担什么工作</x:v>
      </x:c>
      <x:c r="G41" s="10" t="str">
        <x:f>VLOOKUP(H41,'Taxonomy'!$A$6:$G$70,5,FALSE)</x:f>
        <x:v>响应级工作</x:v>
      </x:c>
      <x:c r="H41" s="8" t="str">
        <x:v>3.1</x:v>
      </x:c>
      <x:c r="I41" s="10" t="str">
        <x:f>VLOOKUP(H41,'Taxonomy'!$A$6:$G$70,6,FALSE)</x:f>
        <x:v>响应级工作</x:v>
      </x:c>
      <x:c r="J41" s="8" t="str">
        <x:v>工作形态与验收组织;材料发现与证据定位</x:v>
      </x:c>
      <x:c r="K41" s="8" t="str">
        <x:v>感知与理解;推理与决策</x:v>
      </x:c>
      <x:c r="L41" s="8" t="str"/>
      <x:c r="M41" s="8" t="str"/>
      <x:c r="N41" s="8" t="str">
        <x:v>Benchmark;Background</x:v>
      </x:c>
      <x:c r="O41" s="11" t="str">
        <x:v>https://arxiv.org/abs/1606.05250</x:v>
      </x:c>
      <x:c r="P41" s="8" t="str">
        <x:v>通过基于段落的抽取式问答提供阅读理解基础评测。</x:v>
      </x:c>
      <x:c r="Q41" s="8" t="str"/>
      <x:c r="R41" s="8" t="str"/>
      <x:c r="S41" s="8" t="str"/>
      <x:c r="T41" s="12" t="str">
        <x:v>未分配</x:v>
      </x:c>
      <x:c r="U41" s="12" t="str"/>
      <x:c r="V41" s="12" t="str"/>
      <x:c r="W41" s="12" t="str"/>
      <x:c r="X41" s="8" t="str">
        <x:v>verified</x:v>
      </x:c>
      <x:c r="Y41" s="11" t="str"/>
      <x:c r="Z41" s="11" t="str"/>
      <x:c r="AA41" s="11" t="str">
        <x:v>https://arxiv.org/pdf/1606.05250</x:v>
      </x:c>
      <x:c r="AB41" s="11" t="str">
        <x:v>https://arxiv.org/abs/1606.05250</x:v>
      </x:c>
      <x:c r="AC41" s="8" t="str"/>
      <x:c r="AD41" s="8" t="str"/>
      <x:c r="AE41" s="8" t="str"/>
      <x:c r="AF41" s="8" t="str">
        <x:v>用于“响应级工作”：通过基于段落的抽取式问答提供阅读理解基础评测。</x:v>
      </x:c>
      <x:c r="AG41" s="8" t="str">
        <x:v>related</x:v>
      </x:c>
      <x:c r="AH41" s="8" t="str">
        <x:v>reading comprehension</x:v>
      </x:c>
      <x:c r="AI41" s="8" t="str">
        <x:v>40</x:v>
      </x:c>
      <x:c r="AJ41" s="8" t="str">
        <x:v>survey bibliography</x:v>
      </x:c>
      <x:c r="AK41" s="13" t="d">
        <x:v>2026-10-16T00:00:00.000Z</x:v>
      </x:c>
      <x:c r="AL41" s="8" t="str"/>
      <x:c r="AM41" s="8" t="str">
        <x:v>3.1</x:v>
      </x:c>
    </x:row>
    <x:row r="42" ht="68" customHeight="1">
      <x:c r="A42" s="8" t="str">
        <x:v>WA-0041</x:v>
      </x:c>
      <x:c r="B42" s="8" t="str">
        <x:v>HotpotQA</x:v>
      </x:c>
      <x:c r="C42" s="8" t="str">
        <x:v>HotpotQA: A Dataset for Diverse, Explainable Multi-hop Question Answering</x:v>
      </x:c>
      <x:c r="D42" s="9" t="n">
        <x:v>2018</x:v>
      </x:c>
      <x:c r="E42" s="8" t="str">
        <x:v>Carnegie Mellon University; Stanford University; Mila, Université de Montréal; Google AI</x:v>
      </x:c>
      <x:c r="F42" s="10" t="str">
        <x:f>VLOOKUP(H42,'Taxonomy'!$A$6:$G$70,3,FALSE)</x:f>
        <x:v>基础：定义、工作条件与核心能力</x:v>
      </x:c>
      <x:c r="G42" s="10" t="str">
        <x:f>VLOOKUP(H42,'Taxonomy'!$A$6:$G$70,5,FALSE)</x:f>
        <x:v>五项核心能力</x:v>
      </x:c>
      <x:c r="H42" s="8" t="str">
        <x:v>2.3.2</x:v>
      </x:c>
      <x:c r="I42" s="10" t="str">
        <x:f>VLOOKUP(H42,'Taxonomy'!$A$6:$G$70,6,FALSE)</x:f>
        <x:v>推理与决策</x:v>
      </x:c>
      <x:c r="J42" s="8" t="str">
        <x:v>证据整合与推理;对象关系、来源与依赖</x:v>
      </x:c>
      <x:c r="K42" s="8" t="str">
        <x:v>推理与决策</x:v>
      </x:c>
      <x:c r="L42" s="8" t="str">
        <x:v>3.1 响应级工作</x:v>
      </x:c>
      <x:c r="M42" s="8" t="str"/>
      <x:c r="N42" s="8" t="str">
        <x:v>Benchmark;Background</x:v>
      </x:c>
      <x:c r="O42" s="11" t="str">
        <x:v>https://arxiv.org/abs/1809.09600</x:v>
      </x:c>
      <x:c r="P42" s="8" t="str">
        <x:v>构建需要跨文档多跳推理并标注支持事实的问答数据集。</x:v>
      </x:c>
      <x:c r="Q42" s="8" t="str"/>
      <x:c r="R42" s="8" t="str"/>
      <x:c r="S42" s="8" t="str"/>
      <x:c r="T42" s="12" t="str">
        <x:v>未分配</x:v>
      </x:c>
      <x:c r="U42" s="12" t="str"/>
      <x:c r="V42" s="12" t="str"/>
      <x:c r="W42" s="12" t="str"/>
      <x:c r="X42" s="8" t="str">
        <x:v>verified</x:v>
      </x:c>
      <x:c r="Y42" s="11" t="str">
        <x:v>https://github.com/hotpotqa/hotpot</x:v>
      </x:c>
      <x:c r="Z42" s="11" t="str"/>
      <x:c r="AA42" s="11" t="str">
        <x:v>https://arxiv.org/pdf/1809.09600</x:v>
      </x:c>
      <x:c r="AB42" s="11" t="str">
        <x:v>https://arxiv.org/abs/1809.09600</x:v>
      </x:c>
      <x:c r="AC42" s="8" t="str"/>
      <x:c r="AD42" s="8" t="str"/>
      <x:c r="AE42" s="8" t="str"/>
      <x:c r="AF42" s="8" t="str">
        <x:v>用于“推理与决策”：构建需要跨文档多跳推理并标注支持事实的问答数据集。</x:v>
      </x:c>
      <x:c r="AG42" s="8" t="str">
        <x:v>related</x:v>
      </x:c>
      <x:c r="AH42" s="8" t="str">
        <x:v>multi-hop question answering</x:v>
      </x:c>
      <x:c r="AI42" s="8" t="str">
        <x:v>41</x:v>
      </x:c>
      <x:c r="AJ42" s="8" t="str">
        <x:v>survey bibliography</x:v>
      </x:c>
      <x:c r="AK42" s="13" t="d">
        <x:v>2026-10-16T00:00:00.000Z</x:v>
      </x:c>
      <x:c r="AL42" s="8" t="str"/>
      <x:c r="AM42" s="8" t="str">
        <x:v>3.1;4.2</x:v>
      </x:c>
    </x:row>
    <x:row r="43" ht="68" customHeight="1">
      <x:c r="A43" s="8" t="str">
        <x:v>WA-0042</x:v>
      </x:c>
      <x:c r="B43" s="8" t="str">
        <x:v>ChartQA</x:v>
      </x:c>
      <x:c r="C43" s="8" t="str">
        <x:v>ChartQA: A Benchmark for Question Answering about Charts with Visual and Logical Reasoning</x:v>
      </x:c>
      <x:c r="D43" s="9" t="n">
        <x:v>2022</x:v>
      </x:c>
      <x:c r="E43" s="8" t="str">
        <x:v>York University; Nanyang Technological University; Salesforce Research</x:v>
      </x:c>
      <x:c r="F43" s="10" t="str">
        <x:f>VLOOKUP(H43,'Taxonomy'!$A$6:$G$70,3,FALSE)</x:f>
        <x:v>基础：定义、工作条件与核心能力</x:v>
      </x:c>
      <x:c r="G43" s="10" t="str">
        <x:f>VLOOKUP(H43,'Taxonomy'!$A$6:$G$70,5,FALSE)</x:f>
        <x:v>五项核心能力</x:v>
      </x:c>
      <x:c r="H43" s="8" t="str">
        <x:v>2.3.1</x:v>
      </x:c>
      <x:c r="I43" s="10" t="str">
        <x:f>VLOOKUP(H43,'Taxonomy'!$A$6:$G$70,6,FALSE)</x:f>
        <x:v>感知与理解</x:v>
      </x:c>
      <x:c r="J43" s="8" t="str">
        <x:v>对象结构、模态与语义;证据整合与推理</x:v>
      </x:c>
      <x:c r="K43" s="8" t="str">
        <x:v>感知与理解;推理与决策</x:v>
      </x:c>
      <x:c r="L43" s="8" t="str">
        <x:v>3.1 响应级工作</x:v>
      </x:c>
      <x:c r="M43" s="8" t="str"/>
      <x:c r="N43" s="8" t="str">
        <x:v>Benchmark</x:v>
      </x:c>
      <x:c r="O43" s="11" t="str">
        <x:v>https://arxiv.org/abs/2203.10244</x:v>
      </x:c>
      <x:c r="P43" s="8" t="str">
        <x:v>结合图表视觉信息与逻辑运算，评估图表问答中的视觉和数值推理。</x:v>
      </x:c>
      <x:c r="Q43" s="8" t="str"/>
      <x:c r="R43" s="8" t="str"/>
      <x:c r="S43" s="8" t="str"/>
      <x:c r="T43" s="12" t="str">
        <x:v>未分配</x:v>
      </x:c>
      <x:c r="U43" s="12" t="str"/>
      <x:c r="V43" s="12" t="str"/>
      <x:c r="W43" s="12" t="str"/>
      <x:c r="X43" s="8" t="str">
        <x:v>verified</x:v>
      </x:c>
      <x:c r="Y43" s="11" t="str">
        <x:v>https://github.com/vis-nlp/ChartQA</x:v>
      </x:c>
      <x:c r="Z43" s="11" t="str"/>
      <x:c r="AA43" s="11" t="str">
        <x:v>https://arxiv.org/pdf/2203.10244</x:v>
      </x:c>
      <x:c r="AB43" s="11" t="str">
        <x:v>https://arxiv.org/abs/2203.10244</x:v>
      </x:c>
      <x:c r="AC43" s="8" t="str">
        <x:v>AIO-148</x:v>
      </x:c>
      <x:c r="AD43" s="8" t="str"/>
      <x:c r="AE43" s="8" t="str"/>
      <x:c r="AF43" s="8" t="str">
        <x:v>用于“感知与理解”：结合图表视觉信息与逻辑运算，评估图表问答中的视觉和数值推理。</x:v>
      </x:c>
      <x:c r="AG43" s="8" t="str">
        <x:v>related</x:v>
      </x:c>
      <x:c r="AH43" s="8" t="str">
        <x:v>chart question answering</x:v>
      </x:c>
      <x:c r="AI43" s="8" t="str">
        <x:v>42</x:v>
      </x:c>
      <x:c r="AJ43" s="8" t="str">
        <x:v>survey bibliography;2026-10-16 AI Office survey bibliography</x:v>
      </x:c>
      <x:c r="AK43" s="13" t="d">
        <x:v>2026-10-16T00:00:00.000Z</x:v>
      </x:c>
      <x:c r="AL43" s="8" t="str"/>
      <x:c r="AM43" s="8" t="str">
        <x:v>3.1;4.1</x:v>
      </x:c>
    </x:row>
    <x:row r="44" ht="138" customHeight="1">
      <x:c r="A44" s="8" t="str">
        <x:v>WA-0043</x:v>
      </x:c>
      <x:c r="B44" s="8" t="str">
        <x:v>LegalBench</x:v>
      </x:c>
      <x:c r="C44" s="8" t="str">
        <x:v>LegalBench: A Collaboratively Built Benchmark for Measuring Legal Reasoning in Large Language Models</x:v>
      </x:c>
      <x:c r="D44" s="9" t="n">
        <x:v>2023</x:v>
      </x:c>
      <x:c r="E44" s="8" t="str">
        <x:v>Stanford University; University of Chicago; Maxime Tools; Dartmouth College; LawBeta; South Texas College of Law Houston; University of Toronto; St. Thomas University; Harvard Law School; Stanford CodeX; University of Southern California; Georgetown University Law Center; University of Virginia; Télécom Paris; York University; Harvard Kennedy School; Golden Gate University; Indiana University Bloomington; Casetext</x:v>
      </x:c>
      <x:c r="F44" s="10" t="str">
        <x:f>VLOOKUP(H44,'Taxonomy'!$A$6:$G$70,3,FALSE)</x:f>
        <x:v>基础：定义、工作条件与核心能力</x:v>
      </x:c>
      <x:c r="G44" s="10" t="str">
        <x:f>VLOOKUP(H44,'Taxonomy'!$A$6:$G$70,5,FALSE)</x:f>
        <x:v>五项核心能力</x:v>
      </x:c>
      <x:c r="H44" s="8" t="str">
        <x:v>2.3.2</x:v>
      </x:c>
      <x:c r="I44" s="10" t="str">
        <x:f>VLOOKUP(H44,'Taxonomy'!$A$6:$G$70,6,FALSE)</x:f>
        <x:v>推理与决策</x:v>
      </x:c>
      <x:c r="J44" s="8" t="str">
        <x:v>职业知识与专业判断;证据整合与推理;工作形态与验收组织</x:v>
      </x:c>
      <x:c r="K44" s="8" t="str">
        <x:v>推理与决策</x:v>
      </x:c>
      <x:c r="L44" s="8" t="str">
        <x:v>3.1 响应级工作;6.1 基准与任务构造</x:v>
      </x:c>
      <x:c r="M44" s="8" t="str"/>
      <x:c r="N44" s="8" t="str">
        <x:v>Benchmark</x:v>
      </x:c>
      <x:c r="O44" s="11" t="str">
        <x:v>https://arxiv.org/abs/2308.11462</x:v>
      </x:c>
      <x:c r="P44" s="8" t="str">
        <x:v>法律专业人士构建多种法律推理任务。</x:v>
      </x:c>
      <x:c r="Q44" s="8" t="str">
        <x:v>支撑领域推理本身有结构，再用J1/LRB解释动态环境新增哪些要求。</x:v>
      </x:c>
      <x:c r="R44" s="8" t="str">
        <x:v>静态法律任务不代表完整法律agent的程序遵循、检索时效或跨角色协作。</x:v>
      </x:c>
      <x:c r="S44" s="8" t="str">
        <x:v>补充</x:v>
      </x:c>
      <x:c r="T44" s="12" t="str">
        <x:v>未分配</x:v>
      </x:c>
      <x:c r="U44" s="12" t="str"/>
      <x:c r="V44" s="12" t="str"/>
      <x:c r="W44" s="12" t="str"/>
      <x:c r="X44" s="8" t="str">
        <x:v>verified</x:v>
      </x:c>
      <x:c r="Y44" s="11" t="str"/>
      <x:c r="Z44" s="11" t="str"/>
      <x:c r="AA44" s="11" t="str">
        <x:v>https://arxiv.org/pdf/2308.11462</x:v>
      </x:c>
      <x:c r="AB44" s="11" t="str">
        <x:v>https://arxiv.org/abs/2308.11462</x:v>
      </x:c>
      <x:c r="AC44" s="8" t="str">
        <x:v>L102</x:v>
      </x:c>
      <x:c r="AD44" s="8" t="str">
        <x:v>第2／原第4章已引；官方摘要。</x:v>
      </x:c>
      <x:c r="AE44" s="8" t="str">
        <x:v>2.3 专业知识；对照交互式法律工作。</x:v>
      </x:c>
      <x:c r="AF44" s="8" t="str">
        <x:v>按补充清单 L102 的论证用途归入“推理与决策”：支撑领域推理本身有结构，再用J1/LRB解释动态环境新增哪些要求。</x:v>
      </x:c>
      <x:c r="AG44" s="8" t="str">
        <x:v>related</x:v>
      </x:c>
      <x:c r="AH44" s="8" t="str">
        <x:v>legal reasoning</x:v>
      </x:c>
      <x:c r="AI44" s="8" t="str">
        <x:v>43</x:v>
      </x:c>
      <x:c r="AJ44" s="8" t="str">
        <x:v>survey bibliography;2026-10-16 chapter 2 / former chapter 4 supplement</x:v>
      </x:c>
      <x:c r="AK44" s="13" t="d">
        <x:v>2026-10-16T00:00:00.000Z</x:v>
      </x:c>
      <x:c r="AL44" s="8" t="str">
        <x:v>单位按论文首页列示；合并了同一大学的院系与中心。</x:v>
      </x:c>
      <x:c r="AM44" s="8" t="str">
        <x:v>3.1;6.1</x:v>
      </x:c>
    </x:row>
    <x:row r="45" ht="68" customHeight="1">
      <x:c r="A45" s="8" t="str">
        <x:v>WA-0044</x:v>
      </x:c>
      <x:c r="B45" s="8" t="str">
        <x:v>PubMedQA</x:v>
      </x:c>
      <x:c r="C45" s="8" t="str">
        <x:v>PubMedQA: A Dataset for Biomedical Research Question Answering</x:v>
      </x:c>
      <x:c r="D45" s="9" t="n">
        <x:v>2019</x:v>
      </x:c>
      <x:c r="E45" s="8" t="str">
        <x:v>University of Pittsburgh; Carnegie Mellon University; Google AI</x:v>
      </x:c>
      <x:c r="F45" s="10" t="str">
        <x:f>VLOOKUP(H45,'Taxonomy'!$A$6:$G$70,3,FALSE)</x:f>
        <x:v>工作形态：代理承担什么工作</x:v>
      </x:c>
      <x:c r="G45" s="10" t="str">
        <x:f>VLOOKUP(H45,'Taxonomy'!$A$6:$G$70,5,FALSE)</x:f>
        <x:v>响应级工作</x:v>
      </x:c>
      <x:c r="H45" s="8" t="str">
        <x:v>3.1</x:v>
      </x:c>
      <x:c r="I45" s="10" t="str">
        <x:f>VLOOKUP(H45,'Taxonomy'!$A$6:$G$70,6,FALSE)</x:f>
        <x:v>响应级工作</x:v>
      </x:c>
      <x:c r="J45" s="8" t="str">
        <x:v>工作形态与验收组织;职业知识与专业判断;证据整合与推理</x:v>
      </x:c>
      <x:c r="K45" s="8" t="str">
        <x:v>推理与决策</x:v>
      </x:c>
      <x:c r="L45" s="8" t="str"/>
      <x:c r="M45" s="8" t="str"/>
      <x:c r="N45" s="8" t="str">
        <x:v>Benchmark;Background</x:v>
      </x:c>
      <x:c r="O45" s="11" t="str">
        <x:v>https://arxiv.org/abs/1909.06146</x:v>
      </x:c>
      <x:c r="P45" s="8" t="str">
        <x:v>以 PubMed 摘要构建生物医学研究问答，检验基于研究内容作出结论的能力。</x:v>
      </x:c>
      <x:c r="Q45" s="8" t="str"/>
      <x:c r="R45" s="8" t="str"/>
      <x:c r="S45" s="8" t="str"/>
      <x:c r="T45" s="12" t="str">
        <x:v>未分配</x:v>
      </x:c>
      <x:c r="U45" s="12" t="str"/>
      <x:c r="V45" s="12" t="str"/>
      <x:c r="W45" s="12" t="str"/>
      <x:c r="X45" s="8" t="str">
        <x:v>verified</x:v>
      </x:c>
      <x:c r="Y45" s="11" t="str">
        <x:v>https://github.com/pubmedqa/pubmedqa</x:v>
      </x:c>
      <x:c r="Z45" s="11" t="str"/>
      <x:c r="AA45" s="11" t="str">
        <x:v>https://arxiv.org/pdf/1909.06146</x:v>
      </x:c>
      <x:c r="AB45" s="11" t="str">
        <x:v>https://arxiv.org/abs/1909.06146</x:v>
      </x:c>
      <x:c r="AC45" s="8" t="str"/>
      <x:c r="AD45" s="8" t="str"/>
      <x:c r="AE45" s="8" t="str"/>
      <x:c r="AF45" s="8" t="str">
        <x:v>用于“响应级工作”：以 PubMed 摘要构建生物医学研究问答，检验基于研究内容作出结论的能力。</x:v>
      </x:c>
      <x:c r="AG45" s="8" t="str">
        <x:v>related</x:v>
      </x:c>
      <x:c r="AH45" s="8" t="str">
        <x:v>biomedical research question answering</x:v>
      </x:c>
      <x:c r="AI45" s="8" t="str">
        <x:v>44</x:v>
      </x:c>
      <x:c r="AJ45" s="8" t="str">
        <x:v>survey bibliography</x:v>
      </x:c>
      <x:c r="AK45" s="13" t="d">
        <x:v>2026-10-16T00:00:00.000Z</x:v>
      </x:c>
      <x:c r="AL45" s="8" t="str"/>
      <x:c r="AM45" s="8" t="str">
        <x:v>3.1</x:v>
      </x:c>
    </x:row>
    <x:row r="46" ht="68" customHeight="1">
      <x:c r="A46" s="8" t="str">
        <x:v>WA-0045</x:v>
      </x:c>
      <x:c r="B46" s="8" t="str">
        <x:v>ScienceQA</x:v>
      </x:c>
      <x:c r="C46" s="8" t="str">
        <x:v>Learn to Explain: Multimodal Reasoning via Thought Chains for Science Question Answering</x:v>
      </x:c>
      <x:c r="D46" s="9" t="n">
        <x:v>2022</x:v>
      </x:c>
      <x:c r="E46" s="8" t="str">
        <x:v>University of California, Los Angeles; Arizona State University; Allen Institute for AI</x:v>
      </x:c>
      <x:c r="F46" s="10" t="str">
        <x:f>VLOOKUP(H46,'Taxonomy'!$A$6:$G$70,3,FALSE)</x:f>
        <x:v>基础：定义、工作条件与核心能力</x:v>
      </x:c>
      <x:c r="G46" s="10" t="str">
        <x:f>VLOOKUP(H46,'Taxonomy'!$A$6:$G$70,5,FALSE)</x:f>
        <x:v>五项核心能力</x:v>
      </x:c>
      <x:c r="H46" s="8" t="str">
        <x:v>2.3.2</x:v>
      </x:c>
      <x:c r="I46" s="10" t="str">
        <x:f>VLOOKUP(H46,'Taxonomy'!$A$6:$G$70,6,FALSE)</x:f>
        <x:v>推理与决策</x:v>
      </x:c>
      <x:c r="J46" s="8" t="str">
        <x:v>对象结构、模态与语义;证据整合与推理</x:v>
      </x:c>
      <x:c r="K46" s="8" t="str">
        <x:v>感知与理解;推理与决策</x:v>
      </x:c>
      <x:c r="L46" s="8" t="str">
        <x:v>3.1 响应级工作</x:v>
      </x:c>
      <x:c r="M46" s="8" t="str"/>
      <x:c r="N46" s="8" t="str">
        <x:v>Benchmark;Background</x:v>
      </x:c>
      <x:c r="O46" s="11" t="str">
        <x:v>https://arxiv.org/abs/2209.09513</x:v>
      </x:c>
      <x:c r="P46" s="8" t="str">
        <x:v>为科学问答提供多模态上下文及解释，用思维链研究可解释的科学推理。</x:v>
      </x:c>
      <x:c r="Q46" s="8" t="str"/>
      <x:c r="R46" s="8" t="str"/>
      <x:c r="S46" s="8" t="str"/>
      <x:c r="T46" s="12" t="str">
        <x:v>未分配</x:v>
      </x:c>
      <x:c r="U46" s="12" t="str"/>
      <x:c r="V46" s="12" t="str"/>
      <x:c r="W46" s="12" t="str"/>
      <x:c r="X46" s="8" t="str">
        <x:v>verified</x:v>
      </x:c>
      <x:c r="Y46" s="11" t="str">
        <x:v>https://github.com/lupantech/ScienceQA</x:v>
      </x:c>
      <x:c r="Z46" s="11" t="str">
        <x:v>https://huggingface.co/datasets/derek-thomas/ScienceQA</x:v>
      </x:c>
      <x:c r="AA46" s="11" t="str">
        <x:v>https://arxiv.org/pdf/2209.09513</x:v>
      </x:c>
      <x:c r="AB46" s="11" t="str">
        <x:v>https://arxiv.org/abs/2209.09513</x:v>
      </x:c>
      <x:c r="AC46" s="8" t="str"/>
      <x:c r="AD46" s="8" t="str"/>
      <x:c r="AE46" s="8" t="str"/>
      <x:c r="AF46" s="8" t="str">
        <x:v>用于“推理与决策”：为科学问答提供多模态上下文及解释，用思维链研究可解释的科学推理。</x:v>
      </x:c>
      <x:c r="AG46" s="8" t="str">
        <x:v>related</x:v>
      </x:c>
      <x:c r="AH46" s="8" t="str">
        <x:v>multimodal science reasoning</x:v>
      </x:c>
      <x:c r="AI46" s="8" t="str">
        <x:v>45</x:v>
      </x:c>
      <x:c r="AJ46" s="8" t="str">
        <x:v>survey bibliography</x:v>
      </x:c>
      <x:c r="AK46" s="13" t="d">
        <x:v>2026-10-16T00:00:00.000Z</x:v>
      </x:c>
      <x:c r="AL46" s="8" t="str"/>
      <x:c r="AM46" s="8" t="str">
        <x:v>3.1;4.2</x:v>
      </x:c>
    </x:row>
    <x:row r="47" ht="68" customHeight="1">
      <x:c r="A47" s="8" t="str">
        <x:v>WA-0046</x:v>
      </x:c>
      <x:c r="B47" s="8" t="str">
        <x:v>InstructExcel</x:v>
      </x:c>
      <x:c r="C47" s="8" t="str">
        <x:v>InstructExcel: A Benchmark for Natural Language Instruction in Excel</x:v>
      </x:c>
      <x:c r="D47" s="9" t="n">
        <x:v>2023</x:v>
      </x:c>
      <x:c r="E47" s="8" t="str">
        <x:v>Microsoft; University of Massachusetts Amherst; Arizona State University</x:v>
      </x:c>
      <x:c r="F47" s="10" t="str">
        <x:f>VLOOKUP(H47,'Taxonomy'!$A$6:$G$70,3,FALSE)</x:f>
        <x:v>基础：定义、工作条件与核心能力</x:v>
      </x:c>
      <x:c r="G47" s="10" t="str">
        <x:f>VLOOKUP(H47,'Taxonomy'!$A$6:$G$70,5,FALSE)</x:f>
        <x:v>五项核心能力</x:v>
      </x:c>
      <x:c r="H47" s="8" t="str">
        <x:v>2.3.4</x:v>
      </x:c>
      <x:c r="I47" s="10" t="str">
        <x:f>VLOOKUP(H47,'Taxonomy'!$A$6:$G$70,6,FALSE)</x:f>
        <x:v>执行与状态管理</x:v>
      </x:c>
      <x:c r="J47" s="8" t="str">
        <x:v>原生工件生成与编辑;工具、界面与应用执行;工作形态与验收组织</x:v>
      </x:c>
      <x:c r="K47" s="8" t="str">
        <x:v>执行与状态管理</x:v>
      </x:c>
      <x:c r="L47" s="8" t="str">
        <x:v>3.2 原子动作级工作;6.1 基准与任务构造</x:v>
      </x:c>
      <x:c r="M47" s="8" t="str"/>
      <x:c r="N47" s="8" t="str">
        <x:v>Benchmark</x:v>
      </x:c>
      <x:c r="O47" s="11" t="str">
        <x:v>https://aclanthology.org/2023.findings-emnlp.265/</x:v>
      </x:c>
      <x:c r="P47" s="8" t="str">
        <x:v>把Excel操作与自然语言请求及OfficeScripts关联，覆盖多种电子表格操作。</x:v>
      </x:c>
      <x:c r="Q47" s="8" t="str">
        <x:v>是从意图到可执行操作的早期基线，可作为新业务工作簿基准的历史起点。</x:v>
      </x:c>
      <x:c r="R47" s="8" t="str">
        <x:v>指令到代码的任务不直接证明长程状态管理或开放目标规划。</x:v>
      </x:c>
      <x:c r="S47" s="8" t="str">
        <x:v>补充</x:v>
      </x:c>
      <x:c r="T47" s="12" t="str">
        <x:v>未分配</x:v>
      </x:c>
      <x:c r="U47" s="12" t="str"/>
      <x:c r="V47" s="12" t="str"/>
      <x:c r="W47" s="12" t="str"/>
      <x:c r="X47" s="8" t="str">
        <x:v>verified</x:v>
      </x:c>
      <x:c r="Y47" s="11" t="str">
        <x:v>https://github.com/microsoft/InstructExcel</x:v>
      </x:c>
      <x:c r="Z47" s="11" t="str"/>
      <x:c r="AA47" s="11" t="str">
        <x:v>https://aclanthology.org/2023.findings-emnlp.265.pdf</x:v>
      </x:c>
      <x:c r="AB47" s="11" t="str">
        <x:v>https://aclanthology.org/2023.findings-emnlp.265/</x:v>
      </x:c>
      <x:c r="AC47" s="8" t="str">
        <x:v>L101;AIO-192</x:v>
      </x:c>
      <x:c r="AD47" s="8" t="str">
        <x:v>文献库已有，2／4未引；官方摘要。</x:v>
      </x:c>
      <x:c r="AE47" s="8" t="str">
        <x:v>2.3.4动作到接口；第3章原子/多步示例候选。</x:v>
      </x:c>
      <x:c r="AF47" s="8" t="str">
        <x:v>按补充清单 L101 的论证用途归入“执行与状态管理”：是从意图到可执行操作的早期基线，可作为新业务工作簿基准的历史起点。</x:v>
      </x:c>
      <x:c r="AG47" s="8" t="str">
        <x:v>artifact</x:v>
      </x:c>
      <x:c r="AH47" s="8" t="str">
        <x:v>Excel Office Scripts instruction following</x:v>
      </x:c>
      <x:c r="AI47" s="8" t="str">
        <x:v>46</x:v>
      </x:c>
      <x:c r="AJ47" s="8" t="str">
        <x:v>survey bibliography;2026-10-16 chapter 2 / former chapter 4 supplement;2026-10-16 AI Office survey bibliography</x:v>
      </x:c>
      <x:c r="AK47" s="13" t="d">
        <x:v>2026-10-16T00:00:00.000Z</x:v>
      </x:c>
      <x:c r="AL47" s="8" t="str"/>
      <x:c r="AM47" s="8" t="str">
        <x:v>3.2;4.4;6.1</x:v>
      </x:c>
    </x:row>
    <x:row r="48" ht="68" customHeight="1">
      <x:c r="A48" s="8" t="str">
        <x:v>WA-0047</x:v>
      </x:c>
      <x:c r="B48" s="8" t="str">
        <x:v>BFCL</x:v>
      </x:c>
      <x:c r="C48" s="8" t="str">
        <x:v>The Berkeley Function Calling Leaderboard (BFCL): From Tool Use to Agentic Evaluation of Large Language Models</x:v>
      </x:c>
      <x:c r="D48" s="9" t="n">
        <x:v>2025</x:v>
      </x:c>
      <x:c r="E48" s="8" t="str">
        <x:v>University of California, Berkeley</x:v>
      </x:c>
      <x:c r="F48" s="10" t="str">
        <x:f>VLOOKUP(H48,'Taxonomy'!$A$6:$G$70,3,FALSE)</x:f>
        <x:v>评估与资源：如何检验工作完成</x:v>
      </x:c>
      <x:c r="G48" s="10" t="str">
        <x:f>VLOOKUP(H48,'Taxonomy'!$A$6:$G$70,5,FALSE)</x:f>
        <x:v>基准与任务构造</x:v>
      </x:c>
      <x:c r="H48" s="8" t="str">
        <x:v>6.1.2</x:v>
      </x:c>
      <x:c r="I48" s="10" t="str">
        <x:f>VLOOKUP(H48,'Taxonomy'!$A$6:$G$70,6,FALSE)</x:f>
        <x:v>领域覆盖与工作要求</x:v>
      </x:c>
      <x:c r="J48" s="8" t="str">
        <x:v>工具、界面与应用执行;答案、产物、状态与过程证据;工作形态与验收组织</x:v>
      </x:c>
      <x:c r="K48" s="8" t="str">
        <x:v>推理与决策;执行与状态管理</x:v>
      </x:c>
      <x:c r="L48" s="8" t="str">
        <x:v>3.2 原子动作级工作;2.3.4 执行与状态管理</x:v>
      </x:c>
      <x:c r="M48" s="8" t="str"/>
      <x:c r="N48" s="8" t="str">
        <x:v>Benchmark</x:v>
      </x:c>
      <x:c r="O48" s="11" t="str">
        <x:v>https://proceedings.mlr.press/v267/patil25a.html</x:v>
      </x:c>
      <x:c r="P48" s="8" t="str">
        <x:v>用 AST 与执行评估覆盖串行、并行及多轮有状态函数调用。</x:v>
      </x:c>
      <x:c r="Q48" s="8" t="str"/>
      <x:c r="R48" s="8" t="str"/>
      <x:c r="S48" s="8" t="str"/>
      <x:c r="T48" s="12" t="str">
        <x:v>未分配</x:v>
      </x:c>
      <x:c r="U48" s="12" t="str"/>
      <x:c r="V48" s="12" t="str"/>
      <x:c r="W48" s="12" t="str"/>
      <x:c r="X48" s="8" t="str">
        <x:v>verified</x:v>
      </x:c>
      <x:c r="Y48" s="11" t="str">
        <x:v>https://github.com/ShishirPatil/gorilla/tree/main/berkeley-function-call-leaderboard</x:v>
      </x:c>
      <x:c r="Z48" s="11" t="str"/>
      <x:c r="AA48" s="11" t="str">
        <x:v>https://raw.githubusercontent.com/mlresearch/v267/main/assets/patil25a/patil25a.pdf</x:v>
      </x:c>
      <x:c r="AB48" s="11" t="str">
        <x:v>https://proceedings.mlr.press/v267/patil25a.html</x:v>
      </x:c>
      <x:c r="AC48" s="8" t="str"/>
      <x:c r="AD48" s="8" t="str"/>
      <x:c r="AE48" s="8" t="str"/>
      <x:c r="AF48" s="8" t="str">
        <x:v>用于“领域覆盖与工作要求”：用 AST 与执行评估覆盖串行、并行及多轮有状态函数调用。</x:v>
      </x:c>
      <x:c r="AG48" s="8" t="str">
        <x:v>tool-enterprise</x:v>
      </x:c>
      <x:c r="AH48" s="8" t="str">
        <x:v>function calling evaluation</x:v>
      </x:c>
      <x:c r="AI48" s="8" t="str">
        <x:v>47</x:v>
      </x:c>
      <x:c r="AJ48" s="8" t="str">
        <x:v>survey bibliography</x:v>
      </x:c>
      <x:c r="AK48" s="13" t="d">
        <x:v>2026-10-16T00:00:00.000Z</x:v>
      </x:c>
      <x:c r="AL48" s="8" t="str">
        <x:v>采用 ICML 2025/PMLR 正式页面；BFCL 项目早于论文公开。</x:v>
      </x:c>
      <x:c r="AM48" s="8" t="str">
        <x:v>3.2;4.4;6.1</x:v>
      </x:c>
    </x:row>
    <x:row r="49" ht="68" customHeight="1">
      <x:c r="A49" s="8" t="str">
        <x:v>WA-0048</x:v>
      </x:c>
      <x:c r="B49" s="8" t="str">
        <x:v>SeeClick</x:v>
      </x:c>
      <x:c r="C49" s="8" t="str">
        <x:v>SeeClick: Harnessing GUI Grounding for Advanced Visual GUI Agents</x:v>
      </x:c>
      <x:c r="D49" s="9" t="n">
        <x:v>2024</x:v>
      </x:c>
      <x:c r="E49" s="8" t="str">
        <x:v>Nanjing University; Shanghai AI Laboratory</x:v>
      </x:c>
      <x:c r="F49" s="10" t="str">
        <x:f>VLOOKUP(H49,'Taxonomy'!$A$6:$G$70,3,FALSE)</x:f>
        <x:v>基础：定义、工作条件与核心能力</x:v>
      </x:c>
      <x:c r="G49" s="10" t="str">
        <x:f>VLOOKUP(H49,'Taxonomy'!$A$6:$G$70,5,FALSE)</x:f>
        <x:v>五项核心能力</x:v>
      </x:c>
      <x:c r="H49" s="8" t="str">
        <x:v>2.3.1</x:v>
      </x:c>
      <x:c r="I49" s="10" t="str">
        <x:f>VLOOKUP(H49,'Taxonomy'!$A$6:$G$70,6,FALSE)</x:f>
        <x:v>感知与理解</x:v>
      </x:c>
      <x:c r="J49" s="8" t="str">
        <x:v>对象结构、模态与语义;接口与观测优化</x:v>
      </x:c>
      <x:c r="K49" s="8" t="str">
        <x:v>感知与理解;执行与状态管理</x:v>
      </x:c>
      <x:c r="L49" s="8" t="str">
        <x:v>5.2 模型优化</x:v>
      </x:c>
      <x:c r="M49" s="8" t="str"/>
      <x:c r="N49" s="8" t="str">
        <x:v>Method;Benchmark</x:v>
      </x:c>
      <x:c r="O49" s="11" t="str">
        <x:v>https://aclanthology.org/2024.acl-long.505/</x:v>
      </x:c>
      <x:c r="P49" s="8" t="str">
        <x:v>通过 GUI 元素定位训练增强视觉操作代理，并提供 ScreenSpot 定位评测。</x:v>
      </x:c>
      <x:c r="Q49" s="8" t="str">
        <x:v>为视觉GUI定位能力提供经典补充方法。</x:v>
      </x:c>
      <x:c r="R49" s="8" t="str">
        <x:v>屏幕定位与在线执行任务不是同一指标。</x:v>
      </x:c>
      <x:c r="S49" s="8" t="str">
        <x:v>补充</x:v>
      </x:c>
      <x:c r="T49" s="12" t="str">
        <x:v>未分配</x:v>
      </x:c>
      <x:c r="U49" s="12" t="str"/>
      <x:c r="V49" s="12" t="str"/>
      <x:c r="W49" s="12" t="str"/>
      <x:c r="X49" s="8" t="str">
        <x:v>verified</x:v>
      </x:c>
      <x:c r="Y49" s="11" t="str">
        <x:v>https://github.com/njucckevin/SeeClick</x:v>
      </x:c>
      <x:c r="Z49" s="11" t="str"/>
      <x:c r="AA49" s="11" t="str">
        <x:v>https://aclanthology.org/2024.acl-long.505.pdf</x:v>
      </x:c>
      <x:c r="AB49" s="11" t="str">
        <x:v>https://aclanthology.org/2024.acl-long.505/</x:v>
      </x:c>
      <x:c r="AC49" s="8" t="str">
        <x:v>L130;AIO-048</x:v>
      </x:c>
      <x:c r="AD49" s="8" t="str">
        <x:v>这些条目已出现在第二章或原第四章，但本轮没有重新核查原文。题名、年份与链接沿用现有文献库；不能把它们计作本轮新核实的证据。</x:v>
      </x:c>
      <x:c r="AE49" s="8" t="str">
        <x:v>原第四章</x:v>
      </x:c>
      <x:c r="AF49" s="8" t="str">
        <x:v>用于“感知与理解”：通过 GUI 元素定位训练增强视觉操作代理，并提供 ScreenSpot 定位评测。</x:v>
      </x:c>
      <x:c r="AG49" s="8" t="str">
        <x:v>computer-use</x:v>
      </x:c>
      <x:c r="AH49" s="8" t="str">
        <x:v>GUI grounding</x:v>
      </x:c>
      <x:c r="AI49" s="8" t="str">
        <x:v>48</x:v>
      </x:c>
      <x:c r="AJ49" s="8" t="str">
        <x:v>survey bibliography;2026-10-16 chapter 2 / former chapter 4 supplement;2026-10-16 AI Office survey bibliography</x:v>
      </x:c>
      <x:c r="AK49" s="13" t="d">
        <x:v>2026-10-16T00:00:00.000Z</x:v>
      </x:c>
      <x:c r="AL49" s="8" t="str">
        <x:v>论文也发布于 arXiv:2401.10935；此处采用 ACL 正式版本。 来源为附件附录A既有引用索引；未把附件的未复核条目升级为本轮已读证据。原稿位置：原第四章；引用键：cheng-etal-2024-seeclick。</x:v>
      </x:c>
      <x:c r="AM49" s="8" t="str">
        <x:v>4.1;5.2</x:v>
      </x:c>
    </x:row>
    <x:row r="50" ht="68" customHeight="1">
      <x:c r="A50" s="8" t="str">
        <x:v>WA-0049</x:v>
      </x:c>
      <x:c r="B50" s="8" t="str">
        <x:v>ScreenSpot-Pro</x:v>
      </x:c>
      <x:c r="C50" s="8" t="str">
        <x:v>ScreenSpot-Pro: GUI Grounding for Professional High-Resolution Computer Use</x:v>
      </x:c>
      <x:c r="D50" s="9" t="n">
        <x:v>2025</x:v>
      </x:c>
      <x:c r="E50" s="8" t="str">
        <x:v>National University of Singapore; East China Normal University; Hong Kong Baptist University</x:v>
      </x:c>
      <x:c r="F50" s="10" t="str">
        <x:f>VLOOKUP(H50,'Taxonomy'!$A$6:$G$70,3,FALSE)</x:f>
        <x:v>基础：定义、工作条件与核心能力</x:v>
      </x:c>
      <x:c r="G50" s="10" t="str">
        <x:f>VLOOKUP(H50,'Taxonomy'!$A$6:$G$70,5,FALSE)</x:f>
        <x:v>五项核心能力</x:v>
      </x:c>
      <x:c r="H50" s="8" t="str">
        <x:v>2.3.1</x:v>
      </x:c>
      <x:c r="I50" s="10" t="str">
        <x:f>VLOOKUP(H50,'Taxonomy'!$A$6:$G$70,6,FALSE)</x:f>
        <x:v>感知与理解</x:v>
      </x:c>
      <x:c r="J50" s="8" t="str">
        <x:v>对象结构、模态与语义;任务覆盖与泛化边界</x:v>
      </x:c>
      <x:c r="K50" s="8" t="str">
        <x:v>感知与理解</x:v>
      </x:c>
      <x:c r="L50" s="8" t="str">
        <x:v>6.1 基准与任务构造</x:v>
      </x:c>
      <x:c r="M50" s="8" t="str"/>
      <x:c r="N50" s="8" t="str">
        <x:v>Benchmark</x:v>
      </x:c>
      <x:c r="O50" s="11" t="str">
        <x:v>https://arxiv.org/abs/2504.07981</x:v>
      </x:c>
      <x:c r="P50" s="8" t="str">
        <x:v>使用高分辨率专业软件界面评估细粒度 GUI 目标定位能力。</x:v>
      </x:c>
      <x:c r="Q50" s="8" t="str"/>
      <x:c r="R50" s="8" t="str"/>
      <x:c r="S50" s="8" t="str"/>
      <x:c r="T50" s="12" t="str">
        <x:v>未分配</x:v>
      </x:c>
      <x:c r="U50" s="12" t="str"/>
      <x:c r="V50" s="12" t="str"/>
      <x:c r="W50" s="12" t="str"/>
      <x:c r="X50" s="8" t="str">
        <x:v>verified</x:v>
      </x:c>
      <x:c r="Y50" s="11" t="str">
        <x:v>https://github.com/likaixin2000/ScreenSpot-Pro-GUI-Grounding</x:v>
      </x:c>
      <x:c r="Z50" s="11" t="str">
        <x:v>https://huggingface.co/datasets/likaixin/ScreenSpot-Pro</x:v>
      </x:c>
      <x:c r="AA50" s="11" t="str">
        <x:v>https://arxiv.org/pdf/2504.07981</x:v>
      </x:c>
      <x:c r="AB50" s="11" t="str">
        <x:v>https://arxiv.org/abs/2504.07981</x:v>
      </x:c>
      <x:c r="AC50" s="8" t="str"/>
      <x:c r="AD50" s="8" t="str"/>
      <x:c r="AE50" s="8" t="str"/>
      <x:c r="AF50" s="8" t="str">
        <x:v>用于“感知与理解”：使用高分辨率专业软件界面评估细粒度 GUI 目标定位能力。</x:v>
      </x:c>
      <x:c r="AG50" s="8" t="str">
        <x:v>computer-use</x:v>
      </x:c>
      <x:c r="AH50" s="8" t="str">
        <x:v>professional high-resolution GUI grounding</x:v>
      </x:c>
      <x:c r="AI50" s="8" t="str">
        <x:v>49</x:v>
      </x:c>
      <x:c r="AJ50" s="8" t="str">
        <x:v>survey bibliography</x:v>
      </x:c>
      <x:c r="AK50" s="13" t="d">
        <x:v>2026-10-16T00:00:00.000Z</x:v>
      </x:c>
      <x:c r="AL50" s="8" t="str"/>
      <x:c r="AM50" s="8" t="str">
        <x:v>4.1;6.1</x:v>
      </x:c>
    </x:row>
    <x:row r="51" ht="68" customHeight="1">
      <x:c r="A51" s="8" t="str">
        <x:v>WA-0050</x:v>
      </x:c>
      <x:c r="B51" s="8" t="str">
        <x:v>GUI-Actor</x:v>
      </x:c>
      <x:c r="C51" s="8" t="str">
        <x:v>GUI-Actor: Coordinate-Free Visual Grounding for GUI Agents</x:v>
      </x:c>
      <x:c r="D51" s="9" t="n">
        <x:v>2025</x:v>
      </x:c>
      <x:c r="E51" s="8" t="str">
        <x:v>Microsoft; Nanjing University; University of Illinois Urbana-Champaign</x:v>
      </x:c>
      <x:c r="F51" s="10" t="str">
        <x:f>VLOOKUP(H51,'Taxonomy'!$A$6:$G$70,3,FALSE)</x:f>
        <x:v>基础：定义、工作条件与核心能力</x:v>
      </x:c>
      <x:c r="G51" s="10" t="str">
        <x:f>VLOOKUP(H51,'Taxonomy'!$A$6:$G$70,5,FALSE)</x:f>
        <x:v>五项核心能力</x:v>
      </x:c>
      <x:c r="H51" s="8" t="str">
        <x:v>2.3.1</x:v>
      </x:c>
      <x:c r="I51" s="10" t="str">
        <x:f>VLOOKUP(H51,'Taxonomy'!$A$6:$G$70,6,FALSE)</x:f>
        <x:v>感知与理解</x:v>
      </x:c>
      <x:c r="J51" s="8" t="str">
        <x:v>对象结构、模态与语义;接口与观测优化</x:v>
      </x:c>
      <x:c r="K51" s="8" t="str">
        <x:v>感知与理解;执行与状态管理</x:v>
      </x:c>
      <x:c r="L51" s="8" t="str">
        <x:v>5.2 模型优化</x:v>
      </x:c>
      <x:c r="M51" s="8" t="str"/>
      <x:c r="N51" s="8" t="str">
        <x:v>Method</x:v>
      </x:c>
      <x:c r="O51" s="11" t="str">
        <x:v>https://arxiv.org/abs/2506.03143</x:v>
      </x:c>
      <x:c r="P51" s="8" t="str">
        <x:v>通过注意力式视觉定位替代坐标文本生成，改进 GUI 元素定位及操作。</x:v>
      </x:c>
      <x:c r="Q51" s="8" t="str">
        <x:v>提供视觉元素到可执行GUI目标之间的落地机制案例。</x:v>
      </x:c>
      <x:c r="R51" s="8" t="str">
        <x:v>定位分数不足以证明端到端任务成功或长期状态维护。</x:v>
      </x:c>
      <x:c r="S51" s="8" t="str">
        <x:v>补充</x:v>
      </x:c>
      <x:c r="T51" s="12" t="str">
        <x:v>未分配</x:v>
      </x:c>
      <x:c r="U51" s="12" t="str"/>
      <x:c r="V51" s="12" t="str"/>
      <x:c r="W51" s="12" t="str"/>
      <x:c r="X51" s="8" t="str">
        <x:v>verified</x:v>
      </x:c>
      <x:c r="Y51" s="11" t="str">
        <x:v>https://github.com/microsoft/GUI-Actor</x:v>
      </x:c>
      <x:c r="Z51" s="11" t="str"/>
      <x:c r="AA51" s="11" t="str">
        <x:v>https://arxiv.org/pdf/2506.03143</x:v>
      </x:c>
      <x:c r="AB51" s="11" t="str">
        <x:v>https://arxiv.org/abs/2506.03143</x:v>
      </x:c>
      <x:c r="AC51" s="8" t="str">
        <x:v>L119</x:v>
      </x:c>
      <x:c r="AD51" s="8" t="str">
        <x:v>这些条目已出现在第二章或原第四章，但本轮没有重新核查原文。题名、年份与链接沿用现有文献库；不能把它们计作本轮新核实的证据。</x:v>
      </x:c>
      <x:c r="AE51" s="8" t="str">
        <x:v>原第四章</x:v>
      </x:c>
      <x:c r="AF51" s="8" t="str">
        <x:v>用于“感知与理解”：通过注意力式视觉定位替代坐标文本生成，改进 GUI 元素定位及操作。</x:v>
      </x:c>
      <x:c r="AG51" s="8" t="str">
        <x:v>computer-use</x:v>
      </x:c>
      <x:c r="AH51" s="8" t="str">
        <x:v>coordinate-free GUI grounding</x:v>
      </x:c>
      <x:c r="AI51" s="8" t="str">
        <x:v>50</x:v>
      </x:c>
      <x:c r="AJ51" s="8" t="str">
        <x:v>survey bibliography;2026-10-16 chapter 2 / former chapter 4 supplement</x:v>
      </x:c>
      <x:c r="AK51" s="13" t="d">
        <x:v>2026-10-16T00:00:00.000Z</x:v>
      </x:c>
      <x:c r="AL51" s="8" t="str">
        <x:v>来源为附件附录A既有引用索引；未把附件的未复核条目升级为本轮已读证据。原稿位置：原第四章；引用键：wu2025guiactorcoordinatefreevisualgrounding。</x:v>
      </x:c>
      <x:c r="AM51" s="8" t="str">
        <x:v>4.1;5.2</x:v>
      </x:c>
    </x:row>
    <x:row r="52" ht="68" customHeight="1">
      <x:c r="A52" s="8" t="str">
        <x:v>WA-0051</x:v>
      </x:c>
      <x:c r="B52" s="8" t="str">
        <x:v>DABstep</x:v>
      </x:c>
      <x:c r="C52" s="8" t="str">
        <x:v>DABstep: Data Agent Benchmark for Multi-step Reasoning</x:v>
      </x:c>
      <x:c r="D52" s="9" t="n">
        <x:v>2025</x:v>
      </x:c>
      <x:c r="E52" s="8" t="str">
        <x:v>Adyen; Hugging Face</x:v>
      </x:c>
      <x:c r="F52" s="10" t="str">
        <x:f>VLOOKUP(H52,'Taxonomy'!$A$6:$G$70,3,FALSE)</x:f>
        <x:v>基础：定义、工作条件与核心能力</x:v>
      </x:c>
      <x:c r="G52" s="10" t="str">
        <x:f>VLOOKUP(H52,'Taxonomy'!$A$6:$G$70,5,FALSE)</x:f>
        <x:v>五项核心能力</x:v>
      </x:c>
      <x:c r="H52" s="8" t="str">
        <x:v>2.3.2</x:v>
      </x:c>
      <x:c r="I52" s="10" t="str">
        <x:f>VLOOKUP(H52,'Taxonomy'!$A$6:$G$70,6,FALSE)</x:f>
        <x:v>推理与决策</x:v>
      </x:c>
      <x:c r="J52" s="8" t="str">
        <x:v>材料发现与证据定位;证据整合与推理;任务分解与行动依赖</x:v>
      </x:c>
      <x:c r="K52" s="8" t="str">
        <x:v>感知与理解;推理与决策;执行与状态管理</x:v>
      </x:c>
      <x:c r="L52" s="8" t="str">
        <x:v>2.3.1 感知与理解;6.1 基准与任务构造</x:v>
      </x:c>
      <x:c r="M52" s="8" t="str"/>
      <x:c r="N52" s="8" t="str">
        <x:v>Benchmark</x:v>
      </x:c>
      <x:c r="O52" s="11" t="str">
        <x:v>https://arxiv.org/abs/2506.23719</x:v>
      </x:c>
      <x:c r="P52" s="8" t="str">
        <x:v>基于真实支付业务数据构建多步分析任务，要求联合使用结构化数据和说明文档。</x:v>
      </x:c>
      <x:c r="Q52" s="8" t="str"/>
      <x:c r="R52" s="8" t="str"/>
      <x:c r="S52" s="8" t="str"/>
      <x:c r="T52" s="12" t="str">
        <x:v>未分配</x:v>
      </x:c>
      <x:c r="U52" s="12" t="str"/>
      <x:c r="V52" s="12" t="str"/>
      <x:c r="W52" s="12" t="str"/>
      <x:c r="X52" s="8" t="str">
        <x:v>verified</x:v>
      </x:c>
      <x:c r="Y52" s="11" t="str"/>
      <x:c r="Z52" s="11" t="str"/>
      <x:c r="AA52" s="11" t="str">
        <x:v>https://arxiv.org/pdf/2506.23719</x:v>
      </x:c>
      <x:c r="AB52" s="11" t="str">
        <x:v>https://arxiv.org/abs/2506.23719</x:v>
      </x:c>
      <x:c r="AC52" s="8" t="str"/>
      <x:c r="AD52" s="8" t="str"/>
      <x:c r="AE52" s="8" t="str"/>
      <x:c r="AF52" s="8" t="str">
        <x:v>用于“推理与决策”：基于真实支付业务数据构建多步分析任务，要求联合使用结构化数据和说明文档。</x:v>
      </x:c>
      <x:c r="AG52" s="8" t="str">
        <x:v>swe-science</x:v>
      </x:c>
      <x:c r="AH52" s="8" t="str">
        <x:v>industrial multi-step data analysis</x:v>
      </x:c>
      <x:c r="AI52" s="8" t="str">
        <x:v>51</x:v>
      </x:c>
      <x:c r="AJ52" s="8" t="str">
        <x:v>survey bibliography</x:v>
      </x:c>
      <x:c r="AK52" s="13" t="d">
        <x:v>2026-10-16T00:00:00.000Z</x:v>
      </x:c>
      <x:c r="AL52" s="8" t="str"/>
      <x:c r="AM52" s="8" t="str">
        <x:v>4.1;4.2;6.1</x:v>
      </x:c>
    </x:row>
    <x:row r="53" ht="68" customHeight="1">
      <x:c r="A53" s="8" t="str">
        <x:v>WA-0052</x:v>
      </x:c>
      <x:c r="B53" s="8" t="str">
        <x:v>MCP-Bench</x:v>
      </x:c>
      <x:c r="C53" s="8" t="str">
        <x:v>MCP-Bench: Benchmarking Tool-Using LLM Agents with Complex Real-World Tasks via MCP Servers</x:v>
      </x:c>
      <x:c r="D53" s="9" t="n">
        <x:v>2025</x:v>
      </x:c>
      <x:c r="E53" s="8" t="str">
        <x:v>Accenture; University of California, Berkeley</x:v>
      </x:c>
      <x:c r="F53" s="10" t="str">
        <x:f>VLOOKUP(H53,'Taxonomy'!$A$6:$G$70,3,FALSE)</x:f>
        <x:v>评估与资源：如何检验工作完成</x:v>
      </x:c>
      <x:c r="G53" s="10" t="str">
        <x:f>VLOOKUP(H53,'Taxonomy'!$A$6:$G$70,5,FALSE)</x:f>
        <x:v>基准与任务构造</x:v>
      </x:c>
      <x:c r="H53" s="8" t="str">
        <x:v>6.1.2</x:v>
      </x:c>
      <x:c r="I53" s="10" t="str">
        <x:f>VLOOKUP(H53,'Taxonomy'!$A$6:$G$70,6,FALSE)</x:f>
        <x:v>领域覆盖与工作要求</x:v>
      </x:c>
      <x:c r="J53" s="8" t="str">
        <x:v>工具、界面与应用执行;任务分解与行动依赖;工作形态与验收组织</x:v>
      </x:c>
      <x:c r="K53" s="8" t="str">
        <x:v>推理与决策;规划与协调;执行与状态管理</x:v>
      </x:c>
      <x:c r="L53" s="8" t="str">
        <x:v>2.3.4 执行与状态管理</x:v>
      </x:c>
      <x:c r="M53" s="8" t="str"/>
      <x:c r="N53" s="8" t="str">
        <x:v>Benchmark</x:v>
      </x:c>
      <x:c r="O53" s="11" t="str">
        <x:v>https://arxiv.org/abs/2508.20453</x:v>
      </x:c>
      <x:c r="P53" s="8" t="str">
        <x:v>通过真实 MCP 服务组合多步任务，检验工具发现、参数控制及跨工具协调。</x:v>
      </x:c>
      <x:c r="Q53" s="8" t="str"/>
      <x:c r="R53" s="8" t="str"/>
      <x:c r="S53" s="8" t="str"/>
      <x:c r="T53" s="12" t="str">
        <x:v>未分配</x:v>
      </x:c>
      <x:c r="U53" s="12" t="str"/>
      <x:c r="V53" s="12" t="str"/>
      <x:c r="W53" s="12" t="str"/>
      <x:c r="X53" s="8" t="str">
        <x:v>verified</x:v>
      </x:c>
      <x:c r="Y53" s="11" t="str">
        <x:v>https://github.com/Accenture/mcp-bench</x:v>
      </x:c>
      <x:c r="Z53" s="11" t="str"/>
      <x:c r="AA53" s="11" t="str">
        <x:v>https://arxiv.org/pdf/2508.20453</x:v>
      </x:c>
      <x:c r="AB53" s="11" t="str">
        <x:v>https://arxiv.org/abs/2508.20453</x:v>
      </x:c>
      <x:c r="AC53" s="8" t="str"/>
      <x:c r="AD53" s="8" t="str"/>
      <x:c r="AE53" s="8" t="str"/>
      <x:c r="AF53" s="8" t="str">
        <x:v>用于“领域覆盖与工作要求”：通过真实 MCP 服务组合多步任务，检验工具发现、参数控制及跨工具协调。</x:v>
      </x:c>
      <x:c r="AG53" s="8" t="str">
        <x:v>tool-enterprise</x:v>
      </x:c>
      <x:c r="AH53" s="8" t="str">
        <x:v>MCP cross-tool workflow</x:v>
      </x:c>
      <x:c r="AI53" s="8" t="str">
        <x:v>52</x:v>
      </x:c>
      <x:c r="AJ53" s="8" t="str">
        <x:v>survey bibliography</x:v>
      </x:c>
      <x:c r="AK53" s="13" t="d">
        <x:v>2026-10-16T00:00:00.000Z</x:v>
      </x:c>
      <x:c r="AL53" s="8" t="str"/>
      <x:c r="AM53" s="8" t="str">
        <x:v>4.4;6.1</x:v>
      </x:c>
    </x:row>
    <x:row r="54" ht="68" customHeight="1">
      <x:c r="A54" s="8" t="str">
        <x:v>WA-0053</x:v>
      </x:c>
      <x:c r="B54" s="8" t="str">
        <x:v>DSBench</x:v>
      </x:c>
      <x:c r="C54" s="8" t="str">
        <x:v>DSBench: How Far Are Data Science Agents from Becoming Data Science Experts?</x:v>
      </x:c>
      <x:c r="D54" s="9" t="n">
        <x:v>2024</x:v>
      </x:c>
      <x:c r="E54" s="8" t="str">
        <x:v>University of Texas at Dallas; Tencent AI Lab, Seattle; University of Southern California</x:v>
      </x:c>
      <x:c r="F54" s="10" t="str">
        <x:f>VLOOKUP(H54,'Taxonomy'!$A$6:$G$70,3,FALSE)</x:f>
        <x:v>基础：定义、工作条件与核心能力</x:v>
      </x:c>
      <x:c r="G54" s="10" t="str">
        <x:f>VLOOKUP(H54,'Taxonomy'!$A$6:$G$70,5,FALSE)</x:f>
        <x:v>五项核心能力</x:v>
      </x:c>
      <x:c r="H54" s="8" t="str">
        <x:v>2.3.2</x:v>
      </x:c>
      <x:c r="I54" s="10" t="str">
        <x:f>VLOOKUP(H54,'Taxonomy'!$A$6:$G$70,6,FALSE)</x:f>
        <x:v>推理与决策</x:v>
      </x:c>
      <x:c r="J54" s="8" t="str">
        <x:v>职业知识与专业判断;证据整合与推理;工具、界面与应用执行</x:v>
      </x:c>
      <x:c r="K54" s="8" t="str">
        <x:v>推理与决策;规划与协调;执行与状态管理</x:v>
      </x:c>
      <x:c r="L54" s="8" t="str">
        <x:v>6.1 基准与任务构造</x:v>
      </x:c>
      <x:c r="M54" s="8" t="str"/>
      <x:c r="N54" s="8" t="str">
        <x:v>Benchmark</x:v>
      </x:c>
      <x:c r="O54" s="11" t="str">
        <x:v>https://arxiv.org/abs/2409.07703</x:v>
      </x:c>
      <x:c r="P54" s="8" t="str">
        <x:v>以真实分析与建模任务检验数据科学代理的端到端工作能力。</x:v>
      </x:c>
      <x:c r="Q54" s="8" t="str">
        <x:v>为数据分析中推理、代码执行和产出验证的组合提供基准。</x:v>
      </x:c>
      <x:c r="R54" s="8" t="str">
        <x:v>任务得分不能直接解释为现实数据科学岗位自动化比例。</x:v>
      </x:c>
      <x:c r="S54" s="8" t="str">
        <x:v>补充</x:v>
      </x:c>
      <x:c r="T54" s="12" t="str">
        <x:v>未分配</x:v>
      </x:c>
      <x:c r="U54" s="12" t="str"/>
      <x:c r="V54" s="12" t="str"/>
      <x:c r="W54" s="12" t="str"/>
      <x:c r="X54" s="8" t="str">
        <x:v>verified</x:v>
      </x:c>
      <x:c r="Y54" s="11" t="str">
        <x:v>https://github.com/LiqiangJing/DSBench</x:v>
      </x:c>
      <x:c r="Z54" s="11" t="str"/>
      <x:c r="AA54" s="11" t="str">
        <x:v>https://arxiv.org/pdf/2409.07703</x:v>
      </x:c>
      <x:c r="AB54" s="11" t="str">
        <x:v>https://arxiv.org/abs/2409.07703</x:v>
      </x:c>
      <x:c r="AC54" s="8" t="str">
        <x:v>L127</x:v>
      </x:c>
      <x:c r="AD54" s="8" t="str">
        <x:v>这些条目已出现在第二章或原第四章，但本轮没有重新核查原文。题名、年份与链接沿用现有文献库；不能把它们计作本轮新核实的证据。</x:v>
      </x:c>
      <x:c r="AE54" s="8" t="str">
        <x:v>原第四章</x:v>
      </x:c>
      <x:c r="AF54" s="8" t="str">
        <x:v>用于“推理与决策”：以真实分析与建模任务检验数据科学代理的端到端工作能力。</x:v>
      </x:c>
      <x:c r="AG54" s="8" t="str">
        <x:v>swe-science</x:v>
      </x:c>
      <x:c r="AH54" s="8" t="str">
        <x:v>data science analysis and modeling</x:v>
      </x:c>
      <x:c r="AI54" s="8" t="str">
        <x:v>53</x:v>
      </x:c>
      <x:c r="AJ54" s="8" t="str">
        <x:v>survey bibliography;2026-10-16 chapter 2 / former chapter 4 supplement</x:v>
      </x:c>
      <x:c r="AK54" s="13" t="d">
        <x:v>2026-10-16T00:00:00.000Z</x:v>
      </x:c>
      <x:c r="AL54" s="8" t="str">
        <x:v>来源为附件附录A既有引用索引；未把附件的未复核条目升级为本轮已读证据。原稿位置：原第四章；引用键：dsbench。</x:v>
      </x:c>
      <x:c r="AM54" s="8" t="str">
        <x:v>4.2;6.1</x:v>
      </x:c>
    </x:row>
    <x:row r="55" ht="68" customHeight="1">
      <x:c r="A55" s="8" t="str">
        <x:v>WA-0054</x:v>
      </x:c>
      <x:c r="B55" s="8" t="str">
        <x:v>DataSciBench</x:v>
      </x:c>
      <x:c r="C55" s="8" t="str">
        <x:v>DataSciBench: An LLM Agent Benchmark for Data Science</x:v>
      </x:c>
      <x:c r="D55" s="9" t="n">
        <x:v>2025</x:v>
      </x:c>
      <x:c r="E55" s="8" t="str">
        <x:v>Tsinghua University; Zhipu AI; University of California, Berkeley; California Institute of Technology</x:v>
      </x:c>
      <x:c r="F55" s="10" t="str">
        <x:f>VLOOKUP(H55,'Taxonomy'!$A$6:$G$70,3,FALSE)</x:f>
        <x:v>评估与资源：如何检验工作完成</x:v>
      </x:c>
      <x:c r="G55" s="10" t="str">
        <x:f>VLOOKUP(H55,'Taxonomy'!$A$6:$G$70,5,FALSE)</x:f>
        <x:v>基准与任务构造</x:v>
      </x:c>
      <x:c r="H55" s="8" t="str">
        <x:v>6.1.2</x:v>
      </x:c>
      <x:c r="I55" s="10" t="str">
        <x:f>VLOOKUP(H55,'Taxonomy'!$A$6:$G$70,6,FALSE)</x:f>
        <x:v>领域覆盖与工作要求</x:v>
      </x:c>
      <x:c r="J55" s="8" t="str">
        <x:v>职业知识与专业判断;工具、界面与应用执行;成果与实际状态核验</x:v>
      </x:c>
      <x:c r="K55" s="8" t="str">
        <x:v>推理与决策;执行与状态管理;验证、恢复与重新规划</x:v>
      </x:c>
      <x:c r="L55" s="8" t="str">
        <x:v>2.3.2 推理与决策</x:v>
      </x:c>
      <x:c r="M55" s="8" t="str"/>
      <x:c r="N55" s="8" t="str">
        <x:v>Benchmark</x:v>
      </x:c>
      <x:c r="O55" s="11" t="str">
        <x:v>https://arxiv.org/abs/2502.13897</x:v>
      </x:c>
      <x:c r="P55" s="8" t="str">
        <x:v>用多样化数据科学需求和任务特定评估检查代理生成并执行分析代码的能力。</x:v>
      </x:c>
      <x:c r="Q55" s="8" t="str"/>
      <x:c r="R55" s="8" t="str"/>
      <x:c r="S55" s="8" t="str"/>
      <x:c r="T55" s="12" t="str">
        <x:v>未分配</x:v>
      </x:c>
      <x:c r="U55" s="12" t="str"/>
      <x:c r="V55" s="12" t="str"/>
      <x:c r="W55" s="12" t="str"/>
      <x:c r="X55" s="8" t="str">
        <x:v>verified</x:v>
      </x:c>
      <x:c r="Y55" s="11" t="str">
        <x:v>https://github.com/THUDM/DataSciBench</x:v>
      </x:c>
      <x:c r="Z55" s="11" t="str"/>
      <x:c r="AA55" s="11" t="str">
        <x:v>https://arxiv.org/pdf/2502.13897</x:v>
      </x:c>
      <x:c r="AB55" s="11" t="str">
        <x:v>https://arxiv.org/abs/2502.13897</x:v>
      </x:c>
      <x:c r="AC55" s="8" t="str"/>
      <x:c r="AD55" s="8" t="str"/>
      <x:c r="AE55" s="8" t="str"/>
      <x:c r="AF55" s="8" t="str">
        <x:v>用于“领域覆盖与工作要求”：用多样化数据科学需求和任务特定评估检查代理生成并执行分析代码的能力。</x:v>
      </x:c>
      <x:c r="AG55" s="8" t="str">
        <x:v>swe-science</x:v>
      </x:c>
      <x:c r="AH55" s="8" t="str">
        <x:v>data science execution</x:v>
      </x:c>
      <x:c r="AI55" s="8" t="str">
        <x:v>54</x:v>
      </x:c>
      <x:c r="AJ55" s="8" t="str">
        <x:v>survey bibliography</x:v>
      </x:c>
      <x:c r="AK55" s="13" t="d">
        <x:v>2026-10-16T00:00:00.000Z</x:v>
      </x:c>
      <x:c r="AL55" s="8" t="str"/>
      <x:c r="AM55" s="8" t="str">
        <x:v>4.2;6.1</x:v>
      </x:c>
    </x:row>
    <x:row r="56" ht="68" customHeight="1">
      <x:c r="A56" s="8" t="str">
        <x:v>WA-0055</x:v>
      </x:c>
      <x:c r="B56" s="8" t="str">
        <x:v>ScienceAgentBench</x:v>
      </x:c>
      <x:c r="C56" s="8" t="str">
        <x:v>ScienceAgentBench: Toward Rigorous Assessment of Language Agents for Data-Driven Scientific Discovery</x:v>
      </x:c>
      <x:c r="D56" s="9" t="n">
        <x:v>2024</x:v>
      </x:c>
      <x:c r="E56" s="8" t="str">
        <x:v>Ohio State University; University of Wisconsin-Madison</x:v>
      </x:c>
      <x:c r="F56" s="10" t="str">
        <x:f>VLOOKUP(H56,'Taxonomy'!$A$6:$G$70,3,FALSE)</x:f>
        <x:v>基础：定义、工作条件与核心能力</x:v>
      </x:c>
      <x:c r="G56" s="10" t="str">
        <x:f>VLOOKUP(H56,'Taxonomy'!$A$6:$G$70,5,FALSE)</x:f>
        <x:v>五项核心能力</x:v>
      </x:c>
      <x:c r="H56" s="8" t="str">
        <x:v>2.3.2</x:v>
      </x:c>
      <x:c r="I56" s="10" t="str">
        <x:f>VLOOKUP(H56,'Taxonomy'!$A$6:$G$70,6,FALSE)</x:f>
        <x:v>推理与决策</x:v>
      </x:c>
      <x:c r="J56" s="8" t="str">
        <x:v>职业知识与专业判断;证据整合与推理;工具、界面与应用执行</x:v>
      </x:c>
      <x:c r="K56" s="8" t="str">
        <x:v>推理与决策;规划与协调;执行与状态管理;验证、恢复与重新规划</x:v>
      </x:c>
      <x:c r="L56" s="8" t="str">
        <x:v>2.1.2 工作过程六要素;6.1.2 领域覆盖与工作要求</x:v>
      </x:c>
      <x:c r="M56" s="8" t="str"/>
      <x:c r="N56" s="8" t="str">
        <x:v>Benchmark</x:v>
      </x:c>
      <x:c r="O56" s="11" t="str">
        <x:v>https://arxiv.org/abs/2410.05080</x:v>
      </x:c>
      <x:c r="P56" s="8" t="str">
        <x:v>从科学论文提取任务，输出独立Python程序，检查程序、执行结果和成本。</x:v>
      </x:c>
      <x:c r="Q56" s="8" t="str">
        <x:v>把科学知识落实为可运行计算与可检查结果，避免只列学科名称。</x:v>
      </x:c>
      <x:c r="R56" s="8" t="str">
        <x:v>具体科研任务不等于完整自主发现；首版2024，修订2025。</x:v>
      </x:c>
      <x:c r="S56" s="8" t="str">
        <x:v>补充</x:v>
      </x:c>
      <x:c r="T56" s="12" t="str">
        <x:v>未分配</x:v>
      </x:c>
      <x:c r="U56" s="12" t="str"/>
      <x:c r="V56" s="12" t="str"/>
      <x:c r="W56" s="12" t="str"/>
      <x:c r="X56" s="8" t="str">
        <x:v>verified</x:v>
      </x:c>
      <x:c r="Y56" s="11" t="str">
        <x:v>https://github.com/OSU-NLP-Group/ScienceAgentBench</x:v>
      </x:c>
      <x:c r="Z56" s="11" t="str">
        <x:v>https://huggingface.co/datasets/osunlp/ScienceAgentBench</x:v>
      </x:c>
      <x:c r="AA56" s="11" t="str">
        <x:v>https://arxiv.org/pdf/2410.05080</x:v>
      </x:c>
      <x:c r="AB56" s="11" t="str">
        <x:v>https://arxiv.org/abs/2410.05080</x:v>
      </x:c>
      <x:c r="AC56" s="8" t="str">
        <x:v>L094</x:v>
      </x:c>
      <x:c r="AD56" s="8" t="str">
        <x:v>第2／原第4章已引；官方摘要。</x:v>
      </x:c>
      <x:c r="AE56" s="8" t="str">
        <x:v>2.1 Outcome；2.3 专业分析和执行。</x:v>
      </x:c>
      <x:c r="AF56" s="8" t="str">
        <x:v>按补充清单 L094 的论证用途归入“推理与决策”：把科学知识落实为可运行计算与可检查结果，避免只列学科名称。</x:v>
      </x:c>
      <x:c r="AG56" s="8" t="str">
        <x:v>swe-science</x:v>
      </x:c>
      <x:c r="AH56" s="8" t="str">
        <x:v>data-driven scientific discovery</x:v>
      </x:c>
      <x:c r="AI56" s="8" t="str">
        <x:v>55</x:v>
      </x:c>
      <x:c r="AJ56" s="8" t="str">
        <x:v>survey bibliography;2026-10-16 chapter 2 / former chapter 4 supplement</x:v>
      </x:c>
      <x:c r="AK56" s="13" t="d">
        <x:v>2026-10-16T00:00:00.000Z</x:v>
      </x:c>
      <x:c r="AL56" s="8" t="str"/>
      <x:c r="AM56" s="8" t="str">
        <x:v>4.2;6.1</x:v>
      </x:c>
    </x:row>
    <x:row r="57" ht="68" customHeight="1">
      <x:c r="A57" s="8" t="str">
        <x:v>WA-0056</x:v>
      </x:c>
      <x:c r="B57" s="8" t="str">
        <x:v>Routine</x:v>
      </x:c>
      <x:c r="C57" s="8" t="str">
        <x:v>Routine: A Structural Planning Framework for LLM Agent System in Enterprise</x:v>
      </x:c>
      <x:c r="D57" s="9" t="n">
        <x:v>2025</x:v>
      </x:c>
      <x:c r="E57" s="8" t="str">
        <x:v>Digital China AI Research</x:v>
      </x:c>
      <x:c r="F57" s="10" t="str">
        <x:f>VLOOKUP(H57,'Taxonomy'!$A$6:$G$70,3,FALSE)</x:f>
        <x:v>基础：定义、工作条件与核心能力</x:v>
      </x:c>
      <x:c r="G57" s="10" t="str">
        <x:f>VLOOKUP(H57,'Taxonomy'!$A$6:$G$70,5,FALSE)</x:f>
        <x:v>五项核心能力</x:v>
      </x:c>
      <x:c r="H57" s="8" t="str">
        <x:v>2.3.3</x:v>
      </x:c>
      <x:c r="I57" s="10" t="str">
        <x:f>VLOOKUP(H57,'Taxonomy'!$A$6:$G$70,6,FALSE)</x:f>
        <x:v>规划与协调</x:v>
      </x:c>
      <x:c r="J57" s="8" t="str">
        <x:v>任务分解与行动依赖;工具、界面与应用执行</x:v>
      </x:c>
      <x:c r="K57" s="8" t="str">
        <x:v>推理与决策;规划与协调;执行与状态管理</x:v>
      </x:c>
      <x:c r="L57" s="8" t="str">
        <x:v>5.3 运行框架优化</x:v>
      </x:c>
      <x:c r="M57" s="8" t="str"/>
      <x:c r="N57" s="8" t="str">
        <x:v>Framework;Method</x:v>
      </x:c>
      <x:c r="O57" s="11" t="str">
        <x:v>https://arxiv.org/abs/2507.14447</x:v>
      </x:c>
      <x:c r="P57" s="8" t="str">
        <x:v>通过结构化任务例程组织企业代理规划与执行，使流程约束可被明确表达和复用。</x:v>
      </x:c>
      <x:c r="Q57" s="8" t="str"/>
      <x:c r="R57" s="8" t="str"/>
      <x:c r="S57" s="8" t="str"/>
      <x:c r="T57" s="12" t="str">
        <x:v>未分配</x:v>
      </x:c>
      <x:c r="U57" s="12" t="str"/>
      <x:c r="V57" s="12" t="str"/>
      <x:c r="W57" s="12" t="str"/>
      <x:c r="X57" s="8" t="str">
        <x:v>verified</x:v>
      </x:c>
      <x:c r="Y57" s="11" t="str"/>
      <x:c r="Z57" s="11" t="str"/>
      <x:c r="AA57" s="11" t="str">
        <x:v>https://arxiv.org/pdf/2507.14447</x:v>
      </x:c>
      <x:c r="AB57" s="11" t="str">
        <x:v>https://arxiv.org/abs/2507.14447</x:v>
      </x:c>
      <x:c r="AC57" s="8" t="str"/>
      <x:c r="AD57" s="8" t="str"/>
      <x:c r="AE57" s="8" t="str"/>
      <x:c r="AF57" s="8" t="str">
        <x:v>用于“规划与协调”：通过结构化任务例程组织企业代理规划与执行，使流程约束可被明确表达和复用。</x:v>
      </x:c>
      <x:c r="AG57" s="8" t="str">
        <x:v>tool-enterprise</x:v>
      </x:c>
      <x:c r="AH57" s="8" t="str">
        <x:v>structural enterprise planning</x:v>
      </x:c>
      <x:c r="AI57" s="8" t="str">
        <x:v>56</x:v>
      </x:c>
      <x:c r="AJ57" s="8" t="str">
        <x:v>survey bibliography</x:v>
      </x:c>
      <x:c r="AK57" s="13" t="d">
        <x:v>2026-10-16T00:00:00.000Z</x:v>
      </x:c>
      <x:c r="AL57" s="8" t="str"/>
      <x:c r="AM57" s="8" t="str">
        <x:v>4.3;5.3</x:v>
      </x:c>
    </x:row>
    <x:row r="58" ht="68" customHeight="1">
      <x:c r="A58" s="8" t="str">
        <x:v>WA-0057</x:v>
      </x:c>
      <x:c r="B58" s="8" t="str">
        <x:v>OfficeBench</x:v>
      </x:c>
      <x:c r="C58" s="8" t="str">
        <x:v>OfficeBench: Benchmarking Language Agents across Multiple Applications for Office Automation</x:v>
      </x:c>
      <x:c r="D58" s="9" t="n">
        <x:v>2024</x:v>
      </x:c>
      <x:c r="E58" s="8" t="str">
        <x:v>University of California, San Diego; University of California, Los Angeles; Allen Institute for AI</x:v>
      </x:c>
      <x:c r="F58" s="10" t="str">
        <x:f>VLOOKUP(H58,'Taxonomy'!$A$6:$G$70,3,FALSE)</x:f>
        <x:v>基础：定义、工作条件与核心能力</x:v>
      </x:c>
      <x:c r="G58" s="10" t="str">
        <x:f>VLOOKUP(H58,'Taxonomy'!$A$6:$G$70,5,FALSE)</x:f>
        <x:v>五项核心能力</x:v>
      </x:c>
      <x:c r="H58" s="8" t="str">
        <x:v>2.3.3</x:v>
      </x:c>
      <x:c r="I58" s="10" t="str">
        <x:f>VLOOKUP(H58,'Taxonomy'!$A$6:$G$70,6,FALSE)</x:f>
        <x:v>规划与协调</x:v>
      </x:c>
      <x:c r="J58" s="8" t="str">
        <x:v>任务分解与行动依赖;工具、界面与应用执行;范式与自主性边界</x:v>
      </x:c>
      <x:c r="K58" s="8" t="str">
        <x:v>感知与理解;规划与协调;执行与状态管理</x:v>
      </x:c>
      <x:c r="L58" s="8" t="str">
        <x:v>3.4 工作流级工作;2.3.4 执行与状态管理;2.4.3 办公智能体;6.1.2 领域覆盖与工作要求</x:v>
      </x:c>
      <x:c r="M58" s="8" t="str"/>
      <x:c r="N58" s="8" t="str">
        <x:v>Benchmark</x:v>
      </x:c>
      <x:c r="O58" s="11" t="str">
        <x:v>https://arxiv.org/abs/2407.19056</x:v>
      </x:c>
      <x:c r="P58" s="8" t="str">
        <x:v>围绕多种办公应用和跨应用依赖任务，评估代理完成综合办公流程的能力。</x:v>
      </x:c>
      <x:c r="Q58" s="8" t="str">
        <x:v>提供应用切换及前后状态依赖的早期实证，可和单文档操作区分。</x:v>
      </x:c>
      <x:c r="R58" s="8" t="str">
        <x:v>定制接口与有限应用集合限制外推；原论文没有原生PowerPoint应用，不能照搬宽泛办公格式标签。</x:v>
      </x:c>
      <x:c r="S58" s="8" t="str">
        <x:v>核心</x:v>
      </x:c>
      <x:c r="T58" s="12" t="str">
        <x:v>未分配</x:v>
      </x:c>
      <x:c r="U58" s="12" t="str"/>
      <x:c r="V58" s="12" t="str"/>
      <x:c r="W58" s="12" t="str"/>
      <x:c r="X58" s="8" t="str">
        <x:v>verified</x:v>
      </x:c>
      <x:c r="Y58" s="11" t="str">
        <x:v>https://github.com/zlwang-cs/OfficeBench</x:v>
      </x:c>
      <x:c r="Z58" s="11" t="str"/>
      <x:c r="AA58" s="11" t="str">
        <x:v>https://arxiv.org/pdf/2407.19056</x:v>
      </x:c>
      <x:c r="AB58" s="11" t="str">
        <x:v>https://arxiv.org/abs/2407.19056</x:v>
      </x:c>
      <x:c r="AC58" s="8" t="str">
        <x:v>L051;AIO-248</x:v>
      </x:c>
      <x:c r="AD58" s="8" t="str">
        <x:v>第2／原第4章已引；原文相关章节。</x:v>
      </x:c>
      <x:c r="AE58" s="8" t="str">
        <x:v>2.3.3规划；2.3.4执行；2.4.3办公智能体。</x:v>
      </x:c>
      <x:c r="AF58" s="8" t="str">
        <x:v>按补充清单 L051 的论证用途归入“规划与协调”：提供应用切换及前后状态依赖的早期实证，可和单文档操作区分。</x:v>
      </x:c>
      <x:c r="AG58" s="8" t="str">
        <x:v>workspace</x:v>
      </x:c>
      <x:c r="AH58" s="8" t="str">
        <x:v>cross-application office automation</x:v>
      </x:c>
      <x:c r="AI58" s="8" t="str">
        <x:v>57</x:v>
      </x:c>
      <x:c r="AJ58" s="8" t="str">
        <x:v>survey bibliography;2026-10-16 chapter 2 / former chapter 4 supplement;2026-10-16 AI Office survey bibliography</x:v>
      </x:c>
      <x:c r="AK58" s="13" t="d">
        <x:v>2026-10-16T00:00:00.000Z</x:v>
      </x:c>
      <x:c r="AL58" s="8" t="str"/>
      <x:c r="AM58" s="8" t="str">
        <x:v>3.4;4.4;6.1</x:v>
      </x:c>
    </x:row>
    <x:row r="59" ht="68" customHeight="1">
      <x:c r="A59" s="8" t="str">
        <x:v>WA-0058</x:v>
      </x:c>
      <x:c r="B59" s="8" t="str">
        <x:v>SpreadsheetBench 2</x:v>
      </x:c>
      <x:c r="C59" s="8" t="str">
        <x:v>SpreadsheetBench 2: Evaluating Agents on End-to-End Business Spreadsheet Workflows</x:v>
      </x:c>
      <x:c r="D59" s="9" t="n">
        <x:v>2026</x:v>
      </x:c>
      <x:c r="E59" s="8" t="str">
        <x:v>Renmin University of China; Aptura AI; Shortcut AI; AfterQuery</x:v>
      </x:c>
      <x:c r="F59" s="10" t="str">
        <x:f>VLOOKUP(H59,'Taxonomy'!$A$6:$G$70,3,FALSE)</x:f>
        <x:v>基础：定义、工作条件与核心能力</x:v>
      </x:c>
      <x:c r="G59" s="10" t="str">
        <x:f>VLOOKUP(H59,'Taxonomy'!$A$6:$G$70,5,FALSE)</x:f>
        <x:v>五项核心能力</x:v>
      </x:c>
      <x:c r="H59" s="8" t="str">
        <x:v>2.3.1</x:v>
      </x:c>
      <x:c r="I59" s="10" t="str">
        <x:f>VLOOKUP(H59,'Taxonomy'!$A$6:$G$70,6,FALSE)</x:f>
        <x:v>感知与理解</x:v>
      </x:c>
      <x:c r="J59" s="8" t="str">
        <x:v>对象结构、模态与语义;对象关系、来源与依赖;任务分解与行动依赖</x:v>
      </x:c>
      <x:c r="K59" s="8" t="str">
        <x:v>感知与理解;推理与决策;规划与协调;执行与状态管理;验证、恢复与重新规划</x:v>
      </x:c>
      <x:c r="L59" s="8" t="str">
        <x:v>3.4 工作流级工作;2.3.4 执行与状态管理;2.3.3 规划与协调;6.1.2 领域覆盖与工作要求</x:v>
      </x:c>
      <x:c r="M59" s="8" t="str"/>
      <x:c r="N59" s="8" t="str">
        <x:v>Benchmark</x:v>
      </x:c>
      <x:c r="O59" s="11" t="str">
        <x:v>https://arxiv.org/abs/2606.29955</x:v>
      </x:c>
      <x:c r="P59" s="8" t="str">
        <x:v>从专业业务数据构造生成、调试、可视化任务，覆盖多工作表依赖和大规模修改。</x:v>
      </x:c>
      <x:c r="Q59" s="8" t="str">
        <x:v>可用于更新只依赖V1局部编辑例子的叙述；失败分析指向检查不足与目标单元格定位。</x:v>
      </x:c>
      <x:c r="R59" s="8" t="str">
        <x:v>作者称workflow-level并不自动与本综述的Workflow定义完全重合，仍需按任务结构映射。</x:v>
      </x:c>
      <x:c r="S59" s="8" t="str">
        <x:v>核心</x:v>
      </x:c>
      <x:c r="T59" s="12" t="str">
        <x:v>未分配</x:v>
      </x:c>
      <x:c r="U59" s="12" t="str"/>
      <x:c r="V59" s="12" t="str"/>
      <x:c r="W59" s="12" t="str"/>
      <x:c r="X59" s="8" t="str">
        <x:v>verified</x:v>
      </x:c>
      <x:c r="Y59" s="11" t="str">
        <x:v>https://github.com/RUCKBReasoning/SpreadsheetBench-2</x:v>
      </x:c>
      <x:c r="Z59" s="11" t="str">
        <x:v>https://huggingface.co/datasets/KAKA22/SpreadsheetBench-v2</x:v>
      </x:c>
      <x:c r="AA59" s="11" t="str">
        <x:v>https://arxiv.org/pdf/2606.29955</x:v>
      </x:c>
      <x:c r="AB59" s="11" t="str">
        <x:v>https://arxiv.org/abs/2606.29955</x:v>
      </x:c>
      <x:c r="AC59" s="8" t="str">
        <x:v>L021</x:v>
      </x:c>
      <x:c r="AD59" s="8" t="str">
        <x:v>文献库已有，2／4未引；官方摘要。</x:v>
      </x:c>
      <x:c r="AE59" s="8" t="str">
        <x:v>2.3.1跨表语义；2.3.3步骤依赖；评估章端到端任务。</x:v>
      </x:c>
      <x:c r="AF59" s="8" t="str">
        <x:v>按补充清单 L021 的论证用途归入“感知与理解”：可用于更新只依赖V1局部编辑例子的叙述；失败分析指向检查不足与目标单元格定位。</x:v>
      </x:c>
      <x:c r="AG59" s="8" t="str">
        <x:v>artifact</x:v>
      </x:c>
      <x:c r="AH59" s="8" t="str">
        <x:v>end-to-end business spreadsheet workflow</x:v>
      </x:c>
      <x:c r="AI59" s="8" t="str">
        <x:v>58</x:v>
      </x:c>
      <x:c r="AJ59" s="8" t="str">
        <x:v>survey bibliography;2026-10-16 chapter 2 / former chapter 4 supplement</x:v>
      </x:c>
      <x:c r="AK59" s="13" t="d">
        <x:v>2026-10-16T00:00:00.000Z</x:v>
      </x:c>
      <x:c r="AL59" s="8" t="str"/>
      <x:c r="AM59" s="8" t="str">
        <x:v>3.4;4.4;6.1</x:v>
      </x:c>
    </x:row>
    <x:row r="60" ht="96" customHeight="1">
      <x:c r="A60" s="8" t="str">
        <x:v>WA-0059</x:v>
      </x:c>
      <x:c r="B60" s="8" t="str">
        <x:v>AFlow</x:v>
      </x:c>
      <x:c r="C60" s="8" t="str">
        <x:v>AFlow: Automating Agentic Workflow Generation</x:v>
      </x:c>
      <x:c r="D60" s="9" t="n">
        <x:v>2024</x:v>
      </x:c>
      <x:c r="E60" s="8" t="str">
        <x:v>DeepWisdom; Hong Kong University of Science and Technology (Guangzhou); Renmin University of China; Nanjing University; Fudan University; King Abdullah University of Science and Technology; Université de Montréal; Mila; Hong Kong University of Science and Technology</x:v>
      </x:c>
      <x:c r="F60" s="10" t="str">
        <x:f>VLOOKUP(H60,'Taxonomy'!$A$6:$G$70,3,FALSE)</x:f>
        <x:v>优化：从工作经验到系统能力</x:v>
      </x:c>
      <x:c r="G60" s="10" t="str">
        <x:f>VLOOKUP(H60,'Taxonomy'!$A$6:$G$70,5,FALSE)</x:f>
        <x:v>运行框架优化</x:v>
      </x:c>
      <x:c r="H60" s="8" t="str">
        <x:v>5.3.2</x:v>
      </x:c>
      <x:c r="I60" s="10" t="str">
        <x:f>VLOOKUP(H60,'Taxonomy'!$A$6:$G$70,6,FALSE)</x:f>
        <x:v>提示与工作流优化</x:v>
      </x:c>
      <x:c r="J60" s="8" t="str">
        <x:v>提示、流程与 harness 搜索;模型与运行框架耦合</x:v>
      </x:c>
      <x:c r="K60" s="8" t="str">
        <x:v>规划与协调</x:v>
      </x:c>
      <x:c r="L60" s="8" t="str">
        <x:v>5.4 模型—运行框架耦合优化</x:v>
      </x:c>
      <x:c r="M60" s="8" t="str">
        <x:v>模型与运行框架耦合优化;提示与工作流优化</x:v>
      </x:c>
      <x:c r="N60" s="8" t="str">
        <x:v>Method;Framework</x:v>
      </x:c>
      <x:c r="O60" s="11" t="str">
        <x:v>https://arxiv.org/abs/2410.10762</x:v>
      </x:c>
      <x:c r="P60" s="8" t="str">
        <x:v>在代码表示的工作流空间中自动搜索与优化代理流程。</x:v>
      </x:c>
      <x:c r="Q60" s="8" t="str">
        <x:v>给出自动构造代理工作流的方法入口，服务第五章方法分类。</x:v>
      </x:c>
      <x:c r="R60" s="8" t="str">
        <x:v>工作流搜索所得性能依赖任务集、搜索预算和评测器；不替代概念性规划定义。</x:v>
      </x:c>
      <x:c r="S60" s="8" t="str">
        <x:v>补充</x:v>
      </x:c>
      <x:c r="T60" s="12" t="str">
        <x:v>未分配</x:v>
      </x:c>
      <x:c r="U60" s="12" t="str"/>
      <x:c r="V60" s="12" t="str"/>
      <x:c r="W60" s="12" t="str"/>
      <x:c r="X60" s="8" t="str">
        <x:v>verified</x:v>
      </x:c>
      <x:c r="Y60" s="11" t="str">
        <x:v>https://github.com/FoundationAgents/AFlow</x:v>
      </x:c>
      <x:c r="Z60" s="11" t="str"/>
      <x:c r="AA60" s="11" t="str">
        <x:v>https://arxiv.org/pdf/2410.10762</x:v>
      </x:c>
      <x:c r="AB60" s="11" t="str">
        <x:v>https://arxiv.org/abs/2410.10762</x:v>
      </x:c>
      <x:c r="AC60" s="8" t="str">
        <x:v>L122</x:v>
      </x:c>
      <x:c r="AD60" s="8" t="str">
        <x:v>这些条目已出现在第二章或原第四章，但本轮没有重新核查原文。题名、年份与链接沿用现有文献库；不能把它们计作本轮新核实的证据。</x:v>
      </x:c>
      <x:c r="AE60" s="8" t="str">
        <x:v>原第四章</x:v>
      </x:c>
      <x:c r="AF60" s="8" t="str">
        <x:v>用于“提示与工作流优化”：在代码表示的工作流空间中自动搜索与优化代理流程。</x:v>
      </x:c>
      <x:c r="AG60" s="8" t="str">
        <x:v>harness</x:v>
      </x:c>
      <x:c r="AH60" s="8" t="str">
        <x:v>automated workflow search</x:v>
      </x:c>
      <x:c r="AI60" s="8" t="str">
        <x:v>59</x:v>
      </x:c>
      <x:c r="AJ60" s="8" t="str">
        <x:v>survey bibliography;2026-10-16 chapter 2 / former chapter 4 supplement</x:v>
      </x:c>
      <x:c r="AK60" s="13" t="d">
        <x:v>2026-10-16T00:00:00.000Z</x:v>
      </x:c>
      <x:c r="AL60" s="8" t="str">
        <x:v>来源为附件附录A既有引用索引；未把附件的未复核条目升级为本轮已读证据。原稿位置：原第四章；引用键：aflow。</x:v>
      </x:c>
      <x:c r="AM60" s="8" t="str">
        <x:v>5.3;5.4</x:v>
      </x:c>
    </x:row>
    <x:row r="61" ht="68" customHeight="1">
      <x:c r="A61" s="8" t="str">
        <x:v>WA-0060</x:v>
      </x:c>
      <x:c r="B61" s="8" t="str">
        <x:v>WorkTeam</x:v>
      </x:c>
      <x:c r="C61" s="8" t="str">
        <x:v>WorkTeam: Constructing Workflows from Natural Language with Multi-Agents</x:v>
      </x:c>
      <x:c r="D61" s="9" t="n">
        <x:v>2025</x:v>
      </x:c>
      <x:c r="E61" s="8" t="str">
        <x:v>Huawei Technologies; Peking University</x:v>
      </x:c>
      <x:c r="F61" s="10" t="str">
        <x:f>VLOOKUP(H61,'Taxonomy'!$A$6:$G$70,3,FALSE)</x:f>
        <x:v>优化：从工作经验到系统能力</x:v>
      </x:c>
      <x:c r="G61" s="10" t="str">
        <x:f>VLOOKUP(H61,'Taxonomy'!$A$6:$G$70,5,FALSE)</x:f>
        <x:v>运行框架优化</x:v>
      </x:c>
      <x:c r="H61" s="8" t="str">
        <x:v>5.3.2</x:v>
      </x:c>
      <x:c r="I61" s="10" t="str">
        <x:f>VLOOKUP(H61,'Taxonomy'!$A$6:$G$70,6,FALSE)</x:f>
        <x:v>提示与工作流优化</x:v>
      </x:c>
      <x:c r="J61" s="8" t="str">
        <x:v>任务分解与行动依赖;提示、流程与 harness 搜索</x:v>
      </x:c>
      <x:c r="K61" s="8" t="str">
        <x:v>推理与决策;规划与协调</x:v>
      </x:c>
      <x:c r="L61" s="8" t="str">
        <x:v>2.3.3 规划与协调</x:v>
      </x:c>
      <x:c r="M61" s="8" t="str"/>
      <x:c r="N61" s="8" t="str">
        <x:v>Method;Framework</x:v>
      </x:c>
      <x:c r="O61" s="11" t="str">
        <x:v>https://arxiv.org/abs/2503.22473</x:v>
      </x:c>
      <x:c r="P61" s="8" t="str">
        <x:v>用多代理从自然语言需求构造可执行工作流，并检查与修正流程设计。</x:v>
      </x:c>
      <x:c r="Q61" s="8" t="str"/>
      <x:c r="R61" s="8" t="str"/>
      <x:c r="S61" s="8" t="str"/>
      <x:c r="T61" s="12" t="str">
        <x:v>未分配</x:v>
      </x:c>
      <x:c r="U61" s="12" t="str"/>
      <x:c r="V61" s="12" t="str"/>
      <x:c r="W61" s="12" t="str"/>
      <x:c r="X61" s="8" t="str">
        <x:v>verified</x:v>
      </x:c>
      <x:c r="Y61" s="11" t="str"/>
      <x:c r="Z61" s="11" t="str"/>
      <x:c r="AA61" s="11" t="str">
        <x:v>https://arxiv.org/pdf/2503.22473</x:v>
      </x:c>
      <x:c r="AB61" s="11" t="str">
        <x:v>https://arxiv.org/abs/2503.22473</x:v>
      </x:c>
      <x:c r="AC61" s="8" t="str"/>
      <x:c r="AD61" s="8" t="str"/>
      <x:c r="AE61" s="8" t="str"/>
      <x:c r="AF61" s="8" t="str">
        <x:v>用于“提示与工作流优化”：用多代理从自然语言需求构造可执行工作流，并检查与修正流程设计。</x:v>
      </x:c>
      <x:c r="AG61" s="8" t="str">
        <x:v>harness</x:v>
      </x:c>
      <x:c r="AH61" s="8" t="str">
        <x:v>natural language workflow construction</x:v>
      </x:c>
      <x:c r="AI61" s="8" t="str">
        <x:v>60</x:v>
      </x:c>
      <x:c r="AJ61" s="8" t="str">
        <x:v>survey bibliography</x:v>
      </x:c>
      <x:c r="AK61" s="13" t="d">
        <x:v>2026-10-16T00:00:00.000Z</x:v>
      </x:c>
      <x:c r="AL61" s="8" t="str"/>
      <x:c r="AM61" s="8" t="str">
        <x:v>4.3;5.3</x:v>
      </x:c>
    </x:row>
    <x:row r="62" ht="68" customHeight="1">
      <x:c r="A62" s="8" t="str">
        <x:v>WA-0061</x:v>
      </x:c>
      <x:c r="B62" s="8" t="str">
        <x:v>SpreadsheetAgent</x:v>
      </x:c>
      <x:c r="C62" s="8" t="str">
        <x:v>Towards Robust Real-World Spreadsheet Understanding with Multi-Agent Multi-Format Reasoning</x:v>
      </x:c>
      <x:c r="D62" s="9" t="n">
        <x:v>2026</x:v>
      </x:c>
      <x:c r="E62" s="8" t="str">
        <x:v>Chinese University of Hong Kong; SenseTime Research; Shenzhen Loop Area Institute; CPII under InnoHK</x:v>
      </x:c>
      <x:c r="F62" s="10" t="str">
        <x:f>VLOOKUP(H62,'Taxonomy'!$A$6:$G$70,3,FALSE)</x:f>
        <x:v>基础：定义、工作条件与核心能力</x:v>
      </x:c>
      <x:c r="G62" s="10" t="str">
        <x:f>VLOOKUP(H62,'Taxonomy'!$A$6:$G$70,5,FALSE)</x:f>
        <x:v>五项核心能力</x:v>
      </x:c>
      <x:c r="H62" s="8" t="str">
        <x:v>2.3.1</x:v>
      </x:c>
      <x:c r="I62" s="10" t="str">
        <x:f>VLOOKUP(H62,'Taxonomy'!$A$6:$G$70,6,FALSE)</x:f>
        <x:v>感知与理解</x:v>
      </x:c>
      <x:c r="J62" s="8" t="str">
        <x:v>对象结构、模态与语义;证据整合与推理</x:v>
      </x:c>
      <x:c r="K62" s="8" t="str">
        <x:v>感知与理解;推理与决策;规划与协调</x:v>
      </x:c>
      <x:c r="L62" s="8" t="str">
        <x:v>2.3.2 推理与决策</x:v>
      </x:c>
      <x:c r="M62" s="8" t="str"/>
      <x:c r="N62" s="8" t="str">
        <x:v>Method</x:v>
      </x:c>
      <x:c r="O62" s="11" t="str">
        <x:v>https://arxiv.org/abs/2604.12282</x:v>
      </x:c>
      <x:c r="P62" s="8" t="str">
        <x:v>结合多代理和多格式表格表示，增强真实电子表格的理解与推理稳健性。</x:v>
      </x:c>
      <x:c r="Q62" s="8" t="str">
        <x:v>为表格理解需要多种表示与推理机制提供补充案例。</x:v>
      </x:c>
      <x:c r="R62" s="8" t="str">
        <x:v>材料理解或问答能力不等于编辑后原生工作簿正确。</x:v>
      </x:c>
      <x:c r="S62" s="8" t="str">
        <x:v>补充</x:v>
      </x:c>
      <x:c r="T62" s="12" t="str">
        <x:v>未分配</x:v>
      </x:c>
      <x:c r="U62" s="12" t="str"/>
      <x:c r="V62" s="12" t="str"/>
      <x:c r="W62" s="12" t="str"/>
      <x:c r="X62" s="8" t="str">
        <x:v>verified</x:v>
      </x:c>
      <x:c r="Y62" s="11" t="str">
        <x:v>https://github.com/renhouxing/SpreadsheetAgent</x:v>
      </x:c>
      <x:c r="Z62" s="11" t="str"/>
      <x:c r="AA62" s="11" t="str">
        <x:v>https://arxiv.org/pdf/2604.12282</x:v>
      </x:c>
      <x:c r="AB62" s="11" t="str">
        <x:v>https://arxiv.org/abs/2604.12282</x:v>
      </x:c>
      <x:c r="AC62" s="8" t="str">
        <x:v>L116;AIO-208</x:v>
      </x:c>
      <x:c r="AD62" s="8" t="str">
        <x:v>这些条目已出现在第二章或原第四章，但本轮没有重新核查原文。题名、年份与链接沿用现有文献库；不能把它们计作本轮新核实的证据。</x:v>
      </x:c>
      <x:c r="AE62" s="8" t="str">
        <x:v>原第四章</x:v>
      </x:c>
      <x:c r="AF62" s="8" t="str">
        <x:v>用于“感知与理解”：结合多代理和多格式表格表示，增强真实电子表格的理解与推理稳健性。</x:v>
      </x:c>
      <x:c r="AG62" s="8" t="str">
        <x:v>related</x:v>
      </x:c>
      <x:c r="AH62" s="8" t="str">
        <x:v>multi-format spreadsheet understanding</x:v>
      </x:c>
      <x:c r="AI62" s="8" t="str">
        <x:v>61</x:v>
      </x:c>
      <x:c r="AJ62" s="8" t="str">
        <x:v>survey bibliography;2026-10-16 chapter 2 / former chapter 4 supplement;2026-10-16 AI Office survey bibliography</x:v>
      </x:c>
      <x:c r="AK62" s="13" t="d">
        <x:v>2026-10-16T00:00:00.000Z</x:v>
      </x:c>
      <x:c r="AL62" s="8" t="str">
        <x:v>SpreadsheetAgent 为论文给出的官方仓库名称。 来源为附件附录A既有引用索引；未把附件的未复核条目升级为本轮已读证据。原稿位置：原第四章；引用键：ren2026robustrealworldspreadsheetunderstanding。</x:v>
      </x:c>
      <x:c r="AM62" s="8" t="str">
        <x:v>4.1;4.2</x:v>
      </x:c>
    </x:row>
    <x:row r="63" ht="68" customHeight="1">
      <x:c r="A63" s="8" t="str">
        <x:v>WA-0062</x:v>
      </x:c>
      <x:c r="B63" s="8" t="str">
        <x:v>InfiAgent</x:v>
      </x:c>
      <x:c r="C63" s="8" t="str">
        <x:v>InfiAgent: An Infinite-Horizon Framework for General-Purpose Autonomous Agents</x:v>
      </x:c>
      <x:c r="D63" s="9" t="n">
        <x:v>2026</x:v>
      </x:c>
      <x:c r="E63" s="8" t="str">
        <x:v>University of Hong Kong; Hong Kong Polytechnic University</x:v>
      </x:c>
      <x:c r="F63" s="10" t="str">
        <x:f>VLOOKUP(H63,'Taxonomy'!$A$6:$G$70,3,FALSE)</x:f>
        <x:v>基础：定义、工作条件与核心能力</x:v>
      </x:c>
      <x:c r="G63" s="10" t="str">
        <x:f>VLOOKUP(H63,'Taxonomy'!$A$6:$G$70,5,FALSE)</x:f>
        <x:v>五项核心能力</x:v>
      </x:c>
      <x:c r="H63" s="8" t="str">
        <x:v>2.3.4</x:v>
      </x:c>
      <x:c r="I63" s="10" t="str">
        <x:f>VLOOKUP(H63,'Taxonomy'!$A$6:$G$70,6,FALSE)</x:f>
        <x:v>执行与状态管理</x:v>
      </x:c>
      <x:c r="J63" s="8" t="str">
        <x:v>上下文与记忆管理;当前状态与版本有效性;跨请求工作连续性</x:v>
      </x:c>
      <x:c r="K63" s="8" t="str">
        <x:v>规划与协调;执行与状态管理</x:v>
      </x:c>
      <x:c r="L63" s="8" t="str">
        <x:v>3.5 工作空间级工作;7.2 从被动执行到持续责任;2.2.1 工作持久性;5.3.1 接口与工具优化</x:v>
      </x:c>
      <x:c r="M63" s="8" t="str"/>
      <x:c r="N63" s="8" t="str">
        <x:v>Framework;Method</x:v>
      </x:c>
      <x:c r="O63" s="11" t="str">
        <x:v>https://arxiv.org/abs/2601.03204</x:v>
      </x:c>
      <x:c r="P63" s="8" t="str">
        <x:v>将持久工作区状态与有限近期动作窗口结合，支持持续的通用自主任务执行。</x:v>
      </x:c>
      <x:c r="Q63" s="8" t="str">
        <x:v>具体解释上下文窗口有限时，运行时系统怎样保存进度并支撑任务延续。</x:v>
      </x:c>
      <x:c r="R63" s="8" t="str">
        <x:v>题名中的无限时域不是无限可靠性的证明；报告任务范围有限，仍需状态有效性检查。</x:v>
      </x:c>
      <x:c r="S63" s="8" t="str">
        <x:v>核心</x:v>
      </x:c>
      <x:c r="T63" s="12" t="str">
        <x:v>未分配</x:v>
      </x:c>
      <x:c r="U63" s="12" t="str"/>
      <x:c r="V63" s="12" t="str"/>
      <x:c r="W63" s="12" t="str"/>
      <x:c r="X63" s="8" t="str">
        <x:v>verified</x:v>
      </x:c>
      <x:c r="Y63" s="11" t="str">
        <x:v>https://github.com/ChenglinPoly/infiAgent</x:v>
      </x:c>
      <x:c r="Z63" s="11" t="str"/>
      <x:c r="AA63" s="11" t="str">
        <x:v>https://arxiv.org/pdf/2601.03204</x:v>
      </x:c>
      <x:c r="AB63" s="11" t="str">
        <x:v>https://arxiv.org/abs/2601.03204</x:v>
      </x:c>
      <x:c r="AC63" s="8" t="str">
        <x:v>L009</x:v>
      </x:c>
      <x:c r="AD63" s="8" t="str">
        <x:v>第2／原第4章已引；官方摘要。</x:v>
      </x:c>
      <x:c r="AE63" s="8" t="str">
        <x:v>2.3状态管理；5运行时支撑优化。</x:v>
      </x:c>
      <x:c r="AF63" s="8" t="str">
        <x:v>按补充清单 L009 的论证用途归入“执行与状态管理”：具体解释上下文窗口有限时，运行时系统怎样保存进度并支撑任务延续。</x:v>
      </x:c>
      <x:c r="AG63" s="8" t="str">
        <x:v>persistent</x:v>
      </x:c>
      <x:c r="AH63" s="8" t="str">
        <x:v>infinite-horizon workspace state</x:v>
      </x:c>
      <x:c r="AI63" s="8" t="str">
        <x:v>62</x:v>
      </x:c>
      <x:c r="AJ63" s="8" t="str">
        <x:v>survey bibliography;2026-10-16 chapter 2 / former chapter 4 supplement</x:v>
      </x:c>
      <x:c r="AK63" s="13" t="d">
        <x:v>2026-10-16T00:00:00.000Z</x:v>
      </x:c>
      <x:c r="AL63" s="8" t="str"/>
      <x:c r="AM63" s="8" t="str">
        <x:v>3.5;5.3;7.2</x:v>
      </x:c>
    </x:row>
    <x:row r="64" ht="68" customHeight="1">
      <x:c r="A64" s="8" t="str">
        <x:v>WA-0063</x:v>
      </x:c>
      <x:c r="B64" s="8" t="str">
        <x:v>MultiAgentBench</x:v>
      </x:c>
      <x:c r="C64" s="8" t="str">
        <x:v>MultiAgentBench: Evaluating the Collaboration and Competition of LLM agents</x:v>
      </x:c>
      <x:c r="D64" s="9" t="n">
        <x:v>2025</x:v>
      </x:c>
      <x:c r="E64" s="8" t="str">
        <x:v>University of Illinois Urbana-Champaign</x:v>
      </x:c>
      <x:c r="F64" s="10" t="str">
        <x:f>VLOOKUP(H64,'Taxonomy'!$A$6:$G$70,3,FALSE)</x:f>
        <x:v>基础：定义、工作条件与核心能力</x:v>
      </x:c>
      <x:c r="G64" s="10" t="str">
        <x:f>VLOOKUP(H64,'Taxonomy'!$A$6:$G$70,5,FALSE)</x:f>
        <x:v>五项核心能力</x:v>
      </x:c>
      <x:c r="H64" s="8" t="str">
        <x:v>2.3.3</x:v>
      </x:c>
      <x:c r="I64" s="10" t="str">
        <x:f>VLOOKUP(H64,'Taxonomy'!$A$6:$G$70,6,FALSE)</x:f>
        <x:v>规划与协调</x:v>
      </x:c>
      <x:c r="J64" s="8" t="str">
        <x:v>分布信息、澄清与协调;答案、产物、状态与过程证据</x:v>
      </x:c>
      <x:c r="K64" s="8" t="str">
        <x:v>推理与决策;规划与协调</x:v>
      </x:c>
      <x:c r="L64" s="8" t="str">
        <x:v>6.1 基准与任务构造;6.2.1 评估目标与可观察证据</x:v>
      </x:c>
      <x:c r="M64" s="8" t="str"/>
      <x:c r="N64" s="8" t="str">
        <x:v>Benchmark</x:v>
      </x:c>
      <x:c r="O64" s="11" t="str">
        <x:v>https://arxiv.org/abs/2503.01935</x:v>
      </x:c>
      <x:c r="P64" s="8" t="str">
        <x:v>在多种交互场景中用任务完成和里程碑指标评价协作、竞争及不同通信拓扑。</x:v>
      </x:c>
      <x:c r="Q64" s="8" t="str">
        <x:v>支持评价团队工作应关注协作贡献和阶段进展，而非仅数智能体个数。</x:v>
      </x:c>
      <x:c r="R64" s="8" t="str">
        <x:v>不同场景的拓扑效果不能推广为普遍最优组织；里程碑取决于任务设计。</x:v>
      </x:c>
      <x:c r="S64" s="8" t="str">
        <x:v>核心</x:v>
      </x:c>
      <x:c r="T64" s="12" t="str">
        <x:v>未分配</x:v>
      </x:c>
      <x:c r="U64" s="12" t="str"/>
      <x:c r="V64" s="12" t="str"/>
      <x:c r="W64" s="12" t="str"/>
      <x:c r="X64" s="8" t="str">
        <x:v>verified</x:v>
      </x:c>
      <x:c r="Y64" s="11" t="str">
        <x:v>https://github.com/MultiagentBench/MARBLE</x:v>
      </x:c>
      <x:c r="Z64" s="11" t="str"/>
      <x:c r="AA64" s="11" t="str">
        <x:v>https://arxiv.org/pdf/2503.01935</x:v>
      </x:c>
      <x:c r="AB64" s="11" t="str">
        <x:v>https://arxiv.org/abs/2503.01935</x:v>
      </x:c>
      <x:c r="AC64" s="8" t="str">
        <x:v>L035</x:v>
      </x:c>
      <x:c r="AD64" s="8" t="str">
        <x:v>第2／原第4章已引；官方摘要。</x:v>
      </x:c>
      <x:c r="AE64" s="8" t="str">
        <x:v>2.3协调；6协作质量。</x:v>
      </x:c>
      <x:c r="AF64" s="8" t="str">
        <x:v>按补充清单 L035 的论证用途归入“规划与协调”：支持评价团队工作应关注协作贡献和阶段进展，而非仅数智能体个数。</x:v>
      </x:c>
      <x:c r="AG64" s="8" t="str">
        <x:v>harness</x:v>
      </x:c>
      <x:c r="AH64" s="8" t="str">
        <x:v>multi-agent collaboration and competition</x:v>
      </x:c>
      <x:c r="AI64" s="8" t="str">
        <x:v>63</x:v>
      </x:c>
      <x:c r="AJ64" s="8" t="str">
        <x:v>survey bibliography;2026-10-16 chapter 2 / former chapter 4 supplement</x:v>
      </x:c>
      <x:c r="AK64" s="13" t="d">
        <x:v>2026-10-16T00:00:00.000Z</x:v>
      </x:c>
      <x:c r="AL64" s="8" t="str"/>
      <x:c r="AM64" s="8" t="str">
        <x:v>4.3;6.1</x:v>
      </x:c>
    </x:row>
    <x:row r="65" ht="68" customHeight="1">
      <x:c r="A65" s="8" t="str">
        <x:v>WA-0064</x:v>
      </x:c>
      <x:c r="B65" s="8" t="str">
        <x:v>GDPval</x:v>
      </x:c>
      <x:c r="C65" s="8" t="str">
        <x:v>GDPval: Evaluating AI Model Performance on Real-World Economically Valuable Tasks</x:v>
      </x:c>
      <x:c r="D65" s="9" t="n">
        <x:v>2025</x:v>
      </x:c>
      <x:c r="E65" s="8" t="str">
        <x:v>OpenAI</x:v>
      </x:c>
      <x:c r="F65" s="10" t="str">
        <x:f>VLOOKUP(H65,'Taxonomy'!$A$6:$G$70,3,FALSE)</x:f>
        <x:v>基础：定义、工作条件与核心能力</x:v>
      </x:c>
      <x:c r="G65" s="10" t="str">
        <x:f>VLOOKUP(H65,'Taxonomy'!$A$6:$G$70,5,FALSE)</x:f>
        <x:v>定义与系统视角</x:v>
      </x:c>
      <x:c r="H65" s="8" t="str">
        <x:v>2.1.2</x:v>
      </x:c>
      <x:c r="I65" s="10" t="str">
        <x:f>VLOOKUP(H65,'Taxonomy'!$A$6:$G$70,6,FALSE)</x:f>
        <x:v>工作过程六要素</x:v>
      </x:c>
      <x:c r="J65" s="8" t="str">
        <x:v>定义、系统职责与工作循环;职业知识与专业判断;原生工件生成与编辑</x:v>
      </x:c>
      <x:c r="K65" s="8" t="str">
        <x:v>推理与决策;规划与协调;执行与状态管理;验证、恢复与重新规划</x:v>
      </x:c>
      <x:c r="L65" s="8" t="str">
        <x:v>3.4 工作流级工作;2.3.2 推理与决策;6.1.2 领域覆盖与工作要求;6.2.2 评判程序</x:v>
      </x:c>
      <x:c r="M65" s="8" t="str"/>
      <x:c r="N65" s="8" t="str">
        <x:v>Benchmark</x:v>
      </x:c>
      <x:c r="O65" s="11" t="str">
        <x:v>https://arxiv.org/abs/2510.04374</x:v>
      </x:c>
      <x:c r="P65" s="8" t="str">
        <x:v>基于真实职业需求评估经济价值任务产物，并结合专业人员比较和自动评分。</x:v>
      </x:c>
      <x:c r="Q65" s="8" t="str">
        <x:v>给“完成工作”提供明确成果对象，连接专业判断、原生文件制作与验收。</x:v>
      </x:c>
      <x:c r="R65" s="8" t="str">
        <x:v>任务主要是给定充分上下文的一次性委托；不能由成果好坏单独识别规划、长期状态或协作能力。</x:v>
      </x:c>
      <x:c r="S65" s="8" t="str">
        <x:v>核心</x:v>
      </x:c>
      <x:c r="T65" s="12" t="str">
        <x:v>未分配</x:v>
      </x:c>
      <x:c r="U65" s="12" t="str"/>
      <x:c r="V65" s="12" t="str"/>
      <x:c r="W65" s="12" t="str"/>
      <x:c r="X65" s="8" t="str">
        <x:v>verified</x:v>
      </x:c>
      <x:c r="Y65" s="11" t="str"/>
      <x:c r="Z65" s="11" t="str"/>
      <x:c r="AA65" s="11" t="str">
        <x:v>https://arxiv.org/pdf/2510.04374</x:v>
      </x:c>
      <x:c r="AB65" s="11" t="str">
        <x:v>https://arxiv.org/abs/2510.04374</x:v>
      </x:c>
      <x:c r="AC65" s="8" t="str">
        <x:v>L029</x:v>
      </x:c>
      <x:c r="AD65" s="8" t="str">
        <x:v>第2／原第4章已引；原文相关章节。</x:v>
      </x:c>
      <x:c r="AE65" s="8" t="str">
        <x:v>2.1工作结果；2.3.2职业判断；评估章成果质量；2.1 定义/成果；2.3 专业判断；评估细节交第六章。</x:v>
      </x:c>
      <x:c r="AF65" s="8" t="str">
        <x:v>按补充清单 L029 的论证用途归入“工作过程六要素”：给“完成工作”提供明确成果对象，连接专业判断、原生文件制作与验收。</x:v>
      </x:c>
      <x:c r="AG65" s="8" t="str">
        <x:v>workspace</x:v>
      </x:c>
      <x:c r="AH65" s="8" t="str">
        <x:v>occupational deliverables</x:v>
      </x:c>
      <x:c r="AI65" s="8" t="str">
        <x:v>64</x:v>
      </x:c>
      <x:c r="AJ65" s="8" t="str">
        <x:v>survey bibliography;2026-10-16 chapter 2 / former chapter 4 supplement</x:v>
      </x:c>
      <x:c r="AK65" s="13" t="d">
        <x:v>2026-10-16T00:00:00.000Z</x:v>
      </x:c>
      <x:c r="AL65" s="8" t="str">
        <x:v>将参考文献中的断行 CDN PDF 链接规范为稳定的 arXiv 页面。</x:v>
      </x:c>
      <x:c r="AM65" s="8" t="str">
        <x:v>3.4;6.1;6.2</x:v>
      </x:c>
    </x:row>
    <x:row r="66" ht="68" customHeight="1">
      <x:c r="A66" s="8" t="str">
        <x:v>WA-0065</x:v>
      </x:c>
      <x:c r="B66" s="8" t="str">
        <x:v>WorkBench</x:v>
      </x:c>
      <x:c r="C66" s="8" t="str">
        <x:v>WorkBench: a Benchmark Dataset for Agents in a Realistic Workplace Setting</x:v>
      </x:c>
      <x:c r="D66" s="9" t="n">
        <x:v>2024</x:v>
      </x:c>
      <x:c r="E66" s="8" t="str">
        <x:v>MindsDB; University of Glasgow; University of Warwick</x:v>
      </x:c>
      <x:c r="F66" s="10" t="str">
        <x:f>VLOOKUP(H66,'Taxonomy'!$A$6:$G$70,3,FALSE)</x:f>
        <x:v>评估与资源：如何检验工作完成</x:v>
      </x:c>
      <x:c r="G66" s="10" t="str">
        <x:f>VLOOKUP(H66,'Taxonomy'!$A$6:$G$70,5,FALSE)</x:f>
        <x:v>基准与任务构造</x:v>
      </x:c>
      <x:c r="H66" s="8" t="str">
        <x:v>6.1.2</x:v>
      </x:c>
      <x:c r="I66" s="10" t="str">
        <x:f>VLOOKUP(H66,'Taxonomy'!$A$6:$G$70,6,FALSE)</x:f>
        <x:v>领域覆盖与工作要求</x:v>
      </x:c>
      <x:c r="J66" s="8" t="str">
        <x:v>工具、界面与应用执行;当前状态与版本有效性;工作形态与验收组织</x:v>
      </x:c>
      <x:c r="K66" s="8" t="str">
        <x:v>推理与决策;执行与状态管理</x:v>
      </x:c>
      <x:c r="L66" s="8" t="str">
        <x:v>3.4 工作流级工作</x:v>
      </x:c>
      <x:c r="M66" s="8" t="str"/>
      <x:c r="N66" s="8" t="str">
        <x:v>Benchmark</x:v>
      </x:c>
      <x:c r="O66" s="11" t="str">
        <x:v>https://arxiv.org/abs/2405.00823</x:v>
      </x:c>
      <x:c r="P66" s="8" t="str">
        <x:v>在真实感职场数据库与工具接口中检验代理跨业务对象完成任务的能力。</x:v>
      </x:c>
      <x:c r="Q66" s="8" t="str">
        <x:v>展示模拟职场工具调用与有状态工作流任务。</x:v>
      </x:c>
      <x:c r="R66" s="8" t="str">
        <x:v>应保持WorkBench与OfficeBench、Workspace-Bench等名称区分。</x:v>
      </x:c>
      <x:c r="S66" s="8" t="str">
        <x:v>补充</x:v>
      </x:c>
      <x:c r="T66" s="12" t="str">
        <x:v>未分配</x:v>
      </x:c>
      <x:c r="U66" s="12" t="str"/>
      <x:c r="V66" s="12" t="str"/>
      <x:c r="W66" s="12" t="str"/>
      <x:c r="X66" s="8" t="str">
        <x:v>verified</x:v>
      </x:c>
      <x:c r="Y66" s="11" t="str">
        <x:v>https://github.com/olly-styles/WorkBench</x:v>
      </x:c>
      <x:c r="Z66" s="11" t="str"/>
      <x:c r="AA66" s="11" t="str">
        <x:v>https://arxiv.org/pdf/2405.00823</x:v>
      </x:c>
      <x:c r="AB66" s="11" t="str">
        <x:v>https://arxiv.org/abs/2405.00823</x:v>
      </x:c>
      <x:c r="AC66" s="8" t="str">
        <x:v>L135</x:v>
      </x:c>
      <x:c r="AD66" s="8" t="str">
        <x:v>这些条目已出现在第二章或原第四章，但本轮没有重新核查原文。题名、年份与链接沿用现有文献库；不能把它们计作本轮新核实的证据。</x:v>
      </x:c>
      <x:c r="AE66" s="8" t="str">
        <x:v>原第四章</x:v>
      </x:c>
      <x:c r="AF66" s="8" t="str">
        <x:v>用于“领域覆盖与工作要求”：在真实感职场数据库与工具接口中检验代理跨业务对象完成任务的能力。</x:v>
      </x:c>
      <x:c r="AG66" s="8" t="str">
        <x:v>tool-enterprise</x:v>
      </x:c>
      <x:c r="AH66" s="8" t="str">
        <x:v>workplace database and tool tasks</x:v>
      </x:c>
      <x:c r="AI66" s="8" t="str">
        <x:v>65</x:v>
      </x:c>
      <x:c r="AJ66" s="8" t="str">
        <x:v>survey bibliography;2026-10-16 chapter 2 / former chapter 4 supplement</x:v>
      </x:c>
      <x:c r="AK66" s="13" t="d">
        <x:v>2026-10-16T00:00:00.000Z</x:v>
      </x:c>
      <x:c r="AL66" s="8" t="str">
        <x:v>只记录首页明确列出的单位；未从其他作者当前任职补齐。 来源为附件附录A既有引用索引；未把附件的未复核条目升级为本轮已读证据。原稿位置：原第四章；引用键：workbench。</x:v>
      </x:c>
      <x:c r="AM66" s="8" t="str">
        <x:v>3.4;6.1</x:v>
      </x:c>
    </x:row>
    <x:row r="67" ht="68" customHeight="1">
      <x:c r="A67" s="8" t="str">
        <x:v>WA-0066</x:v>
      </x:c>
      <x:c r="B67" s="8" t="str">
        <x:v>VisualWebArena</x:v>
      </x:c>
      <x:c r="C67" s="8" t="str">
        <x:v>VisualWebArena: Evaluating Multimodal Agents on Realistic Visual Web Tasks</x:v>
      </x:c>
      <x:c r="D67" s="9" t="n">
        <x:v>2024</x:v>
      </x:c>
      <x:c r="E67" s="8" t="str">
        <x:v>Carnegie Mellon University</x:v>
      </x:c>
      <x:c r="F67" s="10" t="str">
        <x:f>VLOOKUP(H67,'Taxonomy'!$A$6:$G$70,3,FALSE)</x:f>
        <x:v>基础：定义、工作条件与核心能力</x:v>
      </x:c>
      <x:c r="G67" s="10" t="str">
        <x:f>VLOOKUP(H67,'Taxonomy'!$A$6:$G$70,5,FALSE)</x:f>
        <x:v>五项核心能力</x:v>
      </x:c>
      <x:c r="H67" s="8" t="str">
        <x:v>2.3.1</x:v>
      </x:c>
      <x:c r="I67" s="10" t="str">
        <x:f>VLOOKUP(H67,'Taxonomy'!$A$6:$G$70,6,FALSE)</x:f>
        <x:v>感知与理解</x:v>
      </x:c>
      <x:c r="J67" s="8" t="str">
        <x:v>对象结构、模态与语义;工具、界面与应用执行</x:v>
      </x:c>
      <x:c r="K67" s="8" t="str">
        <x:v>感知与理解;推理与决策;执行与状态管理</x:v>
      </x:c>
      <x:c r="L67" s="8" t="str">
        <x:v>2.3.4 执行与状态管理;6.1 基准与任务构造</x:v>
      </x:c>
      <x:c r="M67" s="8" t="str"/>
      <x:c r="N67" s="8" t="str">
        <x:v>Benchmark</x:v>
      </x:c>
      <x:c r="O67" s="11" t="str">
        <x:v>https://arxiv.org/abs/2401.13649</x:v>
      </x:c>
      <x:c r="P67" s="8" t="str">
        <x:v>在需要图像理解与网页交互的真实网站任务中评估多模态代理。</x:v>
      </x:c>
      <x:c r="Q67" s="8" t="str">
        <x:v>补充需要视觉证据与网页交互相结合的基准。</x:v>
      </x:c>
      <x:c r="R67" s="8" t="str">
        <x:v>网页基准的环境状态评分不能覆盖所有现实网站变化与权限边界。</x:v>
      </x:c>
      <x:c r="S67" s="8" t="str">
        <x:v>补充</x:v>
      </x:c>
      <x:c r="T67" s="12" t="str">
        <x:v>未分配</x:v>
      </x:c>
      <x:c r="U67" s="12" t="str"/>
      <x:c r="V67" s="12" t="str"/>
      <x:c r="W67" s="12" t="str"/>
      <x:c r="X67" s="8" t="str">
        <x:v>verified</x:v>
      </x:c>
      <x:c r="Y67" s="11" t="str"/>
      <x:c r="Z67" s="11" t="str"/>
      <x:c r="AA67" s="11" t="str">
        <x:v>https://arxiv.org/pdf/2401.13649</x:v>
      </x:c>
      <x:c r="AB67" s="11" t="str">
        <x:v>https://arxiv.org/abs/2401.13649</x:v>
      </x:c>
      <x:c r="AC67" s="8" t="str">
        <x:v>L133;AIO-115</x:v>
      </x:c>
      <x:c r="AD67" s="8" t="str">
        <x:v>这些条目已出现在第二章或原第四章，但本轮没有重新核查原文。题名、年份与链接沿用现有文献库；不能把它们计作本轮新核实的证据。</x:v>
      </x:c>
      <x:c r="AE67" s="8" t="str">
        <x:v>原第四章</x:v>
      </x:c>
      <x:c r="AF67" s="8" t="str">
        <x:v>用于“感知与理解”：在需要图像理解与网页交互的真实网站任务中评估多模态代理。</x:v>
      </x:c>
      <x:c r="AG67" s="8" t="str">
        <x:v>computer-use</x:v>
      </x:c>
      <x:c r="AH67" s="8" t="str">
        <x:v>visual web interaction</x:v>
      </x:c>
      <x:c r="AI67" s="8" t="str">
        <x:v>66</x:v>
      </x:c>
      <x:c r="AJ67" s="8" t="str">
        <x:v>survey bibliography;2026-10-16 chapter 2 / former chapter 4 supplement;2026-10-16 AI Office survey bibliography</x:v>
      </x:c>
      <x:c r="AK67" s="13" t="d">
        <x:v>2026-10-16T00:00:00.000Z</x:v>
      </x:c>
      <x:c r="AL67" s="8" t="str">
        <x:v>arXiv 元数据标题为 Realistic Visual Web Tasks；PDF 首页版本写作 Realistic Visually Grounded Web Tasks。 来源为附件附录A既有引用索引；未把附件的未复核条目升级为本轮已读证据。原稿位置：原第四章；引用键：visualwebarena。</x:v>
      </x:c>
      <x:c r="AM67" s="8" t="str">
        <x:v>4.1;4.4;6.1</x:v>
      </x:c>
    </x:row>
    <x:row r="68" ht="68" customHeight="1">
      <x:c r="A68" s="8" t="str">
        <x:v>WA-0067</x:v>
      </x:c>
      <x:c r="B68" s="8" t="str">
        <x:v>Windows Agent Arena</x:v>
      </x:c>
      <x:c r="C68" s="8" t="str">
        <x:v>Windows Agent Arena: Evaluating Multi-Modal OS Agents at Scale</x:v>
      </x:c>
      <x:c r="D68" s="9" t="n">
        <x:v>2024</x:v>
      </x:c>
      <x:c r="E68" s="8" t="str">
        <x:v>Microsoft; Carnegie Mellon University; Columbia University</x:v>
      </x:c>
      <x:c r="F68" s="10" t="str">
        <x:f>VLOOKUP(H68,'Taxonomy'!$A$6:$G$70,3,FALSE)</x:f>
        <x:v>评估与资源：如何检验工作完成</x:v>
      </x:c>
      <x:c r="G68" s="10" t="str">
        <x:f>VLOOKUP(H68,'Taxonomy'!$A$6:$G$70,5,FALSE)</x:f>
        <x:v>基准与任务构造</x:v>
      </x:c>
      <x:c r="H68" s="8" t="str">
        <x:v>6.1.2</x:v>
      </x:c>
      <x:c r="I68" s="10" t="str">
        <x:f>VLOOKUP(H68,'Taxonomy'!$A$6:$G$70,6,FALSE)</x:f>
        <x:v>领域覆盖与工作要求</x:v>
      </x:c>
      <x:c r="J68" s="8" t="str">
        <x:v>工具、界面与应用执行;任务、环境与扰动构造;执行平台、隔离与规模化</x:v>
      </x:c>
      <x:c r="K68" s="8" t="str">
        <x:v>感知与理解;规划与协调;执行与状态管理</x:v>
      </x:c>
      <x:c r="L68" s="8" t="str">
        <x:v>2.3.4 执行与状态管理;6.4 开放框架与执行环境</x:v>
      </x:c>
      <x:c r="M68" s="8" t="str"/>
      <x:c r="N68" s="8" t="str">
        <x:v>Benchmark;Framework</x:v>
      </x:c>
      <x:c r="O68" s="11" t="str">
        <x:v>https://arxiv.org/abs/2409.08264</x:v>
      </x:c>
      <x:c r="P68" s="8" t="str">
        <x:v>提供可扩展 Windows 评测环境，检验真实操作系统上的多模态任务执行。</x:v>
      </x:c>
      <x:c r="Q68" s="8" t="str">
        <x:v>为桌面多模态操作与应用状态验收提供Windows场景。</x:v>
      </x:c>
      <x:c r="R68" s="8" t="str">
        <x:v>平台和应用版本影响可复现性；不能跨平台外推。</x:v>
      </x:c>
      <x:c r="S68" s="8" t="str">
        <x:v>补充</x:v>
      </x:c>
      <x:c r="T68" s="12" t="str">
        <x:v>未分配</x:v>
      </x:c>
      <x:c r="U68" s="12" t="str"/>
      <x:c r="V68" s="12" t="str"/>
      <x:c r="W68" s="12" t="str"/>
      <x:c r="X68" s="8" t="str">
        <x:v>verified</x:v>
      </x:c>
      <x:c r="Y68" s="11" t="str">
        <x:v>https://github.com/microsoft/WindowsAgentArena</x:v>
      </x:c>
      <x:c r="Z68" s="11" t="str"/>
      <x:c r="AA68" s="11" t="str">
        <x:v>https://arxiv.org/pdf/2409.08264</x:v>
      </x:c>
      <x:c r="AB68" s="11" t="str">
        <x:v>https://arxiv.org/abs/2409.08264</x:v>
      </x:c>
      <x:c r="AC68" s="8" t="str">
        <x:v>L134;AIO-033</x:v>
      </x:c>
      <x:c r="AD68" s="8" t="str">
        <x:v>这些条目已出现在第二章或原第四章，但本轮没有重新核查原文。题名、年份与链接沿用现有文献库；不能把它们计作本轮新核实的证据。</x:v>
      </x:c>
      <x:c r="AE68" s="8" t="str">
        <x:v>原第四章</x:v>
      </x:c>
      <x:c r="AF68" s="8" t="str">
        <x:v>用于“领域覆盖与工作要求”：提供可扩展 Windows 评测环境，检验真实操作系统上的多模态任务执行。</x:v>
      </x:c>
      <x:c r="AG68" s="8" t="str">
        <x:v>computer-use</x:v>
      </x:c>
      <x:c r="AH68" s="8" t="str">
        <x:v>Windows desktop environment</x:v>
      </x:c>
      <x:c r="AI68" s="8" t="str">
        <x:v>67</x:v>
      </x:c>
      <x:c r="AJ68" s="8" t="str">
        <x:v>survey bibliography;2026-10-16 chapter 2 / former chapter 4 supplement;2026-10-16 AI Office survey bibliography</x:v>
      </x:c>
      <x:c r="AK68" s="13" t="d">
        <x:v>2026-10-16T00:00:00.000Z</x:v>
      </x:c>
      <x:c r="AL68" s="8" t="str">
        <x:v>来源为附件附录A既有引用索引；未把附件的未复核条目升级为本轮已读证据。原稿位置：原第四章；引用键：windowsarena。</x:v>
      </x:c>
      <x:c r="AM68" s="8" t="str">
        <x:v>4.4;6.1;6.4</x:v>
      </x:c>
    </x:row>
    <x:row r="69" ht="68" customHeight="1">
      <x:c r="A69" s="8" t="str">
        <x:v>WA-0068</x:v>
      </x:c>
      <x:c r="B69" s="8" t="str">
        <x:v>AndroidWorld</x:v>
      </x:c>
      <x:c r="C69" s="8" t="str">
        <x:v>AndroidWorld: A Dynamic Benchmarking Environment for Autonomous Agents</x:v>
      </x:c>
      <x:c r="D69" s="9" t="n">
        <x:v>2024</x:v>
      </x:c>
      <x:c r="E69" s="8" t="str">
        <x:v>Google DeepMind; Google</x:v>
      </x:c>
      <x:c r="F69" s="10" t="str">
        <x:f>VLOOKUP(H69,'Taxonomy'!$A$6:$G$70,3,FALSE)</x:f>
        <x:v>评估与资源：如何检验工作完成</x:v>
      </x:c>
      <x:c r="G69" s="10" t="str">
        <x:f>VLOOKUP(H69,'Taxonomy'!$A$6:$G$70,5,FALSE)</x:f>
        <x:v>基准与任务构造</x:v>
      </x:c>
      <x:c r="H69" s="8" t="str">
        <x:v>6.1.2</x:v>
      </x:c>
      <x:c r="I69" s="10" t="str">
        <x:f>VLOOKUP(H69,'Taxonomy'!$A$6:$G$70,6,FALSE)</x:f>
        <x:v>领域覆盖与工作要求</x:v>
      </x:c>
      <x:c r="J69" s="8" t="str">
        <x:v>工具、界面与应用执行;任务、环境与扰动构造</x:v>
      </x:c>
      <x:c r="K69" s="8" t="str">
        <x:v>感知与理解;执行与状态管理</x:v>
      </x:c>
      <x:c r="L69" s="8" t="str">
        <x:v>2.3.4 执行与状态管理</x:v>
      </x:c>
      <x:c r="M69" s="8" t="str"/>
      <x:c r="N69" s="8" t="str">
        <x:v>Benchmark</x:v>
      </x:c>
      <x:c r="O69" s="11" t="str">
        <x:v>https://arxiv.org/abs/2405.14573</x:v>
      </x:c>
      <x:c r="P69" s="8" t="str">
        <x:v>以真实 Android 应用及动态任务参数构建可复现的移动代理评测环境。</x:v>
      </x:c>
      <x:c r="Q69" s="8" t="str">
        <x:v>展示可重置应用环境和最终状态评分，补充移动设备执行评估。</x:v>
      </x:c>
      <x:c r="R69" s="8" t="str">
        <x:v>Android任务集的覆盖不能代表桌面或企业工作场景。</x:v>
      </x:c>
      <x:c r="S69" s="8" t="str">
        <x:v>补充</x:v>
      </x:c>
      <x:c r="T69" s="12" t="str">
        <x:v>未分配</x:v>
      </x:c>
      <x:c r="U69" s="12" t="str"/>
      <x:c r="V69" s="12" t="str"/>
      <x:c r="W69" s="12" t="str"/>
      <x:c r="X69" s="8" t="str">
        <x:v>verified</x:v>
      </x:c>
      <x:c r="Y69" s="11" t="str">
        <x:v>https://github.com/google-research/android_world</x:v>
      </x:c>
      <x:c r="Z69" s="11" t="str"/>
      <x:c r="AA69" s="11" t="str">
        <x:v>https://arxiv.org/pdf/2405.14573</x:v>
      </x:c>
      <x:c r="AB69" s="11" t="str">
        <x:v>https://arxiv.org/abs/2405.14573</x:v>
      </x:c>
      <x:c r="AC69" s="8" t="str">
        <x:v>L123</x:v>
      </x:c>
      <x:c r="AD69" s="8" t="str">
        <x:v>这些条目已出现在第二章或原第四章，但本轮没有重新核查原文。题名、年份与链接沿用现有文献库；不能把它们计作本轮新核实的证据。</x:v>
      </x:c>
      <x:c r="AE69" s="8" t="str">
        <x:v>原第四章</x:v>
      </x:c>
      <x:c r="AF69" s="8" t="str">
        <x:v>用于“领域覆盖与工作要求”：以真实 Android 应用及动态任务参数构建可复现的移动代理评测环境。</x:v>
      </x:c>
      <x:c r="AG69" s="8" t="str">
        <x:v>computer-use</x:v>
      </x:c>
      <x:c r="AH69" s="8" t="str">
        <x:v>Android mobile environment</x:v>
      </x:c>
      <x:c r="AI69" s="8" t="str">
        <x:v>68</x:v>
      </x:c>
      <x:c r="AJ69" s="8" t="str">
        <x:v>survey bibliography;2026-10-16 chapter 2 / former chapter 4 supplement</x:v>
      </x:c>
      <x:c r="AK69" s="13" t="d">
        <x:v>2026-10-16T00:00:00.000Z</x:v>
      </x:c>
      <x:c r="AL69" s="8" t="str">
        <x:v>来源为附件附录A既有引用索引；未把附件的未复核条目升级为本轮已读证据。原稿位置：原第四章；引用键：androidworld。</x:v>
      </x:c>
      <x:c r="AM69" s="8" t="str">
        <x:v>4.4;6.1</x:v>
      </x:c>
    </x:row>
    <x:row r="70" ht="68" customHeight="1">
      <x:c r="A70" s="8" t="str">
        <x:v>WA-0069</x:v>
      </x:c>
      <x:c r="B70" s="8" t="str">
        <x:v>Spider 2.0</x:v>
      </x:c>
      <x:c r="C70" s="8" t="str">
        <x:v>Spider 2.0: Evaluating Language Models on Real-World Enterprise Text-to-SQL Workflows</x:v>
      </x:c>
      <x:c r="D70" s="9" t="n">
        <x:v>2024</x:v>
      </x:c>
      <x:c r="E70" s="8" t="str">
        <x:v>University of Hong Kong; Salesforce Research; Sea AI Lab; Google DeepMind; Google Cloud AI Research; University of Waterloo</x:v>
      </x:c>
      <x:c r="F70" s="10" t="str">
        <x:f>VLOOKUP(H70,'Taxonomy'!$A$6:$G$70,3,FALSE)</x:f>
        <x:v>基础：定义、工作条件与核心能力</x:v>
      </x:c>
      <x:c r="G70" s="10" t="str">
        <x:f>VLOOKUP(H70,'Taxonomy'!$A$6:$G$70,5,FALSE)</x:f>
        <x:v>五项核心能力</x:v>
      </x:c>
      <x:c r="H70" s="8" t="str">
        <x:v>2.3.1</x:v>
      </x:c>
      <x:c r="I70" s="10" t="str">
        <x:f>VLOOKUP(H70,'Taxonomy'!$A$6:$G$70,6,FALSE)</x:f>
        <x:v>感知与理解</x:v>
      </x:c>
      <x:c r="J70" s="8" t="str">
        <x:v>对象关系、来源与依赖;职业知识与专业判断;工具、界面与应用执行</x:v>
      </x:c>
      <x:c r="K70" s="8" t="str">
        <x:v>感知与理解;推理与决策;执行与状态管理</x:v>
      </x:c>
      <x:c r="L70" s="8" t="str">
        <x:v>2.3.4 执行与状态管理;6.1 基准与任务构造</x:v>
      </x:c>
      <x:c r="M70" s="8" t="str"/>
      <x:c r="N70" s="8" t="str">
        <x:v>Benchmark</x:v>
      </x:c>
      <x:c r="O70" s="11" t="str">
        <x:v>https://arxiv.org/abs/2411.07763</x:v>
      </x:c>
      <x:c r="P70" s="8" t="str">
        <x:v>将文本到 SQL 扩展到企业数据库、项目文件与多步骤数据处理工作流程。</x:v>
      </x:c>
      <x:c r="Q70" s="8" t="str">
        <x:v>把企业数据库、模式发现和SQL执行作为专业工作流程。</x:v>
      </x:c>
      <x:c r="R70" s="8" t="str">
        <x:v>Text-to-SQL场景不能涵盖所有企业系统；应区分不同Spider2评测子集。</x:v>
      </x:c>
      <x:c r="S70" s="8" t="str">
        <x:v>补充</x:v>
      </x:c>
      <x:c r="T70" s="12" t="str">
        <x:v>未分配</x:v>
      </x:c>
      <x:c r="U70" s="12" t="str"/>
      <x:c r="V70" s="12" t="str"/>
      <x:c r="W70" s="12" t="str"/>
      <x:c r="X70" s="8" t="str">
        <x:v>verified</x:v>
      </x:c>
      <x:c r="Y70" s="11" t="str">
        <x:v>https://github.com/xlang-ai/Spider2</x:v>
      </x:c>
      <x:c r="Z70" s="11" t="str"/>
      <x:c r="AA70" s="11" t="str">
        <x:v>https://arxiv.org/pdf/2411.07763</x:v>
      </x:c>
      <x:c r="AB70" s="11" t="str">
        <x:v>https://arxiv.org/abs/2411.07763</x:v>
      </x:c>
      <x:c r="AC70" s="8" t="str">
        <x:v>L131</x:v>
      </x:c>
      <x:c r="AD70" s="8" t="str">
        <x:v>这些条目已出现在第二章或原第四章，但本轮没有重新核查原文。题名、年份与链接沿用现有文献库；不能把它们计作本轮新核实的证据。</x:v>
      </x:c>
      <x:c r="AE70" s="8" t="str">
        <x:v>原第四章</x:v>
      </x:c>
      <x:c r="AF70" s="8" t="str">
        <x:v>用于“感知与理解”：将文本到 SQL 扩展到企业数据库、项目文件与多步骤数据处理工作流程。</x:v>
      </x:c>
      <x:c r="AG70" s="8" t="str">
        <x:v>tool-enterprise</x:v>
      </x:c>
      <x:c r="AH70" s="8" t="str">
        <x:v>enterprise text-to-SQL workflow</x:v>
      </x:c>
      <x:c r="AI70" s="8" t="str">
        <x:v>69</x:v>
      </x:c>
      <x:c r="AJ70" s="8" t="str">
        <x:v>survey bibliography;2026-10-16 chapter 2 / former chapter 4 supplement</x:v>
      </x:c>
      <x:c r="AK70" s="13" t="d">
        <x:v>2026-10-16T00:00:00.000Z</x:v>
      </x:c>
      <x:c r="AL70" s="8" t="str">
        <x:v>来源为附件附录A既有引用索引；未把附件的未复核条目升级为本轮已读证据。原稿位置：原第四章；引用键：spider2。</x:v>
      </x:c>
      <x:c r="AM70" s="8" t="str">
        <x:v>4.1;4.4;6.1</x:v>
      </x:c>
    </x:row>
    <x:row r="71" ht="68" customHeight="1">
      <x:c r="A71" s="8" t="str">
        <x:v>WA-0070</x:v>
      </x:c>
      <x:c r="B71" s="8" t="str">
        <x:v>OmniParser</x:v>
      </x:c>
      <x:c r="C71" s="8" t="str">
        <x:v>OmniParser for Pure Vision Based GUI Agent</x:v>
      </x:c>
      <x:c r="D71" s="9" t="n">
        <x:v>2024</x:v>
      </x:c>
      <x:c r="E71" s="8" t="str">
        <x:v>Microsoft Research; Microsoft Gen AI</x:v>
      </x:c>
      <x:c r="F71" s="10" t="str">
        <x:f>VLOOKUP(H71,'Taxonomy'!$A$6:$G$70,3,FALSE)</x:f>
        <x:v>基础：定义、工作条件与核心能力</x:v>
      </x:c>
      <x:c r="G71" s="10" t="str">
        <x:f>VLOOKUP(H71,'Taxonomy'!$A$6:$G$70,5,FALSE)</x:f>
        <x:v>五项核心能力</x:v>
      </x:c>
      <x:c r="H71" s="8" t="str">
        <x:v>2.3.1</x:v>
      </x:c>
      <x:c r="I71" s="10" t="str">
        <x:f>VLOOKUP(H71,'Taxonomy'!$A$6:$G$70,6,FALSE)</x:f>
        <x:v>感知与理解</x:v>
      </x:c>
      <x:c r="J71" s="8" t="str">
        <x:v>对象结构、模态与语义;接口与观测优化</x:v>
      </x:c>
      <x:c r="K71" s="8" t="str">
        <x:v>感知与理解</x:v>
      </x:c>
      <x:c r="L71" s="8" t="str">
        <x:v>5.3 运行框架优化</x:v>
      </x:c>
      <x:c r="M71" s="8" t="str"/>
      <x:c r="N71" s="8" t="str">
        <x:v>Method</x:v>
      </x:c>
      <x:c r="O71" s="11" t="str">
        <x:v>https://arxiv.org/abs/2408.00203</x:v>
      </x:c>
      <x:c r="P71" s="8" t="str">
        <x:v>将屏幕图像解析为可操作界面元素及语义描述，为纯视觉 GUI 代理提供结构化观察。</x:v>
      </x:c>
      <x:c r="Q71" s="8" t="str">
        <x:v>将屏幕解析、OCR及交互元素定位连接到GUI动作接口。</x:v>
      </x:c>
      <x:c r="R71" s="8" t="str">
        <x:v>视觉解析组件本身不完成工作流或核验最终业务结果。</x:v>
      </x:c>
      <x:c r="S71" s="8" t="str">
        <x:v>补充</x:v>
      </x:c>
      <x:c r="T71" s="12" t="str">
        <x:v>未分配</x:v>
      </x:c>
      <x:c r="U71" s="12" t="str"/>
      <x:c r="V71" s="12" t="str"/>
      <x:c r="W71" s="12" t="str"/>
      <x:c r="X71" s="8" t="str">
        <x:v>verified</x:v>
      </x:c>
      <x:c r="Y71" s="11" t="str"/>
      <x:c r="Z71" s="11" t="str"/>
      <x:c r="AA71" s="11" t="str">
        <x:v>https://arxiv.org/pdf/2408.00203</x:v>
      </x:c>
      <x:c r="AB71" s="11" t="str">
        <x:v>https://arxiv.org/abs/2408.00203</x:v>
      </x:c>
      <x:c r="AC71" s="8" t="str">
        <x:v>L128;AIO-142</x:v>
      </x:c>
      <x:c r="AD71" s="8" t="str">
        <x:v>这些条目已出现在第二章或原第四章，但本轮没有重新核查原文。题名、年份与链接沿用现有文献库；不能把它们计作本轮新核实的证据。</x:v>
      </x:c>
      <x:c r="AE71" s="8" t="str">
        <x:v>原第四章</x:v>
      </x:c>
      <x:c r="AF71" s="8" t="str">
        <x:v>用于“感知与理解”：将屏幕图像解析为可操作界面元素及语义描述，为纯视觉 GUI 代理提供结构化观察。</x:v>
      </x:c>
      <x:c r="AG71" s="8" t="str">
        <x:v>computer-use</x:v>
      </x:c>
      <x:c r="AH71" s="8" t="str">
        <x:v>visual GUI parsing</x:v>
      </x:c>
      <x:c r="AI71" s="8" t="str">
        <x:v>70</x:v>
      </x:c>
      <x:c r="AJ71" s="8" t="str">
        <x:v>survey bibliography;2026-10-16 chapter 2 / former chapter 4 supplement;2026-10-16 AI Office survey bibliography</x:v>
      </x:c>
      <x:c r="AK71" s="13" t="d">
        <x:v>2026-10-16T00:00:00.000Z</x:v>
      </x:c>
      <x:c r="AL71" s="8" t="str">
        <x:v>来源为附件附录A既有引用索引；未把附件的未复核条目升级为本轮已读证据。原稿位置：原第四章；引用键：omniparser。</x:v>
      </x:c>
      <x:c r="AM71" s="8" t="str">
        <x:v>4.1;5.3</x:v>
      </x:c>
    </x:row>
    <x:row r="72" ht="68" customHeight="1">
      <x:c r="A72" s="8" t="str">
        <x:v>WA-0071</x:v>
      </x:c>
      <x:c r="B72" s="8" t="str">
        <x:v>Agent S2</x:v>
      </x:c>
      <x:c r="C72" s="8" t="str">
        <x:v>Agent S2: A Compositional Generalist-Specialist Framework for Computer Use Agents</x:v>
      </x:c>
      <x:c r="D72" s="9" t="n">
        <x:v>2025</x:v>
      </x:c>
      <x:c r="E72" s="8" t="str">
        <x:v>Simular Research</x:v>
      </x:c>
      <x:c r="F72" s="10" t="str">
        <x:f>VLOOKUP(H72,'Taxonomy'!$A$6:$G$70,3,FALSE)</x:f>
        <x:v>基础：定义、工作条件与核心能力</x:v>
      </x:c>
      <x:c r="G72" s="10" t="str">
        <x:f>VLOOKUP(H72,'Taxonomy'!$A$6:$G$70,5,FALSE)</x:f>
        <x:v>五项核心能力</x:v>
      </x:c>
      <x:c r="H72" s="8" t="str">
        <x:v>2.3.3</x:v>
      </x:c>
      <x:c r="I72" s="10" t="str">
        <x:f>VLOOKUP(H72,'Taxonomy'!$A$6:$G$70,6,FALSE)</x:f>
        <x:v>规划与协调</x:v>
      </x:c>
      <x:c r="J72" s="8" t="str">
        <x:v>任务分解与行动依赖;工具、界面与应用执行;对象结构、模态与语义</x:v>
      </x:c>
      <x:c r="K72" s="8" t="str">
        <x:v>感知与理解;规划与协调;执行与状态管理</x:v>
      </x:c>
      <x:c r="L72" s="8" t="str">
        <x:v>2.3.1 感知与理解;2.3.4 执行与状态管理</x:v>
      </x:c>
      <x:c r="M72" s="8" t="str"/>
      <x:c r="N72" s="8" t="str">
        <x:v>Method;Framework</x:v>
      </x:c>
      <x:c r="O72" s="11" t="str">
        <x:v>https://arxiv.org/abs/2504.00906</x:v>
      </x:c>
      <x:c r="P72" s="8" t="str">
        <x:v>组合通用规划器和专用定位等模块，提升跨应用计算机任务执行。</x:v>
      </x:c>
      <x:c r="Q72" s="8" t="str">
        <x:v>连接GUI感知、任务分解和动作执行，作为计算机使用系统补充。</x:v>
      </x:c>
      <x:c r="R72" s="8" t="str">
        <x:v>既有引文索引未重读；不要从组件设计直接推断所有工作任务有效。</x:v>
      </x:c>
      <x:c r="S72" s="8" t="str">
        <x:v>补充</x:v>
      </x:c>
      <x:c r="T72" s="12" t="str">
        <x:v>未分配</x:v>
      </x:c>
      <x:c r="U72" s="12" t="str"/>
      <x:c r="V72" s="12" t="str"/>
      <x:c r="W72" s="12" t="str"/>
      <x:c r="X72" s="8" t="str">
        <x:v>verified</x:v>
      </x:c>
      <x:c r="Y72" s="11" t="str">
        <x:v>https://github.com/simular-ai/Agent-S</x:v>
      </x:c>
      <x:c r="Z72" s="11" t="str"/>
      <x:c r="AA72" s="11" t="str">
        <x:v>https://arxiv.org/pdf/2504.00906</x:v>
      </x:c>
      <x:c r="AB72" s="11" t="str">
        <x:v>https://arxiv.org/abs/2504.00906</x:v>
      </x:c>
      <x:c r="AC72" s="8" t="str">
        <x:v>L117</x:v>
      </x:c>
      <x:c r="AD72" s="8" t="str">
        <x:v>这些条目已出现在第二章或原第四章，但本轮没有重新核查原文。题名、年份与链接沿用现有文献库；不能把它们计作本轮新核实的证据。</x:v>
      </x:c>
      <x:c r="AE72" s="8" t="str">
        <x:v>原第四章</x:v>
      </x:c>
      <x:c r="AF72" s="8" t="str">
        <x:v>用于“规划与协调”：组合通用规划器和专用定位等模块，提升跨应用计算机任务执行。</x:v>
      </x:c>
      <x:c r="AG72" s="8" t="str">
        <x:v>computer-use</x:v>
      </x:c>
      <x:c r="AH72" s="8" t="str">
        <x:v>generalist-specialist computer use</x:v>
      </x:c>
      <x:c r="AI72" s="8" t="str">
        <x:v>71</x:v>
      </x:c>
      <x:c r="AJ72" s="8" t="str">
        <x:v>survey bibliography;previous README;2026-10-16 chapter 2 / former chapter 4 supplement</x:v>
      </x:c>
      <x:c r="AK72" s="13" t="d">
        <x:v>2026-10-16T00:00:00.000Z</x:v>
      </x:c>
      <x:c r="AL72" s="8" t="str">
        <x:v>来源为附件附录A既有引用索引；未把附件的未复核条目升级为本轮已读证据。原稿位置：原第四章；引用键：agents2。</x:v>
      </x:c>
      <x:c r="AM72" s="8" t="str">
        <x:v>4.1;4.3;4.4</x:v>
      </x:c>
    </x:row>
    <x:row r="73" ht="68" customHeight="1">
      <x:c r="A73" s="8" t="str">
        <x:v>WA-0072</x:v>
      </x:c>
      <x:c r="B73" s="8" t="str">
        <x:v>AutoCodeRover</x:v>
      </x:c>
      <x:c r="C73" s="8" t="str">
        <x:v>AutoCodeRover: Autonomous Program Improvement</x:v>
      </x:c>
      <x:c r="D73" s="9" t="n">
        <x:v>2024</x:v>
      </x:c>
      <x:c r="E73" s="8" t="str">
        <x:v>National University of Singapore</x:v>
      </x:c>
      <x:c r="F73" s="10" t="str">
        <x:f>VLOOKUP(H73,'Taxonomy'!$A$6:$G$70,3,FALSE)</x:f>
        <x:v>基础：定义、工作条件与核心能力</x:v>
      </x:c>
      <x:c r="G73" s="10" t="str">
        <x:f>VLOOKUP(H73,'Taxonomy'!$A$6:$G$70,5,FALSE)</x:f>
        <x:v>五项核心能力</x:v>
      </x:c>
      <x:c r="H73" s="8" t="str">
        <x:v>2.3.5</x:v>
      </x:c>
      <x:c r="I73" s="10" t="str">
        <x:f>VLOOKUP(H73,'Taxonomy'!$A$6:$G$70,6,FALSE)</x:f>
        <x:v>验证、恢复与重新规划</x:v>
      </x:c>
      <x:c r="J73" s="8" t="str">
        <x:v>失败定位与根因诊断;回滚、补偿与路径调整;工具、界面与应用执行</x:v>
      </x:c>
      <x:c r="K73" s="8" t="str">
        <x:v>感知与理解;推理与决策;执行与状态管理;验证、恢复与重新规划</x:v>
      </x:c>
      <x:c r="L73" s="8" t="str">
        <x:v>2.3.4 执行与状态管理</x:v>
      </x:c>
      <x:c r="M73" s="8" t="str"/>
      <x:c r="N73" s="8" t="str">
        <x:v>Method</x:v>
      </x:c>
      <x:c r="O73" s="11" t="str">
        <x:v>https://arxiv.org/abs/2404.05427</x:v>
      </x:c>
      <x:c r="P73" s="8" t="str">
        <x:v>利用代码结构检索与补丁验证，自动定位并修复仓库中的程序问题。</x:v>
      </x:c>
      <x:c r="Q73" s="8" t="str">
        <x:v>补充基于程序分析和验证反馈的软件修复方法。</x:v>
      </x:c>
      <x:c r="R73" s="8" t="str">
        <x:v>SWE问题解决与一般职业工作产物具有不同验收方式。</x:v>
      </x:c>
      <x:c r="S73" s="8" t="str">
        <x:v>补充</x:v>
      </x:c>
      <x:c r="T73" s="12" t="str">
        <x:v>未分配</x:v>
      </x:c>
      <x:c r="U73" s="12" t="str"/>
      <x:c r="V73" s="12" t="str"/>
      <x:c r="W73" s="12" t="str"/>
      <x:c r="X73" s="8" t="str">
        <x:v>verified</x:v>
      </x:c>
      <x:c r="Y73" s="11" t="str"/>
      <x:c r="Z73" s="11" t="str"/>
      <x:c r="AA73" s="11" t="str">
        <x:v>https://arxiv.org/pdf/2404.05427</x:v>
      </x:c>
      <x:c r="AB73" s="11" t="str">
        <x:v>https://arxiv.org/abs/2404.05427</x:v>
      </x:c>
      <x:c r="AC73" s="8" t="str">
        <x:v>L124</x:v>
      </x:c>
      <x:c r="AD73" s="8" t="str">
        <x:v>这些条目已出现在第二章或原第四章，但本轮没有重新核查原文。题名、年份与链接沿用现有文献库；不能把它们计作本轮新核实的证据。</x:v>
      </x:c>
      <x:c r="AE73" s="8" t="str">
        <x:v>原第四章</x:v>
      </x:c>
      <x:c r="AF73" s="8" t="str">
        <x:v>用于“验证、恢复与重新规划”：利用代码结构检索与补丁验证，自动定位并修复仓库中的程序问题。</x:v>
      </x:c>
      <x:c r="AG73" s="8" t="str">
        <x:v>swe-science</x:v>
      </x:c>
      <x:c r="AH73" s="8" t="str">
        <x:v>autonomous program repair</x:v>
      </x:c>
      <x:c r="AI73" s="8" t="str">
        <x:v>72</x:v>
      </x:c>
      <x:c r="AJ73" s="8" t="str">
        <x:v>survey bibliography;2026-10-16 chapter 2 / former chapter 4 supplement</x:v>
      </x:c>
      <x:c r="AK73" s="13" t="d">
        <x:v>2026-10-16T00:00:00.000Z</x:v>
      </x:c>
      <x:c r="AL73" s="8" t="str">
        <x:v>来源为附件附录A既有引用索引；未把附件的未复核条目升级为本轮已读证据。原稿位置：原第四章；引用键：autocoderover。</x:v>
      </x:c>
      <x:c r="AM73" s="8" t="str">
        <x:v>4.4;4.5</x:v>
      </x:c>
    </x:row>
    <x:row r="74" ht="152" customHeight="1">
      <x:c r="A74" s="8" t="str">
        <x:v>WA-0073</x:v>
      </x:c>
      <x:c r="B74" s="8" t="str">
        <x:v>Data Interpreter</x:v>
      </x:c>
      <x:c r="C74" s="8" t="str">
        <x:v>Data Interpreter: An LLM Agent For Data Science</x:v>
      </x:c>
      <x:c r="D74" s="9" t="n">
        <x:v>2024</x:v>
      </x:c>
      <x:c r="E74" s="8" t="str">
        <x:v>DeepWisdom; Université de Montréal; Mila; Chinese University of Hong Kong, Shenzhen; Shenzhen University; Fudan University; Renmin University of China; Shenzhen Institute of Advanced Technology, Chinese Academy of Sciences; King Abdullah University of Science and Technology; University of Notre Dame; University of Hong Kong; Yale University; Xiamen University; East China Normal University; Beijing University of Technology; Tsinghua University; Hohai University</x:v>
      </x:c>
      <x:c r="F74" s="10" t="str">
        <x:f>VLOOKUP(H74,'Taxonomy'!$A$6:$G$70,3,FALSE)</x:f>
        <x:v>基础：定义、工作条件与核心能力</x:v>
      </x:c>
      <x:c r="G74" s="10" t="str">
        <x:f>VLOOKUP(H74,'Taxonomy'!$A$6:$G$70,5,FALSE)</x:f>
        <x:v>五项核心能力</x:v>
      </x:c>
      <x:c r="H74" s="8" t="str">
        <x:v>2.3.3</x:v>
      </x:c>
      <x:c r="I74" s="10" t="str">
        <x:f>VLOOKUP(H74,'Taxonomy'!$A$6:$G$70,6,FALSE)</x:f>
        <x:v>规划与协调</x:v>
      </x:c>
      <x:c r="J74" s="8" t="str">
        <x:v>证据整合与推理;任务分解与行动依赖;工具、界面与应用执行</x:v>
      </x:c>
      <x:c r="K74" s="8" t="str">
        <x:v>推理与决策;规划与协调;执行与状态管理;验证、恢复与重新规划</x:v>
      </x:c>
      <x:c r="L74" s="8" t="str">
        <x:v>2.3.4 执行与状态管理;5.3 运行框架优化</x:v>
      </x:c>
      <x:c r="M74" s="8" t="str"/>
      <x:c r="N74" s="8" t="str">
        <x:v>Method;Framework</x:v>
      </x:c>
      <x:c r="O74" s="11" t="str">
        <x:v>https://arxiv.org/abs/2402.18679</x:v>
      </x:c>
      <x:c r="P74" s="8" t="str">
        <x:v>以分层图建模任务依赖，并通过可编程节点生成、验证和迭代求解。</x:v>
      </x:c>
      <x:c r="Q74" s="8" t="str">
        <x:v>提供执行后中间数据如何改变后续子问题的机制例子。</x:v>
      </x:c>
      <x:c r="R74" s="8" t="str">
        <x:v>所测方法不是working agent必需架构；基础章节宜短述，避免方法堆砌。</x:v>
      </x:c>
      <x:c r="S74" s="8" t="str">
        <x:v>补充</x:v>
      </x:c>
      <x:c r="T74" s="12" t="str">
        <x:v>未分配</x:v>
      </x:c>
      <x:c r="U74" s="12" t="str"/>
      <x:c r="V74" s="12" t="str"/>
      <x:c r="W74" s="12" t="str"/>
      <x:c r="X74" s="8" t="str">
        <x:v>verified</x:v>
      </x:c>
      <x:c r="Y74" s="11" t="str">
        <x:v>https://github.com/geekan/MetaGPT</x:v>
      </x:c>
      <x:c r="Z74" s="11" t="str"/>
      <x:c r="AA74" s="11" t="str">
        <x:v>https://arxiv.org/pdf/2402.18679</x:v>
      </x:c>
      <x:c r="AB74" s="11" t="str">
        <x:v>https://arxiv.org/abs/2402.18679</x:v>
      </x:c>
      <x:c r="AC74" s="8" t="str">
        <x:v>L086</x:v>
      </x:c>
      <x:c r="AD74" s="8" t="str">
        <x:v>第2／原第4章已引；官方摘要。</x:v>
      </x:c>
      <x:c r="AE74" s="8" t="str">
        <x:v>2.3 推理/规划/执行连接；细节交第五章。</x:v>
      </x:c>
      <x:c r="AF74" s="8" t="str">
        <x:v>按补充清单 L086 的论证用途归入“规划与协调”：提供执行后中间数据如何改变后续子问题的机制例子。</x:v>
      </x:c>
      <x:c r="AG74" s="8" t="str">
        <x:v>swe-science</x:v>
      </x:c>
      <x:c r="AH74" s="8" t="str">
        <x:v>data science agent workflow</x:v>
      </x:c>
      <x:c r="AI74" s="8" t="str">
        <x:v>73</x:v>
      </x:c>
      <x:c r="AJ74" s="8" t="str">
        <x:v>survey bibliography;2026-10-16 chapter 2 / former chapter 4 supplement</x:v>
      </x:c>
      <x:c r="AK74" s="13" t="d">
        <x:v>2026-10-16T00:00:00.000Z</x:v>
      </x:c>
      <x:c r="AL74" s="8" t="str"/>
      <x:c r="AM74" s="8" t="str">
        <x:v>4.3;4.4;5.3</x:v>
      </x:c>
    </x:row>
    <x:row r="75" ht="68" customHeight="1">
      <x:c r="A75" s="8" t="str">
        <x:v>WA-0074</x:v>
      </x:c>
      <x:c r="B75" s="8" t="str">
        <x:v>ConvFinQA</x:v>
      </x:c>
      <x:c r="C75" s="8" t="str">
        <x:v>ConvFinQA: Exploring the Chain of Numerical Reasoning in Conversational Finance Question Answering</x:v>
      </x:c>
      <x:c r="D75" s="9" t="n">
        <x:v>2022</x:v>
      </x:c>
      <x:c r="E75" s="8" t="str">
        <x:v>University of California, Santa Barbara; J.P. Morgan</x:v>
      </x:c>
      <x:c r="F75" s="10" t="str">
        <x:f>VLOOKUP(H75,'Taxonomy'!$A$6:$G$70,3,FALSE)</x:f>
        <x:v>基础：定义、工作条件与核心能力</x:v>
      </x:c>
      <x:c r="G75" s="10" t="str">
        <x:f>VLOOKUP(H75,'Taxonomy'!$A$6:$G$70,5,FALSE)</x:f>
        <x:v>五项核心能力</x:v>
      </x:c>
      <x:c r="H75" s="8" t="str">
        <x:v>2.3.2</x:v>
      </x:c>
      <x:c r="I75" s="10" t="str">
        <x:f>VLOOKUP(H75,'Taxonomy'!$A$6:$G$70,6,FALSE)</x:f>
        <x:v>推理与决策</x:v>
      </x:c>
      <x:c r="J75" s="8" t="str">
        <x:v>职业知识与专业判断;证据整合与推理;上下文与记忆管理</x:v>
      </x:c>
      <x:c r="K75" s="8" t="str">
        <x:v>推理与决策;执行与状态管理</x:v>
      </x:c>
      <x:c r="L75" s="8" t="str">
        <x:v>2.3.1 感知与理解</x:v>
      </x:c>
      <x:c r="M75" s="8" t="str"/>
      <x:c r="N75" s="8" t="str">
        <x:v>Benchmark</x:v>
      </x:c>
      <x:c r="O75" s="11" t="str">
        <x:v>https://arxiv.org/abs/2210.03849</x:v>
      </x:c>
      <x:c r="P75" s="8" t="str">
        <x:v>把财务数值推理扩展到多轮对话，要求模型追踪并复用前文计算结果。</x:v>
      </x:c>
      <x:c r="Q75" s="8" t="str">
        <x:v>为连续金融数值推理提供相邻背景。</x:v>
      </x:c>
      <x:c r="R75" s="8" t="str">
        <x:v>多轮财务问答没有证明会修改或核验金融模型文件。</x:v>
      </x:c>
      <x:c r="S75" s="8" t="str">
        <x:v>补充</x:v>
      </x:c>
      <x:c r="T75" s="12" t="str">
        <x:v>未分配</x:v>
      </x:c>
      <x:c r="U75" s="12" t="str"/>
      <x:c r="V75" s="12" t="str"/>
      <x:c r="W75" s="12" t="str"/>
      <x:c r="X75" s="8" t="str">
        <x:v>verified</x:v>
      </x:c>
      <x:c r="Y75" s="11" t="str">
        <x:v>https://github.com/czyssrs/ConvFinQA</x:v>
      </x:c>
      <x:c r="Z75" s="11" t="str"/>
      <x:c r="AA75" s="11" t="str">
        <x:v>https://arxiv.org/pdf/2210.03849</x:v>
      </x:c>
      <x:c r="AB75" s="11" t="str">
        <x:v>https://arxiv.org/abs/2210.03849</x:v>
      </x:c>
      <x:c r="AC75" s="8" t="str">
        <x:v>L146</x:v>
      </x:c>
      <x:c r="AD75" s="8" t="str">
        <x:v>这些条目已出现在第二章或原第四章，但本轮没有重新核查原文。题名、年份与链接沿用现有文献库；不能把它们计作本轮新核实的证据。</x:v>
      </x:c>
      <x:c r="AE75" s="8" t="str">
        <x:v>原第四章</x:v>
      </x:c>
      <x:c r="AF75" s="8" t="str">
        <x:v>用于“推理与决策”：把财务数值推理扩展到多轮对话，要求模型追踪并复用前文计算结果。</x:v>
      </x:c>
      <x:c r="AG75" s="8" t="str">
        <x:v>related</x:v>
      </x:c>
      <x:c r="AH75" s="8" t="str">
        <x:v>conversational financial reasoning</x:v>
      </x:c>
      <x:c r="AI75" s="8" t="str">
        <x:v>74</x:v>
      </x:c>
      <x:c r="AJ75" s="8" t="str">
        <x:v>survey bibliography;2026-10-16 chapter 2 / former chapter 4 supplement</x:v>
      </x:c>
      <x:c r="AK75" s="13" t="d">
        <x:v>2026-10-16T00:00:00.000Z</x:v>
      </x:c>
      <x:c r="AL75" s="8" t="str">
        <x:v>来源为附件附录A既有引用索引；未把附件的未复核条目升级为本轮已读证据。原稿位置：原第四章；引用键：convfinqa。</x:v>
      </x:c>
      <x:c r="AM75" s="8" t="str">
        <x:v>4.1;4.2</x:v>
      </x:c>
    </x:row>
    <x:row r="76" ht="68" customHeight="1">
      <x:c r="A76" s="8" t="str">
        <x:v>WA-0075</x:v>
      </x:c>
      <x:c r="B76" s="8" t="str">
        <x:v>Finance Agent Benchmark</x:v>
      </x:c>
      <x:c r="C76" s="8" t="str">
        <x:v>Finance Agent Benchmark: Benchmarking LLMs on Real-world Financial Research Tasks</x:v>
      </x:c>
      <x:c r="D76" s="9" t="n">
        <x:v>2025</x:v>
      </x:c>
      <x:c r="E76" s="8" t="str">
        <x:v>Vals AI; Stanford University</x:v>
      </x:c>
      <x:c r="F76" s="10" t="str">
        <x:f>VLOOKUP(H76,'Taxonomy'!$A$6:$G$70,3,FALSE)</x:f>
        <x:v>基础：定义、工作条件与核心能力</x:v>
      </x:c>
      <x:c r="G76" s="10" t="str">
        <x:f>VLOOKUP(H76,'Taxonomy'!$A$6:$G$70,5,FALSE)</x:f>
        <x:v>五项核心能力</x:v>
      </x:c>
      <x:c r="H76" s="8" t="str">
        <x:v>2.3.2</x:v>
      </x:c>
      <x:c r="I76" s="10" t="str">
        <x:f>VLOOKUP(H76,'Taxonomy'!$A$6:$G$70,6,FALSE)</x:f>
        <x:v>推理与决策</x:v>
      </x:c>
      <x:c r="J76" s="8" t="str">
        <x:v>职业知识与专业判断;证据整合与推理;证据与规则约束下的决策</x:v>
      </x:c>
      <x:c r="K76" s="8" t="str">
        <x:v>感知与理解;推理与决策;执行与状态管理</x:v>
      </x:c>
      <x:c r="L76" s="8" t="str">
        <x:v>3.1 响应级工作;6.1.2 领域覆盖与工作要求</x:v>
      </x:c>
      <x:c r="M76" s="8" t="str"/>
      <x:c r="N76" s="8" t="str">
        <x:v>Benchmark</x:v>
      </x:c>
      <x:c r="O76" s="11" t="str">
        <x:v>https://arxiv.org/abs/2508.00828</x:v>
      </x:c>
      <x:c r="P76" s="8" t="str">
        <x:v>用真实金融研究问题与证据检索评估代理面向财报的研究能力。</x:v>
      </x:c>
      <x:c r="Q76" s="8" t="str">
        <x:v>说明专业定义、时间口径和证据解释共同决定分析结果；有工具不等于判断正确。</x:v>
      </x:c>
      <x:c r="R76" s="8" t="str">
        <x:v>属于工具辅助金融研究与问答，不是实际交易/金融业务执行；费用每题不等于ROI。</x:v>
      </x:c>
      <x:c r="S76" s="8" t="str">
        <x:v>核心</x:v>
      </x:c>
      <x:c r="T76" s="12" t="str">
        <x:v>未分配</x:v>
      </x:c>
      <x:c r="U76" s="12" t="str"/>
      <x:c r="V76" s="12" t="str"/>
      <x:c r="W76" s="12" t="str"/>
      <x:c r="X76" s="8" t="str">
        <x:v>verified</x:v>
      </x:c>
      <x:c r="Y76" s="11" t="str"/>
      <x:c r="Z76" s="11" t="str"/>
      <x:c r="AA76" s="11" t="str">
        <x:v>https://arxiv.org/pdf/2508.00828</x:v>
      </x:c>
      <x:c r="AB76" s="11" t="str">
        <x:v>https://arxiv.org/abs/2508.00828</x:v>
      </x:c>
      <x:c r="AC76" s="8" t="str">
        <x:v>L028</x:v>
      </x:c>
      <x:c r="AD76" s="8" t="str">
        <x:v>第2／原第4章已引；原文相关章节。</x:v>
      </x:c>
      <x:c r="AE76" s="8" t="str">
        <x:v>2.3 Domain Knowledge和专业判断。</x:v>
      </x:c>
      <x:c r="AF76" s="8" t="str">
        <x:v>按补充清单 L028 的论证用途归入“推理与决策”：说明专业定义、时间口径和证据解释共同决定分析结果；有工具不等于判断正确。</x:v>
      </x:c>
      <x:c r="AG76" s="8" t="str">
        <x:v>related</x:v>
      </x:c>
      <x:c r="AH76" s="8" t="str">
        <x:v>financial research</x:v>
      </x:c>
      <x:c r="AI76" s="8" t="str">
        <x:v>75</x:v>
      </x:c>
      <x:c r="AJ76" s="8" t="str">
        <x:v>survey bibliography;2026-10-16 chapter 2 / former chapter 4 supplement</x:v>
      </x:c>
      <x:c r="AK76" s="13" t="d">
        <x:v>2026-10-16T00:00:00.000Z</x:v>
      </x:c>
      <x:c r="AL76" s="8" t="str"/>
      <x:c r="AM76" s="8" t="str">
        <x:v>3.1;4.2;6.1</x:v>
      </x:c>
    </x:row>
    <x:row r="77" ht="68" customHeight="1">
      <x:c r="A77" s="8" t="str">
        <x:v>WA-0076</x:v>
      </x:c>
      <x:c r="B77" s="8" t="str">
        <x:v>LawBench</x:v>
      </x:c>
      <x:c r="C77" s="8" t="str">
        <x:v>LawBench: Benchmarking Legal Knowledge of Large Language Models</x:v>
      </x:c>
      <x:c r="D77" s="9" t="n">
        <x:v>2023</x:v>
      </x:c>
      <x:c r="E77" s="8" t="str">
        <x:v>Nanjing University; Amazon Alexa AI; Saarland University; Shanghai AI Laboratory</x:v>
      </x:c>
      <x:c r="F77" s="10" t="str">
        <x:f>VLOOKUP(H77,'Taxonomy'!$A$6:$G$70,3,FALSE)</x:f>
        <x:v>基础：定义、工作条件与核心能力</x:v>
      </x:c>
      <x:c r="G77" s="10" t="str">
        <x:f>VLOOKUP(H77,'Taxonomy'!$A$6:$G$70,5,FALSE)</x:f>
        <x:v>五项核心能力</x:v>
      </x:c>
      <x:c r="H77" s="8" t="str">
        <x:v>2.3.2</x:v>
      </x:c>
      <x:c r="I77" s="10" t="str">
        <x:f>VLOOKUP(H77,'Taxonomy'!$A$6:$G$70,6,FALSE)</x:f>
        <x:v>推理与决策</x:v>
      </x:c>
      <x:c r="J77" s="8" t="str">
        <x:v>职业知识与专业判断;证据整合与推理</x:v>
      </x:c>
      <x:c r="K77" s="8" t="str">
        <x:v>推理与决策</x:v>
      </x:c>
      <x:c r="L77" s="8" t="str">
        <x:v>3.1 响应级工作;6.1 基准与任务构造</x:v>
      </x:c>
      <x:c r="M77" s="8" t="str"/>
      <x:c r="N77" s="8" t="str">
        <x:v>Benchmark</x:v>
      </x:c>
      <x:c r="O77" s="11" t="str">
        <x:v>https://arxiv.org/abs/2309.16289</x:v>
      </x:c>
      <x:c r="P77" s="8" t="str">
        <x:v>从法律知识记忆、理解及应用等层面系统检验语言模型法律能力。</x:v>
      </x:c>
      <x:c r="Q77" s="8" t="str">
        <x:v>用法律知识与推理题区分领域能力和实际法律工作自动化。</x:v>
      </x:c>
      <x:c r="R77" s="8" t="str">
        <x:v>静态答题不能直接证明法务交付、权限遵循或引用有效性。</x:v>
      </x:c>
      <x:c r="S77" s="8" t="str">
        <x:v>补充</x:v>
      </x:c>
      <x:c r="T77" s="12" t="str">
        <x:v>未分配</x:v>
      </x:c>
      <x:c r="U77" s="12" t="str"/>
      <x:c r="V77" s="12" t="str"/>
      <x:c r="W77" s="12" t="str"/>
      <x:c r="X77" s="8" t="str">
        <x:v>verified</x:v>
      </x:c>
      <x:c r="Y77" s="11" t="str">
        <x:v>https://github.com/open-compass/LawBench</x:v>
      </x:c>
      <x:c r="Z77" s="11" t="str"/>
      <x:c r="AA77" s="11" t="str">
        <x:v>https://arxiv.org/pdf/2309.16289</x:v>
      </x:c>
      <x:c r="AB77" s="11" t="str">
        <x:v>https://arxiv.org/abs/2309.16289</x:v>
      </x:c>
      <x:c r="AC77" s="8" t="str">
        <x:v>L138</x:v>
      </x:c>
      <x:c r="AD77" s="8" t="str">
        <x:v>这些条目已出现在第二章或原第四章，但本轮没有重新核查原文。题名、年份与链接沿用现有文献库；不能把它们计作本轮新核实的证据。</x:v>
      </x:c>
      <x:c r="AE77" s="8" t="str">
        <x:v>原第四章</x:v>
      </x:c>
      <x:c r="AF77" s="8" t="str">
        <x:v>用于“推理与决策”：从法律知识记忆、理解及应用等层面系统检验语言模型法律能力。</x:v>
      </x:c>
      <x:c r="AG77" s="8" t="str">
        <x:v>related</x:v>
      </x:c>
      <x:c r="AH77" s="8" t="str">
        <x:v>legal knowledge and reasoning</x:v>
      </x:c>
      <x:c r="AI77" s="8" t="str">
        <x:v>76</x:v>
      </x:c>
      <x:c r="AJ77" s="8" t="str">
        <x:v>survey bibliography;2026-10-16 chapter 2 / former chapter 4 supplement</x:v>
      </x:c>
      <x:c r="AK77" s="13" t="d">
        <x:v>2026-10-16T00:00:00.000Z</x:v>
      </x:c>
      <x:c r="AL77" s="8" t="str">
        <x:v>来源为附件附录A既有引用索引；未把附件的未复核条目升级为本轮已读证据。原稿位置：原第四章；引用键：lawbench。</x:v>
      </x:c>
      <x:c r="AM77" s="8" t="str">
        <x:v>3.1;6.1</x:v>
      </x:c>
    </x:row>
    <x:row r="78" ht="68" customHeight="1">
      <x:c r="A78" s="8" t="str">
        <x:v>WA-0077</x:v>
      </x:c>
      <x:c r="B78" s="8" t="str">
        <x:v>HealthAgentBench</x:v>
      </x:c>
      <x:c r="C78" s="8" t="str">
        <x:v>HealthAgentBench: A Unified Benchmark Suite of Realistic Agentic Healthcare Environments for Challenging Frontier AI Agents</x:v>
      </x:c>
      <x:c r="D78" s="9" t="n">
        <x:v>2026</x:v>
      </x:c>
      <x:c r="E78" s="8" t="str">
        <x:v>Microsoft Research</x:v>
      </x:c>
      <x:c r="F78" s="10" t="str">
        <x:f>VLOOKUP(H78,'Taxonomy'!$A$6:$G$70,3,FALSE)</x:f>
        <x:v>基础：定义、工作条件与核心能力</x:v>
      </x:c>
      <x:c r="G78" s="10" t="str">
        <x:f>VLOOKUP(H78,'Taxonomy'!$A$6:$G$70,5,FALSE)</x:f>
        <x:v>五项核心能力</x:v>
      </x:c>
      <x:c r="H78" s="8" t="str">
        <x:v>2.3.2</x:v>
      </x:c>
      <x:c r="I78" s="10" t="str">
        <x:f>VLOOKUP(H78,'Taxonomy'!$A$6:$G$70,6,FALSE)</x:f>
        <x:v>推理与决策</x:v>
      </x:c>
      <x:c r="J78" s="8" t="str">
        <x:v>职业知识与专业判断;任务分解与行动依赖;工具、界面与应用执行</x:v>
      </x:c>
      <x:c r="K78" s="8" t="str">
        <x:v>推理与决策;规划与协调;执行与状态管理</x:v>
      </x:c>
      <x:c r="L78" s="8" t="str">
        <x:v>3.4 工作流级工作;6.1.2 领域覆盖与工作要求</x:v>
      </x:c>
      <x:c r="M78" s="8" t="str"/>
      <x:c r="N78" s="8" t="str">
        <x:v>Benchmark</x:v>
      </x:c>
      <x:c r="O78" s="11" t="str">
        <x:v>https://arxiv.org/abs/2606.31179</x:v>
      </x:c>
      <x:c r="P78" s="8" t="str">
        <x:v>将多个真实感医疗工作环境统一为挑战性代理评测，检验医疗工具与流程执行。</x:v>
      </x:c>
      <x:c r="Q78" s="8" t="str">
        <x:v>补足只用医学QA或EHR代表医疗工作的窄化，展示材料、知识与工具组合。</x:v>
      </x:c>
      <x:c r="R78" s="8" t="str">
        <x:v>本轮核对官方摘要与套件概述，未逐项审查每个环境或真实医疗收益。</x:v>
      </x:c>
      <x:c r="S78" s="8" t="str">
        <x:v>补充</x:v>
      </x:c>
      <x:c r="T78" s="12" t="str">
        <x:v>未分配</x:v>
      </x:c>
      <x:c r="U78" s="12" t="str"/>
      <x:c r="V78" s="12" t="str"/>
      <x:c r="W78" s="12" t="str"/>
      <x:c r="X78" s="8" t="str">
        <x:v>verified</x:v>
      </x:c>
      <x:c r="Y78" s="11" t="str">
        <x:v>https://github.com/microsoft/HealthAgentBench</x:v>
      </x:c>
      <x:c r="Z78" s="11" t="str"/>
      <x:c r="AA78" s="11" t="str">
        <x:v>https://arxiv.org/pdf/2606.31179</x:v>
      </x:c>
      <x:c r="AB78" s="11" t="str">
        <x:v>https://arxiv.org/abs/2606.31179</x:v>
      </x:c>
      <x:c r="AC78" s="8" t="str">
        <x:v>L072</x:v>
      </x:c>
      <x:c r="AD78" s="8" t="str">
        <x:v>第2／原第4章已引；官方摘要。</x:v>
      </x:c>
      <x:c r="AE78" s="8" t="str">
        <x:v>2.3 专业能力组合；第六章领域覆盖。</x:v>
      </x:c>
      <x:c r="AF78" s="8" t="str">
        <x:v>按补充清单 L072 的论证用途归入“推理与决策”：补足只用医学QA或EHR代表医疗工作的窄化，展示材料、知识与工具组合。</x:v>
      </x:c>
      <x:c r="AG78" s="8" t="str">
        <x:v>tool-enterprise</x:v>
      </x:c>
      <x:c r="AH78" s="8" t="str">
        <x:v>healthcare agent environments</x:v>
      </x:c>
      <x:c r="AI78" s="8" t="str">
        <x:v>77</x:v>
      </x:c>
      <x:c r="AJ78" s="8" t="str">
        <x:v>survey bibliography;2026-10-16 chapter 2 / former chapter 4 supplement</x:v>
      </x:c>
      <x:c r="AK78" s="13" t="d">
        <x:v>2026-10-16T00:00:00.000Z</x:v>
      </x:c>
      <x:c r="AL78" s="8" t="str"/>
      <x:c r="AM78" s="8" t="str">
        <x:v>3.4;6.1</x:v>
      </x:c>
    </x:row>
    <x:row r="79" ht="68" customHeight="1">
      <x:c r="A79" s="8" t="str">
        <x:v>WA-0078</x:v>
      </x:c>
      <x:c r="B79" s="8" t="str">
        <x:v>DiscoveryBench</x:v>
      </x:c>
      <x:c r="C79" s="8" t="str">
        <x:v>DiscoveryBench: Towards Data-Driven Discovery with Large Language Models</x:v>
      </x:c>
      <x:c r="D79" s="9" t="n">
        <x:v>2024</x:v>
      </x:c>
      <x:c r="E79" s="8" t="str">
        <x:v>Allen Institute for AI; OpenLocus; University of Massachusetts Amherst</x:v>
      </x:c>
      <x:c r="F79" s="10" t="str">
        <x:f>VLOOKUP(H79,'Taxonomy'!$A$6:$G$70,3,FALSE)</x:f>
        <x:v>基础：定义、工作条件与核心能力</x:v>
      </x:c>
      <x:c r="G79" s="10" t="str">
        <x:f>VLOOKUP(H79,'Taxonomy'!$A$6:$G$70,5,FALSE)</x:f>
        <x:v>五项核心能力</x:v>
      </x:c>
      <x:c r="H79" s="8" t="str">
        <x:v>2.3.2</x:v>
      </x:c>
      <x:c r="I79" s="10" t="str">
        <x:f>VLOOKUP(H79,'Taxonomy'!$A$6:$G$70,6,FALSE)</x:f>
        <x:v>推理与决策</x:v>
      </x:c>
      <x:c r="J79" s="8" t="str">
        <x:v>职业知识与专业判断;证据整合与推理;成果与实际状态核验</x:v>
      </x:c>
      <x:c r="K79" s="8" t="str">
        <x:v>感知与理解;推理与决策;执行与状态管理</x:v>
      </x:c>
      <x:c r="L79" s="8" t="str">
        <x:v>2.3.5 验证、恢复与重新规划;6.1.2 领域覆盖与工作要求</x:v>
      </x:c>
      <x:c r="M79" s="8" t="str"/>
      <x:c r="N79" s="8" t="str">
        <x:v>Benchmark</x:v>
      </x:c>
      <x:c r="O79" s="11" t="str">
        <x:v>https://arxiv.org/abs/2407.01725</x:v>
      </x:c>
      <x:c r="P79" s="8" t="str">
        <x:v>由数据、元数据和目标定义数据驱动发现，评估假设搜索与验证。</x:v>
      </x:c>
      <x:c r="Q79" s="8" t="str">
        <x:v>支撑专业推理围绕证据形成、检验和修正结论，而不只是输出答案。</x:v>
      </x:c>
      <x:c r="R79" s="8" t="str">
        <x:v>给定数据发现不等于完整科研自动化、实验设计或新数据采集。</x:v>
      </x:c>
      <x:c r="S79" s="8" t="str">
        <x:v>补充</x:v>
      </x:c>
      <x:c r="T79" s="12" t="str">
        <x:v>未分配</x:v>
      </x:c>
      <x:c r="U79" s="12" t="str"/>
      <x:c r="V79" s="12" t="str"/>
      <x:c r="W79" s="12" t="str"/>
      <x:c r="X79" s="8" t="str">
        <x:v>verified</x:v>
      </x:c>
      <x:c r="Y79" s="11" t="str">
        <x:v>https://github.com/allenai/discoverybench</x:v>
      </x:c>
      <x:c r="Z79" s="11" t="str">
        <x:v>https://huggingface.co/datasets/allenai/discoverybench</x:v>
      </x:c>
      <x:c r="AA79" s="11" t="str">
        <x:v>https://arxiv.org/pdf/2407.01725</x:v>
      </x:c>
      <x:c r="AB79" s="11" t="str">
        <x:v>https://arxiv.org/abs/2407.01725</x:v>
      </x:c>
      <x:c r="AC79" s="8" t="str">
        <x:v>L087</x:v>
      </x:c>
      <x:c r="AD79" s="8" t="str">
        <x:v>第2／原第4章已引；官方摘要。</x:v>
      </x:c>
      <x:c r="AE79" s="8" t="str">
        <x:v>2.3 分析与验证的联系。</x:v>
      </x:c>
      <x:c r="AF79" s="8" t="str">
        <x:v>按补充清单 L087 的论证用途归入“推理与决策”：支撑专业推理围绕证据形成、检验和修正结论，而不只是输出答案。</x:v>
      </x:c>
      <x:c r="AG79" s="8" t="str">
        <x:v>swe-science</x:v>
      </x:c>
      <x:c r="AH79" s="8" t="str">
        <x:v>data-driven discovery</x:v>
      </x:c>
      <x:c r="AI79" s="8" t="str">
        <x:v>78</x:v>
      </x:c>
      <x:c r="AJ79" s="8" t="str">
        <x:v>survey bibliography;2026-10-16 chapter 2 / former chapter 4 supplement</x:v>
      </x:c>
      <x:c r="AK79" s="13" t="d">
        <x:v>2026-10-16T00:00:00.000Z</x:v>
      </x:c>
      <x:c r="AL79" s="8" t="str"/>
      <x:c r="AM79" s="8" t="str">
        <x:v>4.2;6.1</x:v>
      </x:c>
    </x:row>
    <x:row r="80" ht="68" customHeight="1">
      <x:c r="A80" s="8" t="str">
        <x:v>WA-0079</x:v>
      </x:c>
      <x:c r="B80" s="8" t="str">
        <x:v>Terminal-Bench</x:v>
      </x:c>
      <x:c r="C80" s="8" t="str">
        <x:v>Terminal-Bench: Benchmarking Agents on Hard, Realistic Tasks in Command Line Interfaces</x:v>
      </x:c>
      <x:c r="D80" s="9" t="n">
        <x:v>2026</x:v>
      </x:c>
      <x:c r="E80" s="8" t="str">
        <x:v>Stanford University; Laude Institute; Anthropic</x:v>
      </x:c>
      <x:c r="F80" s="10" t="str">
        <x:f>VLOOKUP(H80,'Taxonomy'!$A$6:$G$70,3,FALSE)</x:f>
        <x:v>评估与资源：如何检验工作完成</x:v>
      </x:c>
      <x:c r="G80" s="10" t="str">
        <x:f>VLOOKUP(H80,'Taxonomy'!$A$6:$G$70,5,FALSE)</x:f>
        <x:v>基准与任务构造</x:v>
      </x:c>
      <x:c r="H80" s="8" t="str">
        <x:v>6.1.2</x:v>
      </x:c>
      <x:c r="I80" s="10" t="str">
        <x:f>VLOOKUP(H80,'Taxonomy'!$A$6:$G$70,6,FALSE)</x:f>
        <x:v>领域覆盖与工作要求</x:v>
      </x:c>
      <x:c r="J80" s="8" t="str">
        <x:v>工具、界面与应用执行;任务、环境与扰动构造;执行平台、隔离与规模化</x:v>
      </x:c>
      <x:c r="K80" s="8" t="str">
        <x:v>规划与协调;执行与状态管理;验证、恢复与重新规划</x:v>
      </x:c>
      <x:c r="L80" s="8" t="str">
        <x:v>2.3.4 执行与状态管理;6.4 开放框架与执行环境</x:v>
      </x:c>
      <x:c r="M80" s="8" t="str"/>
      <x:c r="N80" s="8" t="str">
        <x:v>Benchmark</x:v>
      </x:c>
      <x:c r="O80" s="11" t="str">
        <x:v>https://arxiv.org/abs/2601.11868</x:v>
      </x:c>
      <x:c r="P80" s="8" t="str">
        <x:v>以高难度真实命令行任务和可检查结果评估终端代理的端到端能力。</x:v>
      </x:c>
      <x:c r="Q80" s="8" t="str">
        <x:v>以CLI任务展示执行接口、环境状态与结果核验的组合。</x:v>
      </x:c>
      <x:c r="R80" s="8" t="str">
        <x:v>CLI任务不能代表GUI或全部职业工作；应绑定Terminal-Bench具体版本。</x:v>
      </x:c>
      <x:c r="S80" s="8" t="str">
        <x:v>补充</x:v>
      </x:c>
      <x:c r="T80" s="12" t="str">
        <x:v>未分配</x:v>
      </x:c>
      <x:c r="U80" s="12" t="str"/>
      <x:c r="V80" s="12" t="str"/>
      <x:c r="W80" s="12" t="str"/>
      <x:c r="X80" s="8" t="str">
        <x:v>verified</x:v>
      </x:c>
      <x:c r="Y80" s="11" t="str">
        <x:v>https://github.com/harbor-framework/terminal-bench</x:v>
      </x:c>
      <x:c r="Z80" s="11" t="str"/>
      <x:c r="AA80" s="11" t="str">
        <x:v>https://arxiv.org/pdf/2601.11868</x:v>
      </x:c>
      <x:c r="AB80" s="11" t="str">
        <x:v>https://arxiv.org/abs/2601.11868</x:v>
      </x:c>
      <x:c r="AC80" s="8" t="str">
        <x:v>L115</x:v>
      </x:c>
      <x:c r="AD80" s="8" t="str">
        <x:v>这些条目已出现在第二章或原第四章，但本轮没有重新核查原文。题名、年份与链接沿用现有文献库；不能把它们计作本轮新核实的证据。</x:v>
      </x:c>
      <x:c r="AE80" s="8" t="str">
        <x:v>原第四章</x:v>
      </x:c>
      <x:c r="AF80" s="8" t="str">
        <x:v>用于“领域覆盖与工作要求”：以高难度真实命令行任务和可检查结果评估终端代理的端到端能力。</x:v>
      </x:c>
      <x:c r="AG80" s="8" t="str">
        <x:v>computer-use</x:v>
      </x:c>
      <x:c r="AH80" s="8" t="str">
        <x:v>terminal task execution</x:v>
      </x:c>
      <x:c r="AI80" s="8" t="str">
        <x:v>79</x:v>
      </x:c>
      <x:c r="AJ80" s="8" t="str">
        <x:v>survey bibliography;2026-10-16 chapter 2 / former chapter 4 supplement</x:v>
      </x:c>
      <x:c r="AK80" s="13" t="d">
        <x:v>2026-10-16T00:00:00.000Z</x:v>
      </x:c>
      <x:c r="AL80" s="8" t="str">
        <x:v>仅列首页主要牵头/参与单位；论文包含大规模跨机构作者，完整名单见原文首页。 来源为附件附录A既有引用索引；未把附件的未复核条目升级为本轮已读证据。原稿位置：原第四章；引用键：terminalbench。</x:v>
      </x:c>
      <x:c r="AM80" s="8" t="str">
        <x:v>4.4;6.1;6.4</x:v>
      </x:c>
    </x:row>
    <x:row r="81" ht="68" customHeight="1">
      <x:c r="A81" s="8" t="str">
        <x:v>WA-0080</x:v>
      </x:c>
      <x:c r="B81" s="8" t="str">
        <x:v>CodeAct</x:v>
      </x:c>
      <x:c r="C81" s="8" t="str">
        <x:v>Executable Code Actions Elicit Better LLM Agents</x:v>
      </x:c>
      <x:c r="D81" s="9" t="n">
        <x:v>2024</x:v>
      </x:c>
      <x:c r="E81" s="8" t="str">
        <x:v>University of Illinois Urbana-Champaign; Apple</x:v>
      </x:c>
      <x:c r="F81" s="10" t="str">
        <x:f>VLOOKUP(H81,'Taxonomy'!$A$6:$G$70,3,FALSE)</x:f>
        <x:v>基础：定义、工作条件与核心能力</x:v>
      </x:c>
      <x:c r="G81" s="10" t="str">
        <x:f>VLOOKUP(H81,'Taxonomy'!$A$6:$G$70,5,FALSE)</x:f>
        <x:v>五项核心能力</x:v>
      </x:c>
      <x:c r="H81" s="8" t="str">
        <x:v>2.3.4</x:v>
      </x:c>
      <x:c r="I81" s="10" t="str">
        <x:f>VLOOKUP(H81,'Taxonomy'!$A$6:$G$70,6,FALSE)</x:f>
        <x:v>执行与状态管理</x:v>
      </x:c>
      <x:c r="J81" s="8" t="str">
        <x:v>工具、界面与应用执行;接口与观测优化;证据与规则约束下的决策</x:v>
      </x:c>
      <x:c r="K81" s="8" t="str">
        <x:v>推理与决策;规划与协调;执行与状态管理;验证、恢复与重新规划</x:v>
      </x:c>
      <x:c r="L81" s="8" t="str">
        <x:v>2.3.2 推理与决策</x:v>
      </x:c>
      <x:c r="M81" s="8" t="str"/>
      <x:c r="N81" s="8" t="str">
        <x:v>Method</x:v>
      </x:c>
      <x:c r="O81" s="11" t="str">
        <x:v>https://arxiv.org/abs/2402.01030</x:v>
      </x:c>
      <x:c r="P81" s="8" t="str">
        <x:v>以可执行Python统一动作表示，支持工具组合与根据新观察修订动作。</x:v>
      </x:c>
      <x:c r="Q81" s="8" t="str">
        <x:v>说明从判断到实际工作需可执行接口及反馈，而非把代码文本等同完成。</x:v>
      </x:c>
      <x:c r="R81" s="8" t="str">
        <x:v>代码只是动作接口之一，不能把所有工作定义为编程。</x:v>
      </x:c>
      <x:c r="S81" s="8" t="str">
        <x:v>补充</x:v>
      </x:c>
      <x:c r="T81" s="12" t="str">
        <x:v>未分配</x:v>
      </x:c>
      <x:c r="U81" s="12" t="str"/>
      <x:c r="V81" s="12" t="str"/>
      <x:c r="W81" s="12" t="str"/>
      <x:c r="X81" s="8" t="str">
        <x:v>verified</x:v>
      </x:c>
      <x:c r="Y81" s="11" t="str">
        <x:v>https://github.com/xingyaoww/code-act</x:v>
      </x:c>
      <x:c r="Z81" s="11" t="str"/>
      <x:c r="AA81" s="11" t="str">
        <x:v>https://arxiv.org/html/2402.01030v4</x:v>
      </x:c>
      <x:c r="AB81" s="11" t="str">
        <x:v>https://arxiv.org/abs/2402.01030</x:v>
      </x:c>
      <x:c r="AC81" s="8" t="str">
        <x:v>L090;AIO-247</x:v>
      </x:c>
      <x:c r="AD81" s="8" t="str">
        <x:v>第2／原第4章已引；官方摘要。</x:v>
      </x:c>
      <x:c r="AE81" s="8" t="str">
        <x:v>2.3 执行与状态管理。</x:v>
      </x:c>
      <x:c r="AF81" s="8" t="str">
        <x:v>按补充清单 L090 的论证用途归入“执行与状态管理”：说明从判断到实际工作需可执行接口及反馈，而非把代码文本等同完成。</x:v>
      </x:c>
      <x:c r="AG81" s="8" t="str">
        <x:v>tool-enterprise</x:v>
      </x:c>
      <x:c r="AH81" s="8" t="str">
        <x:v>Executable code action interface</x:v>
      </x:c>
      <x:c r="AI81" s="8" t="str">
        <x:v>80</x:v>
      </x:c>
      <x:c r="AJ81" s="8" t="str">
        <x:v>survey bibliography;2026-10-16 chapter 2 / former chapter 4 supplement;2026-10-16 AI Office survey bibliography</x:v>
      </x:c>
      <x:c r="AK81" s="13" t="d">
        <x:v>2026-10-16T00:00:00.000Z</x:v>
      </x:c>
      <x:c r="AL81" s="8" t="str"/>
      <x:c r="AM81" s="8" t="str">
        <x:v>4.2;4.4</x:v>
      </x:c>
    </x:row>
    <x:row r="82" ht="68" customHeight="1">
      <x:c r="A82" s="8" t="str">
        <x:v>WA-0081</x:v>
      </x:c>
      <x:c r="B82" s="8" t="str">
        <x:v>ReAct</x:v>
      </x:c>
      <x:c r="C82" s="8" t="str">
        <x:v>ReAct: Synergizing Reasoning and Acting in Language Models</x:v>
      </x:c>
      <x:c r="D82" s="9" t="n">
        <x:v>2022</x:v>
      </x:c>
      <x:c r="E82" s="8" t="str">
        <x:v>Princeton University; Google Research, Brain Team</x:v>
      </x:c>
      <x:c r="F82" s="10" t="str">
        <x:f>VLOOKUP(H82,'Taxonomy'!$A$6:$G$70,3,FALSE)</x:f>
        <x:v>基础：定义、工作条件与核心能力</x:v>
      </x:c>
      <x:c r="G82" s="10" t="str">
        <x:f>VLOOKUP(H82,'Taxonomy'!$A$6:$G$70,5,FALSE)</x:f>
        <x:v>定义与系统视角</x:v>
      </x:c>
      <x:c r="H82" s="8" t="str">
        <x:v>2.1.3</x:v>
      </x:c>
      <x:c r="I82" s="10" t="str">
        <x:f>VLOOKUP(H82,'Taxonomy'!$A$6:$G$70,6,FALSE)</x:f>
        <x:v>工作过程形式化</x:v>
      </x:c>
      <x:c r="J82" s="8" t="str">
        <x:v>定义、系统职责与工作循环;证据与规则约束下的决策;工具、界面与应用执行</x:v>
      </x:c>
      <x:c r="K82" s="8" t="str">
        <x:v>推理与决策;规划与协调;执行与状态管理;验证、恢复与重新规划</x:v>
      </x:c>
      <x:c r="L82" s="8" t="str">
        <x:v>2.3.2 推理与决策;2.3.4 执行与状态管理</x:v>
      </x:c>
      <x:c r="M82" s="8" t="str"/>
      <x:c r="N82" s="8" t="str">
        <x:v>Method</x:v>
      </x:c>
      <x:c r="O82" s="11" t="str">
        <x:v>https://arxiv.org/abs/2210.03629</x:v>
      </x:c>
      <x:c r="P82" s="8" t="str">
        <x:v>将推理轨迹与环境动作交替生成，用新观测更新计划并缓解错误传播。</x:v>
      </x:c>
      <x:c r="Q82" s="8" t="str">
        <x:v>是模型提出行动、环境返回观察这一循环的基础证据。</x:v>
      </x:c>
      <x:c r="R82" s="8" t="str">
        <x:v>通用交互机制不能直接推出特定职业任务已被可靠完成。</x:v>
      </x:c>
      <x:c r="S82" s="8" t="str">
        <x:v>核心</x:v>
      </x:c>
      <x:c r="T82" s="12" t="str">
        <x:v>未分配</x:v>
      </x:c>
      <x:c r="U82" s="12" t="str"/>
      <x:c r="V82" s="12" t="str"/>
      <x:c r="W82" s="12" t="str"/>
      <x:c r="X82" s="8" t="str">
        <x:v>verified</x:v>
      </x:c>
      <x:c r="Y82" s="11" t="str">
        <x:v>https://github.com/ysymyth/ReAct</x:v>
      </x:c>
      <x:c r="Z82" s="11" t="str"/>
      <x:c r="AA82" s="11" t="str">
        <x:v>https://arxiv.org/html/2210.03629v3</x:v>
      </x:c>
      <x:c r="AB82" s="11" t="str">
        <x:v>https://arxiv.org/abs/2210.03629</x:v>
      </x:c>
      <x:c r="AC82" s="8" t="str">
        <x:v>L066;AIO-268</x:v>
      </x:c>
      <x:c r="AD82" s="8" t="str">
        <x:v>第2／原第4章已引；官方摘要。</x:v>
      </x:c>
      <x:c r="AE82" s="8" t="str">
        <x:v>2.1工作轨迹；2.3推理与执行；2.1工作循环；2.3推理与执行；2.3 Decision and Action Selection基础。</x:v>
      </x:c>
      <x:c r="AF82" s="8" t="str">
        <x:v>按补充清单 L066 的论证用途归入“工作过程形式化”：是模型提出行动、环境返回观察这一循环的基础证据。</x:v>
      </x:c>
      <x:c r="AG82" s="8" t="str">
        <x:v>tool-enterprise</x:v>
      </x:c>
      <x:c r="AH82" s="8" t="str">
        <x:v>Interleaved reasoning and acting</x:v>
      </x:c>
      <x:c r="AI82" s="8" t="str">
        <x:v>81</x:v>
      </x:c>
      <x:c r="AJ82" s="8" t="str">
        <x:v>survey bibliography;2026-10-16 chapter 2 / former chapter 4 supplement;2026-10-16 AI Office survey bibliography</x:v>
      </x:c>
      <x:c r="AK82" s="13" t="d">
        <x:v>2026-10-16T00:00:00.000Z</x:v>
      </x:c>
      <x:c r="AL82" s="8" t="str"/>
      <x:c r="AM82" s="8" t="str">
        <x:v>4.2</x:v>
      </x:c>
    </x:row>
    <x:row r="83" ht="68" customHeight="1">
      <x:c r="A83" s="8" t="str">
        <x:v>WA-0082</x:v>
      </x:c>
      <x:c r="B83" s="8" t="str">
        <x:v>AWM</x:v>
      </x:c>
      <x:c r="C83" s="8" t="str">
        <x:v>Agent Workflow Memory</x:v>
      </x:c>
      <x:c r="D83" s="9" t="n">
        <x:v>2024</x:v>
      </x:c>
      <x:c r="E83" s="8" t="str">
        <x:v>Carnegie Mellon University; Massachusetts Institute of Technology</x:v>
      </x:c>
      <x:c r="F83" s="10" t="str">
        <x:f>VLOOKUP(H83,'Taxonomy'!$A$6:$G$70,3,FALSE)</x:f>
        <x:v>优化：从工作经验到系统能力</x:v>
      </x:c>
      <x:c r="G83" s="10" t="str">
        <x:f>VLOOKUP(H83,'Taxonomy'!$A$6:$G$70,5,FALSE)</x:f>
        <x:v>运行框架优化</x:v>
      </x:c>
      <x:c r="H83" s="8" t="str">
        <x:v>5.3.3</x:v>
      </x:c>
      <x:c r="I83" s="10" t="str">
        <x:f>VLOOKUP(H83,'Taxonomy'!$A$6:$G$70,6,FALSE)</x:f>
        <x:v>记忆与技能优化</x:v>
      </x:c>
      <x:c r="J83" s="8" t="str">
        <x:v>任务分解与行动依赖;上下文与记忆管理;经验记忆与技能优化</x:v>
      </x:c>
      <x:c r="K83" s="8" t="str">
        <x:v>规划与协调;执行与状态管理</x:v>
      </x:c>
      <x:c r="L83" s="8" t="str">
        <x:v>2.3.3 规划与协调;7.2.3 持续个性化与自我演化</x:v>
      </x:c>
      <x:c r="M83" s="8" t="str">
        <x:v>记忆与技能优化</x:v>
      </x:c>
      <x:c r="N83" s="8" t="str">
        <x:v>Method</x:v>
      </x:c>
      <x:c r="O83" s="11" t="str">
        <x:v>https://arxiv.org/abs/2409.07429</x:v>
      </x:c>
      <x:c r="P83" s="8" t="str">
        <x:v>从历史网页任务轨迹归纳可复用工作流，并按需检索指导后续行动。</x:v>
      </x:c>
      <x:c r="Q83" s="8" t="str">
        <x:v>说明经验可被外部结构保存和复用，能力不只来自模型参数。</x:v>
      </x:c>
      <x:c r="R83" s="8" t="str">
        <x:v>该文workflow指复用的行动程序，不能直接等同于本文Workflow-Level Work这一委托范围分类。</x:v>
      </x:c>
      <x:c r="S83" s="8" t="str">
        <x:v>核心</x:v>
      </x:c>
      <x:c r="T83" s="12" t="str">
        <x:v>未分配</x:v>
      </x:c>
      <x:c r="U83" s="12" t="str"/>
      <x:c r="V83" s="12" t="str"/>
      <x:c r="W83" s="12" t="str"/>
      <x:c r="X83" s="8" t="str">
        <x:v>verified</x:v>
      </x:c>
      <x:c r="Y83" s="11" t="str">
        <x:v>https://github.com/zorazrw/agent-workflow-memory</x:v>
      </x:c>
      <x:c r="Z83" s="11" t="str"/>
      <x:c r="AA83" s="11" t="str">
        <x:v>https://arxiv.org/html/2409.07429v1</x:v>
      </x:c>
      <x:c r="AB83" s="11" t="str">
        <x:v>https://arxiv.org/abs/2409.07429</x:v>
      </x:c>
      <x:c r="AC83" s="8" t="str">
        <x:v>L044</x:v>
      </x:c>
      <x:c r="AD83" s="8" t="str">
        <x:v>第2／原第4章已引；官方摘要。</x:v>
      </x:c>
      <x:c r="AE83" s="8" t="str">
        <x:v>2.3规划与状态；5运行时支撑优化。</x:v>
      </x:c>
      <x:c r="AF83" s="8" t="str">
        <x:v>按补充清单 L044 的论证用途归入“记忆与技能优化”：说明经验可被外部结构保存和复用，能力不只来自模型参数。</x:v>
      </x:c>
      <x:c r="AG83" s="8" t="str">
        <x:v>harness</x:v>
      </x:c>
      <x:c r="AH83" s="8" t="str">
        <x:v>Workflow induction and procedural memory</x:v>
      </x:c>
      <x:c r="AI83" s="8" t="str">
        <x:v>82</x:v>
      </x:c>
      <x:c r="AJ83" s="8" t="str">
        <x:v>survey bibliography;2026-10-16 chapter 2 / former chapter 4 supplement</x:v>
      </x:c>
      <x:c r="AK83" s="13" t="d">
        <x:v>2026-10-16T00:00:00.000Z</x:v>
      </x:c>
      <x:c r="AL83" s="8" t="str"/>
      <x:c r="AM83" s="8" t="str">
        <x:v>4.3;7.2.3</x:v>
      </x:c>
    </x:row>
    <x:row r="84" ht="82" customHeight="1">
      <x:c r="A84" s="8" t="str">
        <x:v>WA-0083</x:v>
      </x:c>
      <x:c r="B84" s="8" t="str">
        <x:v>OpenHands</x:v>
      </x:c>
      <x:c r="C84" s="8" t="str">
        <x:v>OpenHands: An Open Platform for AI Software Developers as Generalist Agents</x:v>
      </x:c>
      <x:c r="D84" s="9" t="n">
        <x:v>2024</x:v>
      </x:c>
      <x:c r="E84" s="8" t="str">
        <x:v>University of Illinois Urbana-Champaign; Carnegie Mellon University; Yale University; UC Berkeley; Contextual AI; KAUST; Australian National University; Ho Chi Minh City University of Technology; Alibaba; All Hands AI</x:v>
      </x:c>
      <x:c r="F84" s="10" t="str">
        <x:f>VLOOKUP(H84,'Taxonomy'!$A$6:$G$70,3,FALSE)</x:f>
        <x:v>评估与资源：如何检验工作完成</x:v>
      </x:c>
      <x:c r="G84" s="10" t="str">
        <x:f>VLOOKUP(H84,'Taxonomy'!$A$6:$G$70,5,FALSE)</x:f>
        <x:v>开放框架与执行环境</x:v>
      </x:c>
      <x:c r="H84" s="8" t="str">
        <x:v>6.4</x:v>
      </x:c>
      <x:c r="I84" s="10" t="str">
        <x:f>VLOOKUP(H84,'Taxonomy'!$A$6:$G$70,6,FALSE)</x:f>
        <x:v>开放框架与执行环境</x:v>
      </x:c>
      <x:c r="J84" s="8" t="str">
        <x:v>执行平台、隔离与规模化;定义、系统职责与工作循环;工具、界面与应用执行</x:v>
      </x:c>
      <x:c r="K84" s="8" t="str">
        <x:v>规划与协调;执行与状态管理;验证、恢复与重新规划</x:v>
      </x:c>
      <x:c r="L84" s="8" t="str">
        <x:v>2.3.4 执行与状态管理</x:v>
      </x:c>
      <x:c r="M84" s="8" t="str"/>
      <x:c r="N84" s="8" t="str">
        <x:v>Framework</x:v>
      </x:c>
      <x:c r="O84" s="11" t="str">
        <x:v>https://arxiv.org/abs/2407.16741</x:v>
      </x:c>
      <x:c r="P84" s="8" t="str">
        <x:v>提供代码、终端与浏览器动作，以及沙箱、多智能体协作和统一评测接入。</x:v>
      </x:c>
      <x:c r="Q84" s="8" t="str">
        <x:v>作为可执行运行环境和代理接口框架案例，连接能力与系统实现。</x:v>
      </x:c>
      <x:c r="R84" s="8" t="str">
        <x:v>框架资源与特定模型组合的成绩应分开；平台本身不证明通用能力。</x:v>
      </x:c>
      <x:c r="S84" s="8" t="str">
        <x:v>补充</x:v>
      </x:c>
      <x:c r="T84" s="12" t="str">
        <x:v>未分配</x:v>
      </x:c>
      <x:c r="U84" s="12" t="str"/>
      <x:c r="V84" s="12" t="str"/>
      <x:c r="W84" s="12" t="str"/>
      <x:c r="X84" s="8" t="str">
        <x:v>verified</x:v>
      </x:c>
      <x:c r="Y84" s="11" t="str">
        <x:v>https://github.com/OpenHands/OpenHands</x:v>
      </x:c>
      <x:c r="Z84" s="11" t="str"/>
      <x:c r="AA84" s="11" t="str">
        <x:v>https://arxiv.org/html/2407.16741v3</x:v>
      </x:c>
      <x:c r="AB84" s="11" t="str">
        <x:v>https://arxiv.org/abs/2407.16741</x:v>
      </x:c>
      <x:c r="AC84" s="8" t="str">
        <x:v>L129</x:v>
      </x:c>
      <x:c r="AD84" s="8" t="str">
        <x:v>这些条目已出现在第二章或原第四章，但本轮没有重新核查原文。题名、年份与链接沿用现有文献库；不能把它们计作本轮新核实的证据。</x:v>
      </x:c>
      <x:c r="AE84" s="8" t="str">
        <x:v>原第四章</x:v>
      </x:c>
      <x:c r="AF84" s="8" t="str">
        <x:v>用于“开放框架与执行环境”：提供代码、终端与浏览器动作，以及沙箱、多智能体协作和统一评测接入。</x:v>
      </x:c>
      <x:c r="AG84" s="8" t="str">
        <x:v>harness</x:v>
      </x:c>
      <x:c r="AH84" s="8" t="str">
        <x:v>Sandboxed generalist developer platform</x:v>
      </x:c>
      <x:c r="AI84" s="8" t="str">
        <x:v>83</x:v>
      </x:c>
      <x:c r="AJ84" s="8" t="str">
        <x:v>survey bibliography;2026-10-16 chapter 2 / former chapter 4 supplement</x:v>
      </x:c>
      <x:c r="AK84" s="13" t="d">
        <x:v>2026-10-16T00:00:00.000Z</x:v>
      </x:c>
      <x:c r="AL84" s="8" t="str">
        <x:v>机构按论文署名列表记录，不按当前项目维护者反推。 来源为附件附录A既有引用索引；未把附件的未复核条目升级为本轮已读证据。原稿位置：原第四章；引用键：openhands。</x:v>
      </x:c>
      <x:c r="AM84" s="8" t="str">
        <x:v>4.4;6.4</x:v>
      </x:c>
    </x:row>
    <x:row r="85" ht="68" customHeight="1">
      <x:c r="A85" s="8" t="str">
        <x:v>WA-0084</x:v>
      </x:c>
      <x:c r="B85" s="8" t="str">
        <x:v>UFO2</x:v>
      </x:c>
      <x:c r="C85" s="8" t="str">
        <x:v>UFO2: The Desktop AgentOS</x:v>
      </x:c>
      <x:c r="D85" s="9" t="n">
        <x:v>2025</x:v>
      </x:c>
      <x:c r="E85" s="8" t="str">
        <x:v>Microsoft; ZJU-UIUC Institute; Nanjing University; Peking University</x:v>
      </x:c>
      <x:c r="F85" s="10" t="str">
        <x:f>VLOOKUP(H85,'Taxonomy'!$A$6:$G$70,3,FALSE)</x:f>
        <x:v>基础：定义、工作条件与核心能力</x:v>
      </x:c>
      <x:c r="G85" s="10" t="str">
        <x:f>VLOOKUP(H85,'Taxonomy'!$A$6:$G$70,5,FALSE)</x:f>
        <x:v>五项核心能力</x:v>
      </x:c>
      <x:c r="H85" s="8" t="str">
        <x:v>2.3.4</x:v>
      </x:c>
      <x:c r="I85" s="10" t="str">
        <x:f>VLOOKUP(H85,'Taxonomy'!$A$6:$G$70,6,FALSE)</x:f>
        <x:v>执行与状态管理</x:v>
      </x:c>
      <x:c r="J85" s="8" t="str">
        <x:v>分布信息、澄清与协调;工具、界面与应用执行;定义、系统职责与工作循环</x:v>
      </x:c>
      <x:c r="K85" s="8" t="str">
        <x:v>感知与理解;规划与协调;执行与状态管理</x:v>
      </x:c>
      <x:c r="L85" s="8" t="str"/>
      <x:c r="M85" s="8" t="str"/>
      <x:c r="N85" s="8" t="str">
        <x:v>Method;Framework</x:v>
      </x:c>
      <x:c r="O85" s="11" t="str">
        <x:v>https://arxiv.org/abs/2504.14603</x:v>
      </x:c>
      <x:c r="P85" s="8" t="str">
        <x:v>以 HostAgent/AppAgent 分工和统一 GUI–API 动作层组织 Windows 跨应用自动化。</x:v>
      </x:c>
      <x:c r="Q85" s="8" t="str">
        <x:v>以桌面AgentOS说明规划与应用执行如何被运行时组织。</x:v>
      </x:c>
      <x:c r="R85" s="8" t="str">
        <x:v>应用覆盖和自动化成功率受Windows接口与具体工作负载限制。</x:v>
      </x:c>
      <x:c r="S85" s="8" t="str">
        <x:v>补充</x:v>
      </x:c>
      <x:c r="T85" s="12" t="str">
        <x:v>未分配</x:v>
      </x:c>
      <x:c r="U85" s="12" t="str"/>
      <x:c r="V85" s="12" t="str"/>
      <x:c r="W85" s="12" t="str"/>
      <x:c r="X85" s="8" t="str">
        <x:v>verified</x:v>
      </x:c>
      <x:c r="Y85" s="11" t="str">
        <x:v>https://github.com/microsoft/UFO/</x:v>
      </x:c>
      <x:c r="Z85" s="11" t="str"/>
      <x:c r="AA85" s="11" t="str">
        <x:v>https://arxiv.org/html/2504.14603v2</x:v>
      </x:c>
      <x:c r="AB85" s="11" t="str">
        <x:v>https://arxiv.org/abs/2504.14603</x:v>
      </x:c>
      <x:c r="AC85" s="8" t="str">
        <x:v>L121;AIO-279</x:v>
      </x:c>
      <x:c r="AD85" s="8" t="str">
        <x:v>这些条目已出现在第二章或原第四章，但本轮没有重新核查原文。题名、年份与链接沿用现有文献库；不能把它们计作本轮新核实的证据。</x:v>
      </x:c>
      <x:c r="AE85" s="8" t="str">
        <x:v>原第四章</x:v>
      </x:c>
      <x:c r="AF85" s="8" t="str">
        <x:v>用于“执行与状态管理”：以 HostAgent/AppAgent 分工和统一 GUI–API 动作层组织 Windows 跨应用自动化。</x:v>
      </x:c>
      <x:c r="AG85" s="8" t="str">
        <x:v>computer-use</x:v>
      </x:c>
      <x:c r="AH85" s="8" t="str">
        <x:v>OS-integrated multi-application desktop agent</x:v>
      </x:c>
      <x:c r="AI85" s="8" t="str">
        <x:v>84</x:v>
      </x:c>
      <x:c r="AJ85" s="8" t="str">
        <x:v>survey bibliography;2026-10-16 chapter 2 / former chapter 4 supplement;2026-10-16 AI Office survey bibliography</x:v>
      </x:c>
      <x:c r="AK85" s="13" t="d">
        <x:v>2026-10-16T00:00:00.000Z</x:v>
      </x:c>
      <x:c r="AL85" s="8" t="str">
        <x:v>来源为附件附录A既有引用索引；未把附件的未复核条目升级为本轮已读证据。原稿位置：原第四章；引用键：ufo2。</x:v>
      </x:c>
      <x:c r="AM85" s="8" t="str">
        <x:v>4.4</x:v>
      </x:c>
    </x:row>
    <x:row r="86" ht="68" customHeight="1">
      <x:c r="A86" s="8" t="str">
        <x:v>WA-0085</x:v>
      </x:c>
      <x:c r="B86" s="8" t="str">
        <x:v>MemGPT</x:v>
      </x:c>
      <x:c r="C86" s="8" t="str">
        <x:v>MemGPT: Towards LLMs as Operating Systems</x:v>
      </x:c>
      <x:c r="D86" s="9" t="n">
        <x:v>2023</x:v>
      </x:c>
      <x:c r="E86" s="8" t="str">
        <x:v>University of California, Berkeley</x:v>
      </x:c>
      <x:c r="F86" s="10" t="str">
        <x:f>VLOOKUP(H86,'Taxonomy'!$A$6:$G$70,3,FALSE)</x:f>
        <x:v>基础：定义、工作条件与核心能力</x:v>
      </x:c>
      <x:c r="G86" s="10" t="str">
        <x:f>VLOOKUP(H86,'Taxonomy'!$A$6:$G$70,5,FALSE)</x:f>
        <x:v>五项核心能力</x:v>
      </x:c>
      <x:c r="H86" s="8" t="str">
        <x:v>2.3.4</x:v>
      </x:c>
      <x:c r="I86" s="10" t="str">
        <x:f>VLOOKUP(H86,'Taxonomy'!$A$6:$G$70,6,FALSE)</x:f>
        <x:v>执行与状态管理</x:v>
      </x:c>
      <x:c r="J86" s="8" t="str">
        <x:v>上下文与记忆管理;定义、系统职责与工作循环</x:v>
      </x:c>
      <x:c r="K86" s="8" t="str">
        <x:v>执行与状态管理</x:v>
      </x:c>
      <x:c r="L86" s="8" t="str">
        <x:v>7.2.1 持久用户记忆与工作状态</x:v>
      </x:c>
      <x:c r="M86" s="8" t="str"/>
      <x:c r="N86" s="8" t="str">
        <x:v>Method;Framework</x:v>
      </x:c>
      <x:c r="O86" s="11" t="str">
        <x:v>https://arxiv.org/abs/2310.08560</x:v>
      </x:c>
      <x:c r="P86" s="8" t="str">
        <x:v>借鉴操作系统分层存储与中断机制，让有限上下文模型管理外部长期记忆。</x:v>
      </x:c>
      <x:c r="Q86" s="8" t="str">
        <x:v>通过分层存储和上下文交换解释长交互中的记忆管理。</x:v>
      </x:c>
      <x:c r="R86" s="8" t="str">
        <x:v>对话上下文管理不等同于外部业务状态的一致性保证。</x:v>
      </x:c>
      <x:c r="S86" s="8" t="str">
        <x:v>补充</x:v>
      </x:c>
      <x:c r="T86" s="12" t="str">
        <x:v>未分配</x:v>
      </x:c>
      <x:c r="U86" s="12" t="str"/>
      <x:c r="V86" s="12" t="str"/>
      <x:c r="W86" s="12" t="str"/>
      <x:c r="X86" s="8" t="str">
        <x:v>verified</x:v>
      </x:c>
      <x:c r="Y86" s="11" t="str">
        <x:v>https://github.com/letta-ai/letta</x:v>
      </x:c>
      <x:c r="Z86" s="11" t="str"/>
      <x:c r="AA86" s="11" t="str">
        <x:v>https://arxiv.org/html/2310.08560v2</x:v>
      </x:c>
      <x:c r="AB86" s="11" t="str">
        <x:v>https://arxiv.org/abs/2310.08560</x:v>
      </x:c>
      <x:c r="AC86" s="8" t="str">
        <x:v>L139</x:v>
      </x:c>
      <x:c r="AD86" s="8" t="str">
        <x:v>这些条目已出现在第二章或原第四章，但本轮没有重新核查原文。题名、年份与链接沿用现有文献库；不能把它们计作本轮新核实的证据。</x:v>
      </x:c>
      <x:c r="AE86" s="8" t="str">
        <x:v>原第四章</x:v>
      </x:c>
      <x:c r="AF86" s="8" t="str">
        <x:v>用于“执行与状态管理”：借鉴操作系统分层存储与中断机制，让有限上下文模型管理外部长期记忆。 会话/历史记忆作为工作状态管理的参照，不能单独证明外部状态或持续责任。</x:v>
      </x:c>
      <x:c r="AG86" s="8" t="str">
        <x:v>persistent</x:v>
      </x:c>
      <x:c r="AH86" s="8" t="str">
        <x:v>Hierarchical virtual context management</x:v>
      </x:c>
      <x:c r="AI86" s="8" t="str">
        <x:v>85</x:v>
      </x:c>
      <x:c r="AJ86" s="8" t="str">
        <x:v>survey bibliography;2026-10-16 chapter 2 / former chapter 4 supplement</x:v>
      </x:c>
      <x:c r="AK86" s="13" t="d">
        <x:v>2026-10-16T00:00:00.000Z</x:v>
      </x:c>
      <x:c r="AL86" s="8" t="str">
        <x:v>以长文档和多会话对话为主要验证场景；并非工作承诺持久化基准。 来源为附件附录A既有引用索引；未把附件的未复核条目升级为本轮已读证据。原稿位置：原第四章；引用键：memgpt。</x:v>
      </x:c>
      <x:c r="AM86" s="8" t="str">
        <x:v>4.4;7.2.1</x:v>
      </x:c>
    </x:row>
    <x:row r="87" ht="68" customHeight="1">
      <x:c r="A87" s="8" t="str">
        <x:v>WA-0086</x:v>
      </x:c>
      <x:c r="B87" s="8" t="str">
        <x:v>Mem0</x:v>
      </x:c>
      <x:c r="C87" s="8" t="str">
        <x:v>Mem0: Building Production-Ready AI Agents with Scalable Long-Term Memory</x:v>
      </x:c>
      <x:c r="D87" s="9" t="n">
        <x:v>2025</x:v>
      </x:c>
      <x:c r="E87" s="8" t="str">
        <x:v>Mem0.ai</x:v>
      </x:c>
      <x:c r="F87" s="10" t="str">
        <x:f>VLOOKUP(H87,'Taxonomy'!$A$6:$G$70,3,FALSE)</x:f>
        <x:v>基础：定义、工作条件与核心能力</x:v>
      </x:c>
      <x:c r="G87" s="10" t="str">
        <x:f>VLOOKUP(H87,'Taxonomy'!$A$6:$G$70,5,FALSE)</x:f>
        <x:v>五项核心能力</x:v>
      </x:c>
      <x:c r="H87" s="8" t="str">
        <x:v>2.3.4</x:v>
      </x:c>
      <x:c r="I87" s="10" t="str">
        <x:f>VLOOKUP(H87,'Taxonomy'!$A$6:$G$70,6,FALSE)</x:f>
        <x:v>执行与状态管理</x:v>
      </x:c>
      <x:c r="J87" s="8" t="str">
        <x:v>上下文与记忆管理;对象关系、来源与依赖</x:v>
      </x:c>
      <x:c r="K87" s="8" t="str">
        <x:v>执行与状态管理</x:v>
      </x:c>
      <x:c r="L87" s="8" t="str">
        <x:v>7.2.1 持久用户记忆与工作状态</x:v>
      </x:c>
      <x:c r="M87" s="8" t="str"/>
      <x:c r="N87" s="8" t="str">
        <x:v>Method;Framework</x:v>
      </x:c>
      <x:c r="O87" s="11" t="str">
        <x:v>https://arxiv.org/abs/2504.19413</x:v>
      </x:c>
      <x:c r="P87" s="8" t="str">
        <x:v>动态抽取、合并和检索会话事实，并以图记忆表示事实间关系。</x:v>
      </x:c>
      <x:c r="Q87" s="8" t="str">
        <x:v>展示跨会话记忆的提取、更新与检索，辅助界定记忆和工作状态。</x:v>
      </x:c>
      <x:c r="R87" s="8" t="str">
        <x:v>用户事实记忆不等同于外部文件、业务数据或承诺的版本一致性。</x:v>
      </x:c>
      <x:c r="S87" s="8" t="str">
        <x:v>补充</x:v>
      </x:c>
      <x:c r="T87" s="12" t="str">
        <x:v>未分配</x:v>
      </x:c>
      <x:c r="U87" s="12" t="str"/>
      <x:c r="V87" s="12" t="str"/>
      <x:c r="W87" s="12" t="str"/>
      <x:c r="X87" s="8" t="str">
        <x:v>verified</x:v>
      </x:c>
      <x:c r="Y87" s="11" t="str">
        <x:v>https://github.com/mem0ai/mem0</x:v>
      </x:c>
      <x:c r="Z87" s="11" t="str"/>
      <x:c r="AA87" s="11" t="str">
        <x:v>https://journals.sagepub.com/doi/epdf/10.3233/FAIA251160</x:v>
      </x:c>
      <x:c r="AB87" s="11" t="str">
        <x:v>https://arxiv.org/abs/2504.19413</x:v>
      </x:c>
      <x:c r="AC87" s="8" t="str">
        <x:v>L120</x:v>
      </x:c>
      <x:c r="AD87" s="8" t="str">
        <x:v>这些条目已出现在第二章或原第四章，但本轮没有重新核查原文。题名、年份与链接沿用现有文献库；不能把它们计作本轮新核实的证据。</x:v>
      </x:c>
      <x:c r="AE87" s="8" t="str">
        <x:v>原第四章</x:v>
      </x:c>
      <x:c r="AF87" s="8" t="str">
        <x:v>用于“执行与状态管理”：动态抽取、合并和检索会话事实，并以图记忆表示事实间关系。 会话/历史记忆作为工作状态管理的参照，不能单独证明外部状态或持续责任。</x:v>
      </x:c>
      <x:c r="AG87" s="8" t="str">
        <x:v>persistent</x:v>
      </x:c>
      <x:c r="AH87" s="8" t="str">
        <x:v>Long-term conversational memory consolidation</x:v>
      </x:c>
      <x:c r="AI87" s="8" t="str">
        <x:v>86</x:v>
      </x:c>
      <x:c r="AJ87" s="8" t="str">
        <x:v>survey bibliography;2026-10-16 chapter 2 / former chapter 4 supplement</x:v>
      </x:c>
      <x:c r="AK87" s="13" t="d">
        <x:v>2026-10-16T00:00:00.000Z</x:v>
      </x:c>
      <x:c r="AL87" s="8" t="str">
        <x:v>机构由正式出版版首页核实；会话记忆效果不等于跨会话工作状态正确性。 来源为附件附录A既有引用索引；未把附件的未复核条目升级为本轮已读证据。原稿位置：原第四章；引用键：mem0。</x:v>
      </x:c>
      <x:c r="AM87" s="8" t="str">
        <x:v>4.4</x:v>
      </x:c>
    </x:row>
    <x:row r="88" ht="68" customHeight="1">
      <x:c r="A88" s="8" t="str">
        <x:v>WA-0087</x:v>
      </x:c>
      <x:c r="B88" s="8" t="str">
        <x:v>LongMemEval</x:v>
      </x:c>
      <x:c r="C88" s="8" t="str">
        <x:v>LongMemEval: Benchmarking Chat Assistants on Long-Term Interactive Memory</x:v>
      </x:c>
      <x:c r="D88" s="9" t="n">
        <x:v>2024</x:v>
      </x:c>
      <x:c r="E88" s="8" t="str">
        <x:v>University of California, Los Angeles; Tencent AI Lab Seattle; University of California, San Diego</x:v>
      </x:c>
      <x:c r="F88" s="10" t="str">
        <x:f>VLOOKUP(H88,'Taxonomy'!$A$6:$G$70,3,FALSE)</x:f>
        <x:v>评估与资源：如何检验工作完成</x:v>
      </x:c>
      <x:c r="G88" s="10" t="str">
        <x:f>VLOOKUP(H88,'Taxonomy'!$A$6:$G$70,5,FALSE)</x:f>
        <x:v>评估方法</x:v>
      </x:c>
      <x:c r="H88" s="8" t="str">
        <x:v>6.2.1</x:v>
      </x:c>
      <x:c r="I88" s="10" t="str">
        <x:f>VLOOKUP(H88,'Taxonomy'!$A$6:$G$70,6,FALSE)</x:f>
        <x:v>评估目标与可观察证据</x:v>
      </x:c>
      <x:c r="J88" s="8" t="str">
        <x:v>上下文与记忆管理;答案、产物、状态与过程证据</x:v>
      </x:c>
      <x:c r="K88" s="8" t="str">
        <x:v>推理与决策;执行与状态管理</x:v>
      </x:c>
      <x:c r="L88" s="8" t="str">
        <x:v>2.3.4 执行与状态管理;7.2.1 持久用户记忆与工作状态</x:v>
      </x:c>
      <x:c r="M88" s="8" t="str"/>
      <x:c r="N88" s="8" t="str">
        <x:v>Benchmark</x:v>
      </x:c>
      <x:c r="O88" s="11" t="str">
        <x:v>https://arxiv.org/abs/2410.10813</x:v>
      </x:c>
      <x:c r="P88" s="8" t="str">
        <x:v>以多会话任务评估信息抽取、跨会话推理、时间推理、知识更新与拒答能力。</x:v>
      </x:c>
      <x:c r="Q88" s="8" t="str">
        <x:v>可作为会话记忆的参照，帮助讲清长期工作还需要进度和外部对象状态，而非只记住历史谈话。</x:v>
      </x:c>
      <x:c r="R88" s="8" t="str">
        <x:v>主要评价历史信息问答，不直接测量恢复未完成工作、提交文件或维持外部状态。</x:v>
      </x:c>
      <x:c r="S88" s="8" t="str">
        <x:v>核心</x:v>
      </x:c>
      <x:c r="T88" s="12" t="str">
        <x:v>未分配</x:v>
      </x:c>
      <x:c r="U88" s="12" t="str"/>
      <x:c r="V88" s="12" t="str"/>
      <x:c r="W88" s="12" t="str"/>
      <x:c r="X88" s="8" t="str">
        <x:v>verified</x:v>
      </x:c>
      <x:c r="Y88" s="11" t="str">
        <x:v>https://github.com/xiaowu0162/LongMemEval</x:v>
      </x:c>
      <x:c r="Z88" s="11" t="str"/>
      <x:c r="AA88" s="11" t="str">
        <x:v>https://arxiv.org/html/2410.10813v2</x:v>
      </x:c>
      <x:c r="AB88" s="11" t="str">
        <x:v>https://arxiv.org/abs/2410.10813</x:v>
      </x:c>
      <x:c r="AC88" s="8" t="str">
        <x:v>L049</x:v>
      </x:c>
      <x:c r="AD88" s="8" t="str">
        <x:v>第2／原第4章已引；官方摘要。</x:v>
      </x:c>
      <x:c r="AE88" s="8" t="str">
        <x:v>2.3执行与状态的边界；6记忆评测。</x:v>
      </x:c>
      <x:c r="AF88" s="8" t="str">
        <x:v>按补充清单 L049 的论证用途归入“评估目标与可观察证据”：可作为会话记忆的参照，帮助讲清长期工作还需要进度和外部对象状态，而非只记住历史谈话。 会话/历史记忆作为工作状态管理的参照，不能单独证明外部状态或持续责任。</x:v>
      </x:c>
      <x:c r="AG88" s="8" t="str">
        <x:v>persistent</x:v>
      </x:c>
      <x:c r="AH88" s="8" t="str">
        <x:v>Long-term interactive memory evaluation</x:v>
      </x:c>
      <x:c r="AI88" s="8" t="str">
        <x:v>87</x:v>
      </x:c>
      <x:c r="AJ88" s="8" t="str">
        <x:v>survey bibliography;2026-10-16 chapter 2 / former chapter 4 supplement</x:v>
      </x:c>
      <x:c r="AK88" s="13" t="d">
        <x:v>2026-10-16T00:00:00.000Z</x:v>
      </x:c>
      <x:c r="AL88" s="8" t="str">
        <x:v>对话信息保持基准；不直接检验外部工作执行状态。</x:v>
      </x:c>
      <x:c r="AM88" s="8" t="str">
        <x:v>4.4</x:v>
      </x:c>
    </x:row>
    <x:row r="89" ht="68" customHeight="1">
      <x:c r="A89" s="8" t="str">
        <x:v>WA-0088</x:v>
      </x:c>
      <x:c r="B89" s="8" t="str">
        <x:v>LoCoMo</x:v>
      </x:c>
      <x:c r="C89" s="8" t="str">
        <x:v>Evaluating Very Long-Term Conversational Memory of LLM Agents</x:v>
      </x:c>
      <x:c r="D89" s="9" t="n">
        <x:v>2024</x:v>
      </x:c>
      <x:c r="E89" s="8" t="str">
        <x:v>University of North Carolina at Chapel Hill; University of Southern California; Snap Inc.</x:v>
      </x:c>
      <x:c r="F89" s="10" t="str">
        <x:f>VLOOKUP(H89,'Taxonomy'!$A$6:$G$70,3,FALSE)</x:f>
        <x:v>评估与资源：如何检验工作完成</x:v>
      </x:c>
      <x:c r="G89" s="10" t="str">
        <x:f>VLOOKUP(H89,'Taxonomy'!$A$6:$G$70,5,FALSE)</x:f>
        <x:v>评估方法</x:v>
      </x:c>
      <x:c r="H89" s="8" t="str">
        <x:v>6.2.1</x:v>
      </x:c>
      <x:c r="I89" s="10" t="str">
        <x:f>VLOOKUP(H89,'Taxonomy'!$A$6:$G$70,6,FALSE)</x:f>
        <x:v>评估目标与可观察证据</x:v>
      </x:c>
      <x:c r="J89" s="8" t="str">
        <x:v>上下文与记忆管理;答案、产物、状态与过程证据;证据整合与推理</x:v>
      </x:c>
      <x:c r="K89" s="8" t="str">
        <x:v>推理与决策;执行与状态管理</x:v>
      </x:c>
      <x:c r="L89" s="8" t="str">
        <x:v>2.3.4 执行与状态管理;7.2.1 持久用户记忆与工作状态</x:v>
      </x:c>
      <x:c r="M89" s="8" t="str"/>
      <x:c r="N89" s="8" t="str">
        <x:v>Benchmark</x:v>
      </x:c>
      <x:c r="O89" s="11" t="str">
        <x:v>https://arxiv.org/abs/2402.17753</x:v>
      </x:c>
      <x:c r="P89" s="8" t="str">
        <x:v>构造长期多会话交互，评价问答、事件总结和多模态对话中的长期记忆。</x:v>
      </x:c>
      <x:c r="Q89" s="8" t="str">
        <x:v>适合支持时间与事件依赖难点，同时和工作执行状态形成有意义区分。</x:v>
      </x:c>
      <x:c r="R89" s="8" t="str">
        <x:v>长期对话一致性不能自动视为长期业务状态一致性或持续职责完成。</x:v>
      </x:c>
      <x:c r="S89" s="8" t="str">
        <x:v>补充</x:v>
      </x:c>
      <x:c r="T89" s="12" t="str">
        <x:v>未分配</x:v>
      </x:c>
      <x:c r="U89" s="12" t="str"/>
      <x:c r="V89" s="12" t="str"/>
      <x:c r="W89" s="12" t="str"/>
      <x:c r="X89" s="8" t="str">
        <x:v>verified</x:v>
      </x:c>
      <x:c r="Y89" s="11" t="str">
        <x:v>https://github.com/snap-research/LoCoMo</x:v>
      </x:c>
      <x:c r="Z89" s="11" t="str">
        <x:v>https://github.com/snap-research/locomo/tree/main/data</x:v>
      </x:c>
      <x:c r="AA89" s="11" t="str">
        <x:v>https://arxiv.org/html/2402.17753v1</x:v>
      </x:c>
      <x:c r="AB89" s="11" t="str">
        <x:v>https://arxiv.org/abs/2402.17753</x:v>
      </x:c>
      <x:c r="AC89" s="8" t="str">
        <x:v>L089</x:v>
      </x:c>
      <x:c r="AD89" s="8" t="str">
        <x:v>第2／原第4章已引；官方摘要。</x:v>
      </x:c>
      <x:c r="AE89" s="8" t="str">
        <x:v>2.3状态管理边界；6记忆评测。</x:v>
      </x:c>
      <x:c r="AF89" s="8" t="str">
        <x:v>按补充清单 L089 的论证用途归入“评估目标与可观察证据”：适合支持时间与事件依赖难点，同时和工作执行状态形成有意义区分。 会话/历史记忆作为工作状态管理的参照，不能单独证明外部状态或持续责任。</x:v>
      </x:c>
      <x:c r="AG89" s="8" t="str">
        <x:v>persistent</x:v>
      </x:c>
      <x:c r="AH89" s="8" t="str">
        <x:v>Very long-term conversational memory evaluation</x:v>
      </x:c>
      <x:c r="AI89" s="8" t="str">
        <x:v>88</x:v>
      </x:c>
      <x:c r="AJ89" s="8" t="str">
        <x:v>survey bibliography;2026-10-16 chapter 2 / former chapter 4 supplement</x:v>
      </x:c>
      <x:c r="AK89" s="13" t="d">
        <x:v>2026-10-16T00:00:00.000Z</x:v>
      </x:c>
      <x:c r="AL89" s="8" t="str">
        <x:v>对话记忆基准，与持久化工作责任需区分。</x:v>
      </x:c>
      <x:c r="AM89" s="8" t="str">
        <x:v>4.4</x:v>
      </x:c>
    </x:row>
    <x:row r="90" ht="68" customHeight="1">
      <x:c r="A90" s="8" t="str">
        <x:v>WA-0089</x:v>
      </x:c>
      <x:c r="B90" s="8" t="str">
        <x:v>Self-Refine</x:v>
      </x:c>
      <x:c r="C90" s="8" t="str">
        <x:v>Self-Refine: Iterative Refinement with Self-Feedback</x:v>
      </x:c>
      <x:c r="D90" s="9" t="n">
        <x:v>2023</x:v>
      </x:c>
      <x:c r="E90" s="8" t="str">
        <x:v>Carnegie Mellon University; Allen Institute for Artificial Intelligence; University of Washington; NVIDIA; University of California, San Diego; Google Research, Brain Team</x:v>
      </x:c>
      <x:c r="F90" s="10" t="str">
        <x:f>VLOOKUP(H90,'Taxonomy'!$A$6:$G$70,3,FALSE)</x:f>
        <x:v>基础：定义、工作条件与核心能力</x:v>
      </x:c>
      <x:c r="G90" s="10" t="str">
        <x:f>VLOOKUP(H90,'Taxonomy'!$A$6:$G$70,5,FALSE)</x:f>
        <x:v>五项核心能力</x:v>
      </x:c>
      <x:c r="H90" s="8" t="str">
        <x:v>2.3.5</x:v>
      </x:c>
      <x:c r="I90" s="10" t="str">
        <x:f>VLOOKUP(H90,'Taxonomy'!$A$6:$G$70,6,FALSE)</x:f>
        <x:v>验证、恢复与重新规划</x:v>
      </x:c>
      <x:c r="J90" s="8" t="str">
        <x:v>成果与实际状态核验;回滚、补偿与路径调整</x:v>
      </x:c>
      <x:c r="K90" s="8" t="str">
        <x:v>推理与决策;验证、恢复与重新规划</x:v>
      </x:c>
      <x:c r="L90" s="8" t="str"/>
      <x:c r="M90" s="8" t="str"/>
      <x:c r="N90" s="8" t="str">
        <x:v>Method</x:v>
      </x:c>
      <x:c r="O90" s="11" t="str">
        <x:v>https://arxiv.org/abs/2303.17651</x:v>
      </x:c>
      <x:c r="P90" s="8" t="str">
        <x:v>由同一模型生成初稿、反馈与修订，形成无需额外训练的迭代改进循环。</x:v>
      </x:c>
      <x:c r="Q90" s="8" t="str">
        <x:v>作为生成、反馈、修订循环的基础方法。</x:v>
      </x:c>
      <x:c r="R90" s="8" t="str">
        <x:v>自反馈不等于独立验证；改善可能依赖任务与模型。</x:v>
      </x:c>
      <x:c r="S90" s="8" t="str">
        <x:v>补充</x:v>
      </x:c>
      <x:c r="T90" s="12" t="str">
        <x:v>未分配</x:v>
      </x:c>
      <x:c r="U90" s="12" t="str"/>
      <x:c r="V90" s="12" t="str"/>
      <x:c r="W90" s="12" t="str"/>
      <x:c r="X90" s="8" t="str">
        <x:v>verified</x:v>
      </x:c>
      <x:c r="Y90" s="11" t="str">
        <x:v>https://github.com/madaan/self-refine</x:v>
      </x:c>
      <x:c r="Z90" s="11" t="str"/>
      <x:c r="AA90" s="11" t="str">
        <x:v>https://arxiv.org/html/2303.17651v2</x:v>
      </x:c>
      <x:c r="AB90" s="11" t="str">
        <x:v>https://arxiv.org/abs/2303.17651</x:v>
      </x:c>
      <x:c r="AC90" s="8" t="str">
        <x:v>L143</x:v>
      </x:c>
      <x:c r="AD90" s="8" t="str">
        <x:v>这些条目已出现在第二章或原第四章，但本轮没有重新核查原文。题名、年份与链接沿用现有文献库；不能把它们计作本轮新核实的证据。</x:v>
      </x:c>
      <x:c r="AE90" s="8" t="str">
        <x:v>原第四章</x:v>
      </x:c>
      <x:c r="AF90" s="8" t="str">
        <x:v>用于“验证、恢复与重新规划”：由同一模型生成初稿、反馈与修订，形成无需额外训练的迭代改进循环。</x:v>
      </x:c>
      <x:c r="AG90" s="8" t="str">
        <x:v>verification</x:v>
      </x:c>
      <x:c r="AH90" s="8" t="str">
        <x:v>Iterative self-feedback and refinement</x:v>
      </x:c>
      <x:c r="AI90" s="8" t="str">
        <x:v>89</x:v>
      </x:c>
      <x:c r="AJ90" s="8" t="str">
        <x:v>survey bibliography;2026-10-16 chapter 2 / former chapter 4 supplement</x:v>
      </x:c>
      <x:c r="AK90" s="13" t="d">
        <x:v>2026-10-16T00:00:00.000Z</x:v>
      </x:c>
      <x:c r="AL90" s="8" t="str">
        <x:v>来源为附件附录A既有引用索引；未把附件的未复核条目升级为本轮已读证据。原稿位置：原第四章；引用键：selfrefine。</x:v>
      </x:c>
      <x:c r="AM90" s="8" t="str">
        <x:v>4.5</x:v>
      </x:c>
    </x:row>
    <x:row r="91" ht="68" customHeight="1">
      <x:c r="A91" s="8" t="str">
        <x:v>WA-0090</x:v>
      </x:c>
      <x:c r="B91" s="8" t="str">
        <x:v>CRITIC</x:v>
      </x:c>
      <x:c r="C91" s="8" t="str">
        <x:v>CRITIC: Large Language Models Can Self-Correct with Tool-Interactive Critiquing</x:v>
      </x:c>
      <x:c r="D91" s="9" t="n">
        <x:v>2023</x:v>
      </x:c>
      <x:c r="E91" s="8" t="str">
        <x:v>Tsinghua University; Microsoft Research Asia; Microsoft Azure AI</x:v>
      </x:c>
      <x:c r="F91" s="10" t="str">
        <x:f>VLOOKUP(H91,'Taxonomy'!$A$6:$G$70,3,FALSE)</x:f>
        <x:v>基础：定义、工作条件与核心能力</x:v>
      </x:c>
      <x:c r="G91" s="10" t="str">
        <x:f>VLOOKUP(H91,'Taxonomy'!$A$6:$G$70,5,FALSE)</x:f>
        <x:v>五项核心能力</x:v>
      </x:c>
      <x:c r="H91" s="8" t="str">
        <x:v>2.3.5</x:v>
      </x:c>
      <x:c r="I91" s="10" t="str">
        <x:f>VLOOKUP(H91,'Taxonomy'!$A$6:$G$70,6,FALSE)</x:f>
        <x:v>验证、恢复与重新规划</x:v>
      </x:c>
      <x:c r="J91" s="8" t="str">
        <x:v>成果与实际状态核验;工具、界面与应用执行;回滚、补偿与路径调整</x:v>
      </x:c>
      <x:c r="K91" s="8" t="str">
        <x:v>推理与决策;执行与状态管理;验证、恢复与重新规划</x:v>
      </x:c>
      <x:c r="L91" s="8" t="str"/>
      <x:c r="M91" s="8" t="str"/>
      <x:c r="N91" s="8" t="str">
        <x:v>Method</x:v>
      </x:c>
      <x:c r="O91" s="11" t="str">
        <x:v>https://arxiv.org/abs/2305.11738</x:v>
      </x:c>
      <x:c r="P91" s="8" t="str">
        <x:v>调用外部工具检查输出，再依据工具反馈修正推理和答案。</x:v>
      </x:c>
      <x:c r="Q91" s="8" t="str">
        <x:v>区分有外部工具反馈的修订与纯自反馈，支撑验证恢复能力。</x:v>
      </x:c>
      <x:c r="R91" s="8" t="str">
        <x:v>首发预印本为2023；附录2024为ICLR发表年。可用工具并不保证反馈完整正确。</x:v>
      </x:c>
      <x:c r="S91" s="8" t="str">
        <x:v>补充</x:v>
      </x:c>
      <x:c r="T91" s="12" t="str">
        <x:v>未分配</x:v>
      </x:c>
      <x:c r="U91" s="12" t="str"/>
      <x:c r="V91" s="12" t="str"/>
      <x:c r="W91" s="12" t="str"/>
      <x:c r="X91" s="8" t="str">
        <x:v>verified</x:v>
      </x:c>
      <x:c r="Y91" s="11" t="str">
        <x:v>https://github.com/microsoft/ProphetNet/tree/master/CRITIC</x:v>
      </x:c>
      <x:c r="Z91" s="11" t="str"/>
      <x:c r="AA91" s="11" t="str">
        <x:v>https://arxiv.org/html/2305.11738v4</x:v>
      </x:c>
      <x:c r="AB91" s="11" t="str">
        <x:v>https://arxiv.org/abs/2305.11738</x:v>
      </x:c>
      <x:c r="AC91" s="8" t="str">
        <x:v>L125</x:v>
      </x:c>
      <x:c r="AD91" s="8" t="str">
        <x:v>这些条目已出现在第二章或原第四章，但本轮没有重新核查原文。题名、年份与链接沿用现有文献库；不能把它们计作本轮新核实的证据。</x:v>
      </x:c>
      <x:c r="AE91" s="8" t="str">
        <x:v>原第四章</x:v>
      </x:c>
      <x:c r="AF91" s="8" t="str">
        <x:v>用于“验证、恢复与重新规划”：调用外部工具检查输出，再依据工具反馈修正推理和答案。</x:v>
      </x:c>
      <x:c r="AG91" s="8" t="str">
        <x:v>verification</x:v>
      </x:c>
      <x:c r="AH91" s="8" t="str">
        <x:v>Tool-interactive critique and correction</x:v>
      </x:c>
      <x:c r="AI91" s="8" t="str">
        <x:v>90</x:v>
      </x:c>
      <x:c r="AJ91" s="8" t="str">
        <x:v>survey bibliography;2026-10-16 chapter 2 / former chapter 4 supplement</x:v>
      </x:c>
      <x:c r="AK91" s="13" t="d">
        <x:v>2026-10-16T00:00:00.000Z</x:v>
      </x:c>
      <x:c r="AL91" s="8" t="str">
        <x:v>来源为附件附录A既有引用索引；未把附件的未复核条目升级为本轮已读证据。原稿位置：原第四章；引用键：critic。</x:v>
      </x:c>
      <x:c r="AM91" s="8" t="str">
        <x:v>4.5</x:v>
      </x:c>
    </x:row>
    <x:row r="92" ht="82" customHeight="1">
      <x:c r="A92" s="8" t="str">
        <x:v>WA-0091</x:v>
      </x:c>
      <x:c r="B92" s="8" t="str">
        <x:v>Agentless</x:v>
      </x:c>
      <x:c r="C92" s="8" t="str">
        <x:v>Agentless: Demystifying LLM-based Software Engineering Agents</x:v>
      </x:c>
      <x:c r="D92" s="9" t="n">
        <x:v>2024</x:v>
      </x:c>
      <x:c r="E92" s="8" t="str">
        <x:v>University of Illinois Urbana-Champaign</x:v>
      </x:c>
      <x:c r="F92" s="10" t="str">
        <x:f>VLOOKUP(H92,'Taxonomy'!$A$6:$G$70,3,FALSE)</x:f>
        <x:v>基础：定义、工作条件与核心能力</x:v>
      </x:c>
      <x:c r="G92" s="10" t="str">
        <x:f>VLOOKUP(H92,'Taxonomy'!$A$6:$G$70,5,FALSE)</x:f>
        <x:v>五项核心能力</x:v>
      </x:c>
      <x:c r="H92" s="8" t="str">
        <x:v>2.3.5</x:v>
      </x:c>
      <x:c r="I92" s="10" t="str">
        <x:f>VLOOKUP(H92,'Taxonomy'!$A$6:$G$70,6,FALSE)</x:f>
        <x:v>验证、恢复与重新规划</x:v>
      </x:c>
      <x:c r="J92" s="8" t="str">
        <x:v>失败定位与根因诊断;回滚、补偿与路径调整;成果与实际状态核验</x:v>
      </x:c>
      <x:c r="K92" s="8" t="str">
        <x:v>推理与决策;执行与状态管理;验证、恢复与重新规划</x:v>
      </x:c>
      <x:c r="L92" s="8" t="str"/>
      <x:c r="M92" s="8" t="str"/>
      <x:c r="N92" s="8" t="str">
        <x:v>Method</x:v>
      </x:c>
      <x:c r="O92" s="11" t="str">
        <x:v>https://arxiv.org/abs/2407.01489</x:v>
      </x:c>
      <x:c r="P92" s="8" t="str">
        <x:v>以定位、修复和补丁验证三阶段流程建立低成本 SWE 基线，并审查基准样本质量。</x:v>
      </x:c>
      <x:c r="Q92" s="8" t="str">
        <x:v>在软件代理对照中说明定位、修复、验证可以采用结构化流程。</x:v>
      </x:c>
      <x:c r="R92" s="8" t="str">
        <x:v>Agentless首发2024，附录2025为发表口径；软件修复结果不能泛化到所有办公任务。</x:v>
      </x:c>
      <x:c r="S92" s="8" t="str">
        <x:v>补充</x:v>
      </x:c>
      <x:c r="T92" s="12" t="str">
        <x:v>未分配</x:v>
      </x:c>
      <x:c r="U92" s="12" t="str"/>
      <x:c r="V92" s="12" t="str"/>
      <x:c r="W92" s="12" t="str"/>
      <x:c r="X92" s="8" t="str">
        <x:v>verified</x:v>
      </x:c>
      <x:c r="Y92" s="11" t="str">
        <x:v>https://github.com/OpenAutoCoder/Agentless</x:v>
      </x:c>
      <x:c r="Z92" s="11" t="str"/>
      <x:c r="AA92" s="11" t="str">
        <x:v>https://lingming.cs.illinois.edu/publications/fse2025.pdf</x:v>
      </x:c>
      <x:c r="AB92" s="11" t="str">
        <x:v>https://arxiv.org/abs/2407.01489</x:v>
      </x:c>
      <x:c r="AC92" s="8" t="str">
        <x:v>L118</x:v>
      </x:c>
      <x:c r="AD92" s="8" t="str">
        <x:v>这些条目已出现在第二章或原第四章，但本轮没有重新核查原文。题名、年份与链接沿用现有文献库；不能把它们计作本轮新核实的证据。</x:v>
      </x:c>
      <x:c r="AE92" s="8" t="str">
        <x:v>原第四章</x:v>
      </x:c>
      <x:c r="AF92" s="8" t="str">
        <x:v>用于“验证、恢复与重新规划”：以定位、修复和补丁验证三阶段流程建立低成本 SWE 基线，并审查基准样本质量。</x:v>
      </x:c>
      <x:c r="AG92" s="8" t="str">
        <x:v>swe-science</x:v>
      </x:c>
      <x:c r="AH92" s="8" t="str">
        <x:v>Localization–repair–validation baseline</x:v>
      </x:c>
      <x:c r="AI92" s="8" t="str">
        <x:v>91</x:v>
      </x:c>
      <x:c r="AJ92" s="8" t="str">
        <x:v>survey bibliography;2026-10-16 chapter 2 / former chapter 4 supplement</x:v>
      </x:c>
      <x:c r="AK92" s="13" t="d">
        <x:v>2026-10-16T00:00:00.000Z</x:v>
      </x:c>
      <x:c r="AL92" s="8" t="str">
        <x:v>PDF 引用的是 FSE 2025 正式题名 Demystifying LLM-Based Software Engineering Agents (DOI 10.1145/3715754)；对应预印本标题带 Agentless，首次公开于 2024。该方法刻意限制自主动作。 来源为附件附录A既有引用索引；未把附件的未复核条目升级为本轮已读证据。原稿位置：原第四章；引用键：agentless。 无链接题名匹配既有Agentless记录，补回正式arXiv链接；本次不新增论文。</x:v>
      </x:c>
      <x:c r="AM92" s="8" t="str">
        <x:v>4.5</x:v>
      </x:c>
    </x:row>
    <x:row r="93" ht="68" customHeight="1">
      <x:c r="A93" s="8" t="str">
        <x:v>WA-0092</x:v>
      </x:c>
      <x:c r="B93" s="8" t="str">
        <x:v>Reflexion</x:v>
      </x:c>
      <x:c r="C93" s="8" t="str">
        <x:v>Reflexion: Language Agents with Verbal Reinforcement Learning</x:v>
      </x:c>
      <x:c r="D93" s="9" t="n">
        <x:v>2023</x:v>
      </x:c>
      <x:c r="E93" s="8" t="str">
        <x:v>Northeastern University; Massachusetts Institute of Technology; Princeton University</x:v>
      </x:c>
      <x:c r="F93" s="10" t="str">
        <x:f>VLOOKUP(H93,'Taxonomy'!$A$6:$G$70,3,FALSE)</x:f>
        <x:v>基础：定义、工作条件与核心能力</x:v>
      </x:c>
      <x:c r="G93" s="10" t="str">
        <x:f>VLOOKUP(H93,'Taxonomy'!$A$6:$G$70,5,FALSE)</x:f>
        <x:v>五项核心能力</x:v>
      </x:c>
      <x:c r="H93" s="8" t="str">
        <x:v>2.3.5</x:v>
      </x:c>
      <x:c r="I93" s="10" t="str">
        <x:f>VLOOKUP(H93,'Taxonomy'!$A$6:$G$70,6,FALSE)</x:f>
        <x:v>验证、恢复与重新规划</x:v>
      </x:c>
      <x:c r="J93" s="8" t="str">
        <x:v>上下文与记忆管理;回滚、补偿与路径调整;经验记忆与技能优化</x:v>
      </x:c>
      <x:c r="K93" s="8" t="str">
        <x:v>推理与决策;执行与状态管理;验证、恢复与重新规划</x:v>
      </x:c>
      <x:c r="L93" s="8" t="str">
        <x:v>7.2.3 持续个性化与自我演化;5.3.3 记忆与技能优化</x:v>
      </x:c>
      <x:c r="M93" s="8" t="str"/>
      <x:c r="N93" s="8" t="str">
        <x:v>Method</x:v>
      </x:c>
      <x:c r="O93" s="11" t="str">
        <x:v>https://arxiv.org/abs/2303.11366</x:v>
      </x:c>
      <x:c r="P93" s="8" t="str">
        <x:v>将执行成败转化为语言反思，存入情景记忆以指导后续尝试。</x:v>
      </x:c>
      <x:c r="Q93" s="8" t="str">
        <x:v>解释失败反馈怎样改变下一次行动，也展示模型之外的运行时记忆作用。</x:v>
      </x:c>
      <x:c r="R93" s="8" t="str">
        <x:v>反思历史不等于恢复已经改变的外部世界；不能直接证明事务回滚或不可逆操作修复。</x:v>
      </x:c>
      <x:c r="S93" s="8" t="str">
        <x:v>核心</x:v>
      </x:c>
      <x:c r="T93" s="12" t="str">
        <x:v>未分配</x:v>
      </x:c>
      <x:c r="U93" s="12" t="str"/>
      <x:c r="V93" s="12" t="str"/>
      <x:c r="W93" s="12" t="str"/>
      <x:c r="X93" s="8" t="str">
        <x:v>verified</x:v>
      </x:c>
      <x:c r="Y93" s="11" t="str">
        <x:v>https://github.com/noahshinn/reflexion</x:v>
      </x:c>
      <x:c r="Z93" s="11" t="str"/>
      <x:c r="AA93" s="11" t="str">
        <x:v>https://arxiv.org/html/2303.11366v4</x:v>
      </x:c>
      <x:c r="AB93" s="11" t="str">
        <x:v>https://arxiv.org/abs/2303.11366</x:v>
      </x:c>
      <x:c r="AC93" s="8" t="str">
        <x:v>L064;AIO-219</x:v>
      </x:c>
      <x:c r="AD93" s="8" t="str">
        <x:v>第2／原第4章已引；官方摘要。</x:v>
      </x:c>
      <x:c r="AE93" s="8" t="str">
        <x:v>2.3恢复；5经验驱动改进。</x:v>
      </x:c>
      <x:c r="AF93" s="8" t="str">
        <x:v>按补充清单 L064 的论证用途归入“验证、恢复与重新规划”：解释失败反馈怎样改变下一次行动，也展示模型之外的运行时记忆作用。</x:v>
      </x:c>
      <x:c r="AG93" s="8" t="str">
        <x:v>verification</x:v>
      </x:c>
      <x:c r="AH93" s="8" t="str">
        <x:v>Verbal reinforcement through episodic reflection</x:v>
      </x:c>
      <x:c r="AI93" s="8" t="str">
        <x:v>92</x:v>
      </x:c>
      <x:c r="AJ93" s="8" t="str">
        <x:v>survey bibliography;2026-10-16 chapter 2 / former chapter 4 supplement;2026-10-16 AI Office survey bibliography</x:v>
      </x:c>
      <x:c r="AK93" s="13" t="d">
        <x:v>2026-10-16T00:00:00.000Z</x:v>
      </x:c>
      <x:c r="AL93" s="8" t="str">
        <x:v>这里的 verbal reinforcement learning 不涉及模型参数梯度更新。 论文内旧仓库 noahshinn024/reflexion 已404；以作者当前官方仓库自述和 BibTeX 核验替换。</x:v>
      </x:c>
      <x:c r="AM93" s="8" t="str">
        <x:v>4.5;7.2.3</x:v>
      </x:c>
    </x:row>
    <x:row r="94" ht="68" customHeight="1">
      <x:c r="A94" s="8" t="str">
        <x:v>WA-0093</x:v>
      </x:c>
      <x:c r="B94" s="8" t="str">
        <x:v>LATS</x:v>
      </x:c>
      <x:c r="C94" s="8" t="str">
        <x:v>Language Agent Tree Search Unifies Reasoning Acting and Planning in Language Models</x:v>
      </x:c>
      <x:c r="D94" s="9" t="n">
        <x:v>2023</x:v>
      </x:c>
      <x:c r="E94" s="8" t="str">
        <x:v>University of Illinois Urbana-Champaign; Lapis Labs</x:v>
      </x:c>
      <x:c r="F94" s="10" t="str">
        <x:f>VLOOKUP(H94,'Taxonomy'!$A$6:$G$70,3,FALSE)</x:f>
        <x:v>基础：定义、工作条件与核心能力</x:v>
      </x:c>
      <x:c r="G94" s="10" t="str">
        <x:f>VLOOKUP(H94,'Taxonomy'!$A$6:$G$70,5,FALSE)</x:f>
        <x:v>五项核心能力</x:v>
      </x:c>
      <x:c r="H94" s="8" t="str">
        <x:v>2.3.3</x:v>
      </x:c>
      <x:c r="I94" s="10" t="str">
        <x:f>VLOOKUP(H94,'Taxonomy'!$A$6:$G$70,6,FALSE)</x:f>
        <x:v>规划与协调</x:v>
      </x:c>
      <x:c r="J94" s="8" t="str">
        <x:v>任务分解与行动依赖;回滚、补偿与路径调整;证据与规则约束下的决策</x:v>
      </x:c>
      <x:c r="K94" s="8" t="str">
        <x:v>推理与决策;规划与协调;验证、恢复与重新规划</x:v>
      </x:c>
      <x:c r="L94" s="8" t="str">
        <x:v>2.3.5 验证、恢复与重新规划</x:v>
      </x:c>
      <x:c r="M94" s="8" t="str"/>
      <x:c r="N94" s="8" t="str">
        <x:v>Method</x:v>
      </x:c>
      <x:c r="O94" s="11" t="str">
        <x:v>https://arxiv.org/abs/2310.04406</x:v>
      </x:c>
      <x:c r="P94" s="8" t="str">
        <x:v>结合蒙特卡洛树搜索、模型价值评估和自我反思，用环境反馈搜索行动序列。</x:v>
      </x:c>
      <x:c r="Q94" s="8" t="str">
        <x:v>使规划从一次性文本计划发展为根据反馈评估和选择后续路径。</x:v>
      </x:c>
      <x:c r="R94" s="8" t="str">
        <x:v>搜索通常依赖可评估的分支；真实工作中的不可逆动作不能无条件按树节点重置。</x:v>
      </x:c>
      <x:c r="S94" s="8" t="str">
        <x:v>核心</x:v>
      </x:c>
      <x:c r="T94" s="12" t="str">
        <x:v>未分配</x:v>
      </x:c>
      <x:c r="U94" s="12" t="str"/>
      <x:c r="V94" s="12" t="str"/>
      <x:c r="W94" s="12" t="str"/>
      <x:c r="X94" s="8" t="str">
        <x:v>verified</x:v>
      </x:c>
      <x:c r="Y94" s="11" t="str">
        <x:v>https://github.com/andyz245/LanguageAgentTreeSearch</x:v>
      </x:c>
      <x:c r="Z94" s="11" t="str"/>
      <x:c r="AA94" s="11" t="str">
        <x:v>https://arxiv.org/html/2310.04406v3</x:v>
      </x:c>
      <x:c r="AB94" s="11" t="str">
        <x:v>https://arxiv.org/abs/2310.04406</x:v>
      </x:c>
      <x:c r="AC94" s="8" t="str">
        <x:v>L062</x:v>
      </x:c>
      <x:c r="AD94" s="8" t="str">
        <x:v>第2／原第4章已引；官方摘要。</x:v>
      </x:c>
      <x:c r="AE94" s="8" t="str">
        <x:v>2.3规划与恢复；5搜索优化。</x:v>
      </x:c>
      <x:c r="AF94" s="8" t="str">
        <x:v>按补充清单 L062 的论证用途归入“规划与协调”：使规划从一次性文本计划发展为根据反馈评估和选择后续路径。</x:v>
      </x:c>
      <x:c r="AG94" s="8" t="str">
        <x:v>verification</x:v>
      </x:c>
      <x:c r="AH94" s="8" t="str">
        <x:v>Environment-grounded tree search</x:v>
      </x:c>
      <x:c r="AI94" s="8" t="str">
        <x:v>93</x:v>
      </x:c>
      <x:c r="AJ94" s="8" t="str">
        <x:v>survey bibliography;2026-10-16 chapter 2 / former chapter 4 supplement</x:v>
      </x:c>
      <x:c r="AK94" s="13" t="d">
        <x:v>2026-10-16T00:00:00.000Z</x:v>
      </x:c>
      <x:c r="AL94" s="8" t="str"/>
      <x:c r="AM94" s="8" t="str">
        <x:v>4.5</x:v>
      </x:c>
    </x:row>
    <x:row r="95" ht="68" customHeight="1">
      <x:c r="A95" s="8" t="str">
        <x:v>WA-0094</x:v>
      </x:c>
      <x:c r="B95" s="8" t="str">
        <x:v>NexForge</x:v>
      </x:c>
      <x:c r="C95" s="8" t="str">
        <x:v>NexForge: Scaling Agent Capabilities through Requirement-Driven Task Synthesis for LLMs</x:v>
      </x:c>
      <x:c r="D95" s="9" t="n">
        <x:v>2026</x:v>
      </x:c>
      <x:c r="E95" s="8" t="str">
        <x:v>East China Normal University; Shanghai Qiji Zhifeng Co., Ltd; Fudan University</x:v>
      </x:c>
      <x:c r="F95" s="10" t="str">
        <x:f>VLOOKUP(H95,'Taxonomy'!$A$6:$G$70,3,FALSE)</x:f>
        <x:v>优化：从工作经验到系统能力</x:v>
      </x:c>
      <x:c r="G95" s="10" t="str">
        <x:f>VLOOKUP(H95,'Taxonomy'!$A$6:$G$70,5,FALSE)</x:f>
        <x:v>训练环境、数据与奖励</x:v>
      </x:c>
      <x:c r="H95" s="8" t="str">
        <x:v>5.1.1</x:v>
      </x:c>
      <x:c r="I95" s="10" t="str">
        <x:f>VLOOKUP(H95,'Taxonomy'!$A$6:$G$70,6,FALSE)</x:f>
        <x:v>任务与环境合成</x:v>
      </x:c>
      <x:c r="J95" s="8" t="str">
        <x:v>任务与环境合成;轨迹采集与策划;对象关系、来源与依赖;任务覆盖与泛化边界</x:v>
      </x:c>
      <x:c r="K95" s="8" t="str">
        <x:v>规划与协调;执行与状态管理;验证、恢复与重新规划</x:v>
      </x:c>
      <x:c r="L95" s="8" t="str">
        <x:v>5.1.2 轨迹采集与筛选</x:v>
      </x:c>
      <x:c r="M95" s="8" t="str">
        <x:v>任务与环境合成;轨迹收集与筛选</x:v>
      </x:c>
      <x:c r="N95" s="8" t="str">
        <x:v>Method;Framework</x:v>
      </x:c>
      <x:c r="O95" s="11" t="str">
        <x:v>https://arxiv.org/abs/2607.14186</x:v>
      </x:c>
      <x:c r="P95" s="8" t="str">
        <x:v>从能力需求与真实场景分布合成任务，检索或构建材料环境并采集专家轨迹。</x:v>
      </x:c>
      <x:c r="Q95" s="8" t="str"/>
      <x:c r="R95" s="8" t="str"/>
      <x:c r="S95" s="8" t="str"/>
      <x:c r="T95" s="12" t="str">
        <x:v>未分配</x:v>
      </x:c>
      <x:c r="U95" s="12" t="str"/>
      <x:c r="V95" s="12" t="str"/>
      <x:c r="W95" s="12" t="str"/>
      <x:c r="X95" s="8" t="str">
        <x:v>verified</x:v>
      </x:c>
      <x:c r="Y95" s="11" t="str"/>
      <x:c r="Z95" s="11" t="str"/>
      <x:c r="AA95" s="11" t="str">
        <x:v>https://arxiv.org/html/2607.14186v6</x:v>
      </x:c>
      <x:c r="AB95" s="11" t="str">
        <x:v>https://arxiv.org/abs/2607.14186</x:v>
      </x:c>
      <x:c r="AC95" s="8" t="str"/>
      <x:c r="AD95" s="8" t="str"/>
      <x:c r="AE95" s="8" t="str"/>
      <x:c r="AF95" s="8" t="str">
        <x:v>用于“任务与环境合成”：从能力需求与真实场景分布合成任务，检索或构建材料环境并采集专家轨迹。</x:v>
      </x:c>
      <x:c r="AG95" s="8" t="str">
        <x:v>workspace</x:v>
      </x:c>
      <x:c r="AH95" s="8" t="str">
        <x:v>Requirement-driven task and environment synthesis</x:v>
      </x:c>
      <x:c r="AI95" s="8" t="str">
        <x:v>94</x:v>
      </x:c>
      <x:c r="AJ95" s="8" t="str">
        <x:v>survey bibliography</x:v>
      </x:c>
      <x:c r="AK95" s="13" t="d">
        <x:v>2026-10-16T00:00:00.000Z</x:v>
      </x:c>
      <x:c r="AL95" s="8" t="str"/>
      <x:c r="AM95" s="8" t="str">
        <x:v>5.1.1;5.1.2</x:v>
      </x:c>
    </x:row>
    <x:row r="96" ht="68" customHeight="1">
      <x:c r="A96" s="8" t="str">
        <x:v>WA-0095</x:v>
      </x:c>
      <x:c r="B96" s="8" t="str">
        <x:v>GraphForge</x:v>
      </x:c>
      <x:c r="C96" s="8" t="str">
        <x:v>GraphForge: Training Working Agents with Graph-Anchored Workspace Synthesis</x:v>
      </x:c>
      <x:c r="D96" s="9" t="n">
        <x:v>2026</x:v>
      </x:c>
      <x:c r="E96" s="8" t="str">
        <x:v>University of Science and Technology of China; Shanghai Innovation Institute; Fudan University</x:v>
      </x:c>
      <x:c r="F96" s="10" t="str">
        <x:f>VLOOKUP(H96,'Taxonomy'!$A$6:$G$70,3,FALSE)</x:f>
        <x:v>优化：从工作经验到系统能力</x:v>
      </x:c>
      <x:c r="G96" s="10" t="str">
        <x:f>VLOOKUP(H96,'Taxonomy'!$A$6:$G$70,5,FALSE)</x:f>
        <x:v>训练环境、数据与奖励</x:v>
      </x:c>
      <x:c r="H96" s="8" t="str">
        <x:v>5.1.1</x:v>
      </x:c>
      <x:c r="I96" s="10" t="str">
        <x:f>VLOOKUP(H96,'Taxonomy'!$A$6:$G$70,6,FALSE)</x:f>
        <x:v>任务与环境合成</x:v>
      </x:c>
      <x:c r="J96" s="8" t="str">
        <x:v>任务与环境合成;轨迹采集与策划;训练奖励与可验证信号;对象关系、来源与依赖;任务覆盖与泛化边界</x:v>
      </x:c>
      <x:c r="K96" s="8" t="str">
        <x:v>推理与决策;执行与状态管理;验证、恢复与重新规划</x:v>
      </x:c>
      <x:c r="L96" s="8" t="str">
        <x:v>5.1.2 轨迹采集与筛选;5.1.3 奖励与验证信号;7.1.1 职业与领域泛化;7.3.2 可泛化与自适应验证</x:v>
      </x:c>
      <x:c r="M96" s="8" t="str">
        <x:v>任务与环境合成;轨迹收集与筛选;奖励与验证信号</x:v>
      </x:c>
      <x:c r="N96" s="8" t="str">
        <x:v>Method;Framework</x:v>
      </x:c>
      <x:c r="O96" s="11" t="str">
        <x:v>https://arxiv.org/abs/2609.38923</x:v>
      </x:c>
      <x:c r="P96" s="8" t="str">
        <x:v>以真实文件证据图共同锚定工作区任务与评分标准，并用执行反馈修复不一致。</x:v>
      </x:c>
      <x:c r="Q96" s="8" t="str"/>
      <x:c r="R96" s="8" t="str"/>
      <x:c r="S96" s="8" t="str"/>
      <x:c r="T96" s="12" t="str">
        <x:v>未分配</x:v>
      </x:c>
      <x:c r="U96" s="12" t="str"/>
      <x:c r="V96" s="12" t="str"/>
      <x:c r="W96" s="12" t="str"/>
      <x:c r="X96" s="8" t="str">
        <x:v>verified</x:v>
      </x:c>
      <x:c r="Y96" s="11" t="str"/>
      <x:c r="Z96" s="11" t="str">
        <x:v>https://huggingface.co/datasets/groundhogLLM/GraphForge-SFT-2169-clean</x:v>
      </x:c>
      <x:c r="AA96" s="11" t="str">
        <x:v>https://arxiv.org/html/2609.38923v2</x:v>
      </x:c>
      <x:c r="AB96" s="11" t="str">
        <x:v>https://arxiv.org/abs/2609.38923</x:v>
      </x:c>
      <x:c r="AC96" s="8" t="str"/>
      <x:c r="AD96" s="8" t="str"/>
      <x:c r="AE96" s="8" t="str"/>
      <x:c r="AF96" s="8" t="str">
        <x:v>用于“任务与环境合成”：以真实文件证据图共同锚定工作区任务与评分标准，并用执行反馈修复不一致。</x:v>
      </x:c>
      <x:c r="AG96" s="8" t="str">
        <x:v>workspace</x:v>
      </x:c>
      <x:c r="AH96" s="8" t="str">
        <x:v>Evidence-graph-anchored workspace synthesis</x:v>
      </x:c>
      <x:c r="AI96" s="8" t="str">
        <x:v>95</x:v>
      </x:c>
      <x:c r="AJ96" s="8" t="str">
        <x:v>survey bibliography</x:v>
      </x:c>
      <x:c r="AK96" s="13" t="d">
        <x:v>2026-10-16T00:00:00.000Z</x:v>
      </x:c>
      <x:c r="AL96" s="8" t="str">
        <x:v>链接为论文明确提供的资源合集，未推定存在独立代码仓库。 数据链接指向官方合集中的 SFT 数据集；原资源合集为 https://huggingface.co/collections/groundhogLLM/graphforge。</x:v>
      </x:c>
      <x:c r="AM96" s="8" t="str">
        <x:v>5.1.1;5.1.2;5.1.3;7.1.1;7.3.2</x:v>
      </x:c>
    </x:row>
    <x:row r="97" ht="68" customHeight="1">
      <x:c r="A97" s="8" t="str">
        <x:v>WA-0096</x:v>
      </x:c>
      <x:c r="B97" s="8" t="str">
        <x:v>WorkGenesis</x:v>
      </x:c>
      <x:c r="C97" s="8" t="str">
        <x:v>WorkGenesis: Building the Worlds That Teach Agents to Work</x:v>
      </x:c>
      <x:c r="D97" s="9" t="n">
        <x:v>2026</x:v>
      </x:c>
      <x:c r="E97" s="8" t="str">
        <x:v>Shanghai Jiao Tong University; Endless Frontier; Beihang University</x:v>
      </x:c>
      <x:c r="F97" s="10" t="str">
        <x:f>VLOOKUP(H97,'Taxonomy'!$A$6:$G$70,3,FALSE)</x:f>
        <x:v>优化：从工作经验到系统能力</x:v>
      </x:c>
      <x:c r="G97" s="10" t="str">
        <x:f>VLOOKUP(H97,'Taxonomy'!$A$6:$G$70,5,FALSE)</x:f>
        <x:v>训练环境、数据与奖励</x:v>
      </x:c>
      <x:c r="H97" s="8" t="str">
        <x:v>5.1.1</x:v>
      </x:c>
      <x:c r="I97" s="10" t="str">
        <x:f>VLOOKUP(H97,'Taxonomy'!$A$6:$G$70,6,FALSE)</x:f>
        <x:v>任务与环境合成</x:v>
      </x:c>
      <x:c r="J97" s="8" t="str">
        <x:v>任务与环境合成;训练奖励与可验证信号;对象关系、来源与依赖;任务覆盖与泛化边界</x:v>
      </x:c>
      <x:c r="K97" s="8" t="str">
        <x:v>规划与协调;执行与状态管理;验证、恢复与重新规划</x:v>
      </x:c>
      <x:c r="L97" s="8" t="str">
        <x:v>5.1.3 奖励与验证信号</x:v>
      </x:c>
      <x:c r="M97" s="8" t="str">
        <x:v>任务与环境合成;奖励与验证信号</x:v>
      </x:c>
      <x:c r="N97" s="8" t="str">
        <x:v>Method;Framework</x:v>
      </x:c>
      <x:c r="O97" s="11" t="str">
        <x:v>https://arxiv.org/abs/2609.39325</x:v>
      </x:c>
      <x:c r="P97" s="8" t="str">
        <x:v>借助职业知识检索真实工件，补全工作语境，并以参考执行归因和修复任务或 rubric 缺陷。</x:v>
      </x:c>
      <x:c r="Q97" s="8" t="str"/>
      <x:c r="R97" s="8" t="str"/>
      <x:c r="S97" s="8" t="str"/>
      <x:c r="T97" s="12" t="str">
        <x:v>未分配</x:v>
      </x:c>
      <x:c r="U97" s="12" t="str"/>
      <x:c r="V97" s="12" t="str"/>
      <x:c r="W97" s="12" t="str"/>
      <x:c r="X97" s="8" t="str">
        <x:v>verified</x:v>
      </x:c>
      <x:c r="Y97" s="11" t="str"/>
      <x:c r="Z97" s="11" t="str"/>
      <x:c r="AA97" s="11" t="str">
        <x:v>https://arxiv.org/html/2609.39325v1</x:v>
      </x:c>
      <x:c r="AB97" s="11" t="str">
        <x:v>https://arxiv.org/abs/2609.39325</x:v>
      </x:c>
      <x:c r="AC97" s="8" t="str"/>
      <x:c r="AD97" s="8" t="str"/>
      <x:c r="AE97" s="8" t="str"/>
      <x:c r="AF97" s="8" t="str">
        <x:v>用于“任务与环境合成”：借助职业知识检索真实工件，补全工作语境，并以参考执行归因和修复任务或 rubric 缺陷。</x:v>
      </x:c>
      <x:c r="AG97" s="8" t="str">
        <x:v>workspace</x:v>
      </x:c>
      <x:c r="AH97" s="8" t="str">
        <x:v>Occupational artifact-grounded work synthesis</x:v>
      </x:c>
      <x:c r="AI97" s="8" t="str">
        <x:v>96</x:v>
      </x:c>
      <x:c r="AJ97" s="8" t="str">
        <x:v>survey bibliography</x:v>
      </x:c>
      <x:c r="AK97" s="13" t="d">
        <x:v>2026-10-16T00:00:00.000Z</x:v>
      </x:c>
      <x:c r="AL97" s="8" t="str"/>
      <x:c r="AM97" s="8" t="str">
        <x:v>5.1.1;5.1.3</x:v>
      </x:c>
    </x:row>
    <x:row r="98" ht="68" customHeight="1">
      <x:c r="A98" s="8" t="str">
        <x:v>WA-0097</x:v>
      </x:c>
      <x:c r="B98" s="8" t="str">
        <x:v>Agent World Model</x:v>
      </x:c>
      <x:c r="C98" s="8" t="str">
        <x:v>Agent World Model: Infinity Synthetic Environments for Agentic Reinforcement Learning</x:v>
      </x:c>
      <x:c r="D98" s="9" t="n">
        <x:v>2026</x:v>
      </x:c>
      <x:c r="E98" s="8" t="str">
        <x:v>University of North Carolina at Chapel Hill; Snowflake</x:v>
      </x:c>
      <x:c r="F98" s="10" t="str">
        <x:f>VLOOKUP(H98,'Taxonomy'!$A$6:$G$70,3,FALSE)</x:f>
        <x:v>优化：从工作经验到系统能力</x:v>
      </x:c>
      <x:c r="G98" s="10" t="str">
        <x:f>VLOOKUP(H98,'Taxonomy'!$A$6:$G$70,5,FALSE)</x:f>
        <x:v>训练环境、数据与奖励</x:v>
      </x:c>
      <x:c r="H98" s="8" t="str">
        <x:v>5.1.1</x:v>
      </x:c>
      <x:c r="I98" s="10" t="str">
        <x:f>VLOOKUP(H98,'Taxonomy'!$A$6:$G$70,6,FALSE)</x:f>
        <x:v>任务与环境合成</x:v>
      </x:c>
      <x:c r="J98" s="8" t="str">
        <x:v>任务与环境合成;训练奖励与可验证信号;当前状态与版本有效性;工具、界面与应用执行</x:v>
      </x:c>
      <x:c r="K98" s="8" t="str">
        <x:v>执行与状态管理;验证、恢复与重新规划</x:v>
      </x:c>
      <x:c r="L98" s="8" t="str">
        <x:v>5.1.3 奖励与验证信号</x:v>
      </x:c>
      <x:c r="M98" s="8" t="str">
        <x:v>任务与环境合成;奖励与验证信号</x:v>
      </x:c>
      <x:c r="N98" s="8" t="str">
        <x:v>Method;Framework</x:v>
      </x:c>
      <x:c r="O98" s="11" t="str">
        <x:v>https://arxiv.org/abs/2602.10090</x:v>
      </x:c>
      <x:c r="P98" s="8" t="str">
        <x:v>规模化生成具有数据库状态和工具接口的可执行环境，用于可验证的多轮工具 RL。</x:v>
      </x:c>
      <x:c r="Q98" s="8" t="str"/>
      <x:c r="R98" s="8" t="str"/>
      <x:c r="S98" s="8" t="str"/>
      <x:c r="T98" s="12" t="str">
        <x:v>未分配</x:v>
      </x:c>
      <x:c r="U98" s="12" t="str"/>
      <x:c r="V98" s="12" t="str"/>
      <x:c r="W98" s="12" t="str"/>
      <x:c r="X98" s="8" t="str">
        <x:v>verified</x:v>
      </x:c>
      <x:c r="Y98" s="11" t="str">
        <x:v>https://github.com/Snowflake-Labs/agent-world-model</x:v>
      </x:c>
      <x:c r="Z98" s="11" t="str"/>
      <x:c r="AA98" s="11" t="str">
        <x:v>https://arxiv.org/html/2602.10090v3</x:v>
      </x:c>
      <x:c r="AB98" s="11" t="str">
        <x:v>https://arxiv.org/abs/2602.10090</x:v>
      </x:c>
      <x:c r="AC98" s="8" t="str"/>
      <x:c r="AD98" s="8" t="str"/>
      <x:c r="AE98" s="8" t="str"/>
      <x:c r="AF98" s="8" t="str">
        <x:v>用于“任务与环境合成”：规模化生成具有数据库状态和工具接口的可执行环境，用于可验证的多轮工具 RL。</x:v>
      </x:c>
      <x:c r="AG98" s="8" t="str">
        <x:v>tool-enterprise</x:v>
      </x:c>
      <x:c r="AH98" s="8" t="str">
        <x:v>Executable database-backed environment synthesis</x:v>
      </x:c>
      <x:c r="AI98" s="8" t="str">
        <x:v>97</x:v>
      </x:c>
      <x:c r="AJ98" s="8" t="str">
        <x:v>survey bibliography</x:v>
      </x:c>
      <x:c r="AK98" s="13" t="d">
        <x:v>2026-10-16T00:00:00.000Z</x:v>
      </x:c>
      <x:c r="AL98" s="8" t="str"/>
      <x:c r="AM98" s="8" t="str">
        <x:v>5.1.1;5.1.3</x:v>
      </x:c>
    </x:row>
    <x:row r="99" ht="68" customHeight="1">
      <x:c r="A99" s="8" t="str">
        <x:v>WA-0098</x:v>
      </x:c>
      <x:c r="B99" s="8" t="str">
        <x:v>EnvCraft</x:v>
      </x:c>
      <x:c r="C99" s="8" t="str">
        <x:v>EnvCraft: Synthesizing Executable Environments in Agentic RL for Claw-like Agent</x:v>
      </x:c>
      <x:c r="D99" s="9" t="n">
        <x:v>2026</x:v>
      </x:c>
      <x:c r="E99" s="8" t="str">
        <x:v>Harbin Institute of Technology, SCIR Lab; Peking University; Huawei Technologies; Tsinghua University</x:v>
      </x:c>
      <x:c r="F99" s="10" t="str">
        <x:f>VLOOKUP(H99,'Taxonomy'!$A$6:$G$70,3,FALSE)</x:f>
        <x:v>优化：从工作经验到系统能力</x:v>
      </x:c>
      <x:c r="G99" s="10" t="str">
        <x:f>VLOOKUP(H99,'Taxonomy'!$A$6:$G$70,5,FALSE)</x:f>
        <x:v>训练环境、数据与奖励</x:v>
      </x:c>
      <x:c r="H99" s="8" t="str">
        <x:v>5.1.1</x:v>
      </x:c>
      <x:c r="I99" s="10" t="str">
        <x:f>VLOOKUP(H99,'Taxonomy'!$A$6:$G$70,6,FALSE)</x:f>
        <x:v>任务与环境合成</x:v>
      </x:c>
      <x:c r="J99" s="8" t="str">
        <x:v>任务与环境合成;当前状态与版本有效性;工具、界面与应用执行</x:v>
      </x:c>
      <x:c r="K99" s="8" t="str">
        <x:v>规划与协调;执行与状态管理</x:v>
      </x:c>
      <x:c r="L99" s="8" t="str"/>
      <x:c r="M99" s="8" t="str">
        <x:v>任务与环境合成</x:v>
      </x:c>
      <x:c r="N99" s="8" t="str">
        <x:v>Method;Framework</x:v>
      </x:c>
      <x:c r="O99" s="11" t="str">
        <x:v>https://arxiv.org/abs/2609.05576</x:v>
      </x:c>
      <x:c r="P99" s="8" t="str">
        <x:v>合成沙箱隔离工作区，并利用任务拓扑生成跨工具和跨环境的连贯训练轨迹。</x:v>
      </x:c>
      <x:c r="Q99" s="8" t="str"/>
      <x:c r="R99" s="8" t="str"/>
      <x:c r="S99" s="8" t="str"/>
      <x:c r="T99" s="12" t="str">
        <x:v>未分配</x:v>
      </x:c>
      <x:c r="U99" s="12" t="str"/>
      <x:c r="V99" s="12" t="str"/>
      <x:c r="W99" s="12" t="str"/>
      <x:c r="X99" s="8" t="str">
        <x:v>verified</x:v>
      </x:c>
      <x:c r="Y99" s="11" t="str">
        <x:v>https://github.com/zeng-yirong/EnvCraft</x:v>
      </x:c>
      <x:c r="Z99" s="11" t="str">
        <x:v>https://huggingface.co/datasets/EnvCraft/EnvCraft-Data</x:v>
      </x:c>
      <x:c r="AA99" s="11" t="str">
        <x:v>https://arxiv.org/pdf/2609.05576</x:v>
      </x:c>
      <x:c r="AB99" s="11" t="str">
        <x:v>https://arxiv.org/abs/2609.05576</x:v>
      </x:c>
      <x:c r="AC99" s="8" t="str"/>
      <x:c r="AD99" s="8" t="str"/>
      <x:c r="AE99" s="8" t="str"/>
      <x:c r="AF99" s="8" t="str">
        <x:v>用于“任务与环境合成”：合成沙箱隔离工作区，并利用任务拓扑生成跨工具和跨环境的连贯训练轨迹。</x:v>
      </x:c>
      <x:c r="AG99" s="8" t="str">
        <x:v>workspace</x:v>
      </x:c>
      <x:c r="AH99" s="8" t="str">
        <x:v>Sandbox workspace and task-chain synthesis</x:v>
      </x:c>
      <x:c r="AI99" s="8" t="str">
        <x:v>98</x:v>
      </x:c>
      <x:c r="AJ99" s="8" t="str">
        <x:v>survey bibliography</x:v>
      </x:c>
      <x:c r="AK99" s="13" t="d">
        <x:v>2026-10-16T00:00:00.000Z</x:v>
      </x:c>
      <x:c r="AL99" s="8" t="str">
        <x:v>机构及资源链接取自 PDF 首页，HTML 未完整显示单位。 数据链接指向作者团队发布的 EnvCraft-Data；官方团队页面 https://huggingface.co/EnvCraft 另含环境集与模型。</x:v>
      </x:c>
      <x:c r="AM99" s="8" t="str">
        <x:v>5.1.1</x:v>
      </x:c>
    </x:row>
    <x:row r="100" ht="68" customHeight="1">
      <x:c r="A100" s="8" t="str">
        <x:v>WA-0099</x:v>
      </x:c>
      <x:c r="B100" s="8" t="str">
        <x:v>AgentMercury</x:v>
      </x:c>
      <x:c r="C100" s="8" t="str">
        <x:v>AgentMercury: Your Agent Can Synthesize Verifiable Environments for Business Scenarios at scale</x:v>
      </x:c>
      <x:c r="D100" s="9" t="n">
        <x:v>2026</x:v>
      </x:c>
      <x:c r="E100" s="8" t="str">
        <x:v>Meridian Intelligence Global Inc.; University of Massachusetts Amherst</x:v>
      </x:c>
      <x:c r="F100" s="10" t="str">
        <x:f>VLOOKUP(H100,'Taxonomy'!$A$6:$G$70,3,FALSE)</x:f>
        <x:v>优化：从工作经验到系统能力</x:v>
      </x:c>
      <x:c r="G100" s="10" t="str">
        <x:f>VLOOKUP(H100,'Taxonomy'!$A$6:$G$70,5,FALSE)</x:f>
        <x:v>训练环境、数据与奖励</x:v>
      </x:c>
      <x:c r="H100" s="8" t="str">
        <x:v>5.1.1</x:v>
      </x:c>
      <x:c r="I100" s="10" t="str">
        <x:f>VLOOKUP(H100,'Taxonomy'!$A$6:$G$70,6,FALSE)</x:f>
        <x:v>任务与环境合成</x:v>
      </x:c>
      <x:c r="J100" s="8" t="str">
        <x:v>任务与环境合成;当前状态与版本有效性;工具、界面与应用执行</x:v>
      </x:c>
      <x:c r="K100" s="8" t="str">
        <x:v>规划与协调;执行与状态管理;验证、恢复与重新规划</x:v>
      </x:c>
      <x:c r="L100" s="8" t="str">
        <x:v>7.1.1 职业与领域泛化</x:v>
      </x:c>
      <x:c r="M100" s="8" t="str">
        <x:v>任务与环境合成</x:v>
      </x:c>
      <x:c r="N100" s="8" t="str">
        <x:v>Method;Framework</x:v>
      </x:c>
      <x:c r="O100" s="11" t="str">
        <x:v>https://arxiv.org/abs/2608.20634</x:v>
      </x:c>
      <x:c r="P100" s="8" t="str">
        <x:v>先构建包含实体、服务、共享状态与跨服务不变量的业务世界，再生成任务和轨迹。</x:v>
      </x:c>
      <x:c r="Q100" s="8" t="str"/>
      <x:c r="R100" s="8" t="str"/>
      <x:c r="S100" s="8" t="str"/>
      <x:c r="T100" s="12" t="str">
        <x:v>未分配</x:v>
      </x:c>
      <x:c r="U100" s="12" t="str"/>
      <x:c r="V100" s="12" t="str"/>
      <x:c r="W100" s="12" t="str"/>
      <x:c r="X100" s="8" t="str">
        <x:v>verified</x:v>
      </x:c>
      <x:c r="Y100" s="11" t="str"/>
      <x:c r="Z100" s="11" t="str">
        <x:v>https://huggingface.co/datasets/Minbyul/AgentMercury-corpus-sample</x:v>
      </x:c>
      <x:c r="AA100" s="11" t="str">
        <x:v>https://arxiv.org/html/2608.20634v1</x:v>
      </x:c>
      <x:c r="AB100" s="11" t="str">
        <x:v>https://arxiv.org/abs/2608.20634</x:v>
      </x:c>
      <x:c r="AC100" s="8" t="str"/>
      <x:c r="AD100" s="8" t="str"/>
      <x:c r="AE100" s="8" t="str"/>
      <x:c r="AF100" s="8" t="str">
        <x:v>用于“任务与环境合成”：先构建包含实体、服务、共享状态与跨服务不变量的业务世界，再生成任务和轨迹。</x:v>
      </x:c>
      <x:c r="AG100" s="8" t="str">
        <x:v>tool-enterprise</x:v>
      </x:c>
      <x:c r="AH100" s="8" t="str">
        <x:v>Business-world-first environment synthesis</x:v>
      </x:c>
      <x:c r="AI100" s="8" t="str">
        <x:v>99</x:v>
      </x:c>
      <x:c r="AJ100" s="8" t="str">
        <x:v>survey bibliography</x:v>
      </x:c>
      <x:c r="AK100" s="13" t="d">
        <x:v>2026-10-16T00:00:00.000Z</x:v>
      </x:c>
      <x:c r="AL100" s="8" t="str">
        <x:v>数据链接为作者公开的 corpus sample，不能据此推断完整训练数据已公开；原合集 https://huggingface.co/collections/Minbyul/agentmercury。</x:v>
      </x:c>
      <x:c r="AM100" s="8" t="str">
        <x:v>5.1.1;7.1.1</x:v>
      </x:c>
    </x:row>
    <x:row r="101" ht="68" customHeight="1">
      <x:c r="A101" s="8" t="str">
        <x:v>WA-0100</x:v>
      </x:c>
      <x:c r="B101" s="8" t="str">
        <x:v>Skill2Env</x:v>
      </x:c>
      <x:c r="C101" s="8" t="str">
        <x:v>Skill2Env: Capability-Oriented Environment Synthesis from Skills for General Agents</x:v>
      </x:c>
      <x:c r="D101" s="9" t="n">
        <x:v>2026</x:v>
      </x:c>
      <x:c r="E101" s="8" t="str">
        <x:v>Pending verification</x:v>
      </x:c>
      <x:c r="F101" s="10" t="str">
        <x:f>VLOOKUP(H101,'Taxonomy'!$A$6:$G$70,3,FALSE)</x:f>
        <x:v>优化：从工作经验到系统能力</x:v>
      </x:c>
      <x:c r="G101" s="10" t="str">
        <x:f>VLOOKUP(H101,'Taxonomy'!$A$6:$G$70,5,FALSE)</x:f>
        <x:v>训练环境、数据与奖励</x:v>
      </x:c>
      <x:c r="H101" s="8" t="str">
        <x:v>5.1.1</x:v>
      </x:c>
      <x:c r="I101" s="10" t="str">
        <x:f>VLOOKUP(H101,'Taxonomy'!$A$6:$G$70,6,FALSE)</x:f>
        <x:v>任务与环境合成</x:v>
      </x:c>
      <x:c r="J101" s="8" t="str">
        <x:v>任务与环境合成;对象关系、来源与依赖;任务覆盖与泛化边界</x:v>
      </x:c>
      <x:c r="K101" s="8" t="str">
        <x:v>规划与协调;执行与状态管理;验证、恢复与重新规划</x:v>
      </x:c>
      <x:c r="L101" s="8" t="str">
        <x:v>7.4 以工作为中心的系统</x:v>
      </x:c>
      <x:c r="M101" s="8" t="str">
        <x:v>任务与环境合成</x:v>
      </x:c>
      <x:c r="N101" s="8" t="str">
        <x:v>Method;Framework</x:v>
      </x:c>
      <x:c r="O101" s="11" t="str">
        <x:v>https://arxiv.org/abs/2609.33772</x:v>
      </x:c>
      <x:c r="P101" s="8" t="str">
        <x:v>从技能与能力需求提炼难度模式和任务蓝图，用求解证据迭代强化环境与验收要求。</x:v>
      </x:c>
      <x:c r="Q101" s="8" t="str"/>
      <x:c r="R101" s="8" t="str"/>
      <x:c r="S101" s="8" t="str"/>
      <x:c r="T101" s="12" t="str">
        <x:v>未分配</x:v>
      </x:c>
      <x:c r="U101" s="12" t="str"/>
      <x:c r="V101" s="12" t="str"/>
      <x:c r="W101" s="12" t="str"/>
      <x:c r="X101" s="8" t="str">
        <x:v>metadata-only</x:v>
      </x:c>
      <x:c r="Y101" s="11" t="str">
        <x:v>https://github.com/AllSpark-Research/AgentEnv</x:v>
      </x:c>
      <x:c r="Z101" s="11" t="str"/>
      <x:c r="AA101" s="11" t="str">
        <x:v>https://arxiv.org/pdf/2609.33772</x:v>
      </x:c>
      <x:c r="AB101" s="11" t="str">
        <x:v>https://arxiv.org/abs/2609.33772</x:v>
      </x:c>
      <x:c r="AC101" s="8" t="str"/>
      <x:c r="AD101" s="8" t="str"/>
      <x:c r="AE101" s="8" t="str"/>
      <x:c r="AF101" s="8" t="str">
        <x:v>用于“任务与环境合成”：从技能与能力需求提炼难度模式和任务蓝图，用求解证据迭代强化环境与验收要求。</x:v>
      </x:c>
      <x:c r="AG101" s="8" t="str">
        <x:v>workspace</x:v>
      </x:c>
      <x:c r="AH101" s="8" t="str">
        <x:v>Skill-grounded capability-oriented environment synthesis</x:v>
      </x:c>
      <x:c r="AI101" s="8" t="str">
        <x:v>100</x:v>
      </x:c>
      <x:c r="AJ101" s="8" t="str">
        <x:v>survey bibliography</x:v>
      </x:c>
      <x:c r="AK101" s="13" t="d">
        <x:v>2026-10-16T00:00:00.000Z</x:v>
      </x:c>
      <x:c r="AL101" s="8" t="str">
        <x:v>当前 PDF/HTML 仅署名 AllSpark Team，不能据作者姓名或仓库归属推断法律单位；原 PDF 引文使用个人作者列表。</x:v>
      </x:c>
      <x:c r="AM101" s="8" t="str">
        <x:v>5.1.1;7.4</x:v>
      </x:c>
    </x:row>
    <x:row r="102" ht="68" customHeight="1">
      <x:c r="A102" s="8" t="str">
        <x:v>WA-0101</x:v>
      </x:c>
      <x:c r="B102" s="8" t="str">
        <x:v>EnterpriseLab</x:v>
      </x:c>
      <x:c r="C102" s="8" t="str">
        <x:v>EnterpriseLab: A Full-Stack Platform for developing and deploying agents in Enterprises</x:v>
      </x:c>
      <x:c r="D102" s="9" t="n">
        <x:v>2026</x:v>
      </x:c>
      <x:c r="E102" s="8" t="str">
        <x:v>Fujitsu Research India</x:v>
      </x:c>
      <x:c r="F102" s="10" t="str">
        <x:f>VLOOKUP(H102,'Taxonomy'!$A$6:$G$70,3,FALSE)</x:f>
        <x:v>优化：从工作经验到系统能力</x:v>
      </x:c>
      <x:c r="G102" s="10" t="str">
        <x:f>VLOOKUP(H102,'Taxonomy'!$A$6:$G$70,5,FALSE)</x:f>
        <x:v>训练环境、数据与奖励</x:v>
      </x:c>
      <x:c r="H102" s="8" t="str">
        <x:v>5.1.1</x:v>
      </x:c>
      <x:c r="I102" s="10" t="str">
        <x:f>VLOOKUP(H102,'Taxonomy'!$A$6:$G$70,6,FALSE)</x:f>
        <x:v>任务与环境合成</x:v>
      </x:c>
      <x:c r="J102" s="8" t="str">
        <x:v>任务与环境合成;轨迹采集与策划</x:v>
      </x:c>
      <x:c r="K102" s="8" t="str">
        <x:v>规划与协调;执行与状态管理</x:v>
      </x:c>
      <x:c r="L102" s="8" t="str">
        <x:v>5.1.2 轨迹采集与筛选</x:v>
      </x:c>
      <x:c r="M102" s="8" t="str">
        <x:v>任务与环境合成;轨迹收集与筛选</x:v>
      </x:c>
      <x:c r="N102" s="8" t="str">
        <x:v>Framework</x:v>
      </x:c>
      <x:c r="O102" s="11" t="str">
        <x:v>https://arxiv.org/abs/2603.21630</x:v>
      </x:c>
      <x:c r="P102" s="8" t="str">
        <x:v>统一 MCP 企业工具、基于 schema 的轨迹合成、训练及持续评测，闭合开发部署流程。</x:v>
      </x:c>
      <x:c r="Q102" s="8" t="str"/>
      <x:c r="R102" s="8" t="str"/>
      <x:c r="S102" s="8" t="str"/>
      <x:c r="T102" s="12" t="str">
        <x:v>未分配</x:v>
      </x:c>
      <x:c r="U102" s="12" t="str"/>
      <x:c r="V102" s="12" t="str"/>
      <x:c r="W102" s="12" t="str"/>
      <x:c r="X102" s="8" t="str">
        <x:v>verified</x:v>
      </x:c>
      <x:c r="Y102" s="11" t="str"/>
      <x:c r="Z102" s="11" t="str"/>
      <x:c r="AA102" s="11" t="str">
        <x:v>https://arxiv.org/html/2603.21630v1</x:v>
      </x:c>
      <x:c r="AB102" s="11" t="str">
        <x:v>https://arxiv.org/abs/2603.21630</x:v>
      </x:c>
      <x:c r="AC102" s="8" t="str"/>
      <x:c r="AD102" s="8" t="str"/>
      <x:c r="AE102" s="8" t="str"/>
      <x:c r="AF102" s="8" t="str">
        <x:v>用于“任务与环境合成”：统一 MCP 企业工具、基于 schema 的轨迹合成、训练及持续评测，闭合开发部署流程。</x:v>
      </x:c>
      <x:c r="AG102" s="8" t="str">
        <x:v>tool-enterprise</x:v>
      </x:c>
      <x:c r="AH102" s="8" t="str">
        <x:v>Integrated enterprise agent development and training</x:v>
      </x:c>
      <x:c r="AI102" s="8" t="str">
        <x:v>101</x:v>
      </x:c>
      <x:c r="AJ102" s="8" t="str">
        <x:v>survey bibliography</x:v>
      </x:c>
      <x:c r="AK102" s="13" t="d">
        <x:v>2026-10-16T00:00:00.000Z</x:v>
      </x:c>
      <x:c r="AL102" s="8" t="str"/>
      <x:c r="AM102" s="8" t="str">
        <x:v>5.1.1;5.1.2</x:v>
      </x:c>
    </x:row>
    <x:row r="103" ht="68" customHeight="1">
      <x:c r="A103" s="8" t="str">
        <x:v>WA-0102</x:v>
      </x:c>
      <x:c r="B103" s="8" t="str">
        <x:v>SEE</x:v>
      </x:c>
      <x:c r="C103" s="8" t="str">
        <x:v>SEE: Structure-aware Exploring &amp; Exploiting for Long-horizon GUI Agent Trajectory Synthesis</x:v>
      </x:c>
      <x:c r="D103" s="9" t="n">
        <x:v>2026</x:v>
      </x:c>
      <x:c r="E103" s="8" t="str">
        <x:v>Harbin Institute of Technology, Weihai; Qingdao Research Institute; Independent researchers</x:v>
      </x:c>
      <x:c r="F103" s="10" t="str">
        <x:f>VLOOKUP(H103,'Taxonomy'!$A$6:$G$70,3,FALSE)</x:f>
        <x:v>优化：从工作经验到系统能力</x:v>
      </x:c>
      <x:c r="G103" s="10" t="str">
        <x:f>VLOOKUP(H103,'Taxonomy'!$A$6:$G$70,5,FALSE)</x:f>
        <x:v>训练环境、数据与奖励</x:v>
      </x:c>
      <x:c r="H103" s="8" t="str">
        <x:v>5.1.2</x:v>
      </x:c>
      <x:c r="I103" s="10" t="str">
        <x:f>VLOOKUP(H103,'Taxonomy'!$A$6:$G$70,6,FALSE)</x:f>
        <x:v>轨迹采集与筛选</x:v>
      </x:c>
      <x:c r="J103" s="8" t="str">
        <x:v>轨迹采集与策划</x:v>
      </x:c>
      <x:c r="K103" s="8" t="str">
        <x:v>感知与理解;规划与协调;执行与状态管理;验证、恢复与重新规划</x:v>
      </x:c>
      <x:c r="L103" s="8" t="str">
        <x:v>5.1.1 任务与环境合成</x:v>
      </x:c>
      <x:c r="M103" s="8" t="str">
        <x:v>轨迹收集与筛选</x:v>
      </x:c>
      <x:c r="N103" s="8" t="str">
        <x:v>Method;Framework</x:v>
      </x:c>
      <x:c r="O103" s="11" t="str">
        <x:v>https://arxiv.org/abs/2607.18046</x:v>
      </x:c>
      <x:c r="P103" s="8" t="str">
        <x:v>先探索显式 UI 转移图，再以图规划和受控采样合成覆盖更全的长程 GUI 轨迹。</x:v>
      </x:c>
      <x:c r="Q103" s="8" t="str"/>
      <x:c r="R103" s="8" t="str"/>
      <x:c r="S103" s="8" t="str"/>
      <x:c r="T103" s="12" t="str">
        <x:v>未分配</x:v>
      </x:c>
      <x:c r="U103" s="12" t="str"/>
      <x:c r="V103" s="12" t="str"/>
      <x:c r="W103" s="12" t="str"/>
      <x:c r="X103" s="8" t="str">
        <x:v>verified</x:v>
      </x:c>
      <x:c r="Y103" s="11" t="str">
        <x:v>https://github.com/Zhh-Fan/SEE-Structure-aware-Exploring-Exploiting-for-Long-horizon-GUI-Agent-Trajectory-Synthesis</x:v>
      </x:c>
      <x:c r="Z103" s="11" t="str"/>
      <x:c r="AA103" s="11" t="str">
        <x:v>https://arxiv.org/html/2607.18046v2</x:v>
      </x:c>
      <x:c r="AB103" s="11" t="str">
        <x:v>https://arxiv.org/abs/2607.18046</x:v>
      </x:c>
      <x:c r="AC103" s="8" t="str"/>
      <x:c r="AD103" s="8" t="str"/>
      <x:c r="AE103" s="8" t="str"/>
      <x:c r="AF103" s="8" t="str">
        <x:v>用于“轨迹采集与筛选”：先探索显式 UI 转移图，再以图规划和受控采样合成覆盖更全的长程 GUI 轨迹。</x:v>
      </x:c>
      <x:c r="AG103" s="8" t="str">
        <x:v>computer-use</x:v>
      </x:c>
      <x:c r="AH103" s="8" t="str">
        <x:v>UI-transition-graph trajectory synthesis</x:v>
      </x:c>
      <x:c r="AI103" s="8" t="str">
        <x:v>102</x:v>
      </x:c>
      <x:c r="AJ103" s="8" t="str">
        <x:v>survey bibliography</x:v>
      </x:c>
      <x:c r="AK103" s="13" t="d">
        <x:v>2026-10-16T00:00:00.000Z</x:v>
      </x:c>
      <x:c r="AL103" s="8" t="str">
        <x:v>数位作者首页仅写 Researcher, Beijing，未推断雇主；HTML 的会议模板字段不作为已录用证据。</x:v>
      </x:c>
      <x:c r="AM103" s="8" t="str">
        <x:v>5.1.1;5.1.2</x:v>
      </x:c>
    </x:row>
    <x:row r="104" ht="194" customHeight="1">
      <x:c r="A104" s="8" t="str">
        <x:v>WA-0103</x:v>
      </x:c>
      <x:c r="B104" s="8" t="str">
        <x:v>OpenThoughts-Agent</x:v>
      </x:c>
      <x:c r="C104" s="8" t="str">
        <x:v>OpenThoughts-Agent: Data Recipes for Agentic Models</x:v>
      </x:c>
      <x:c r="D104" s="9" t="n">
        <x:v>2026</x:v>
      </x:c>
      <x:c r="E104" s="8" t="str">
        <x:v>UC Berkeley; Stanford University; Jülich Supercomputing Centre; LAION; Open-Ψ (Open-Sci) Collective; University of Texas at Austin; Bespoke Labs; Laude Institute; UCLA; Harvard University and Harvard Medical School; Technical University of Munich and Munich Center for Machine Learning; New York University; Medical University of South Carolina; The LLM Data Company; Oumi.AI; BenchFlow; Northeastern University; University of Wisconsin–Madison; University of Washington; TU Darmstadt; University of Southern California; UC San Diego; Amazon; Microsoft; Korea University; Cornell Tech; University of Michigan; Independent researchers</x:v>
      </x:c>
      <x:c r="F104" s="10" t="str">
        <x:f>VLOOKUP(H104,'Taxonomy'!$A$6:$G$70,3,FALSE)</x:f>
        <x:v>优化：从工作经验到系统能力</x:v>
      </x:c>
      <x:c r="G104" s="10" t="str">
        <x:f>VLOOKUP(H104,'Taxonomy'!$A$6:$G$70,5,FALSE)</x:f>
        <x:v>训练环境、数据与奖励</x:v>
      </x:c>
      <x:c r="H104" s="8" t="str">
        <x:v>5.1.2</x:v>
      </x:c>
      <x:c r="I104" s="10" t="str">
        <x:f>VLOOKUP(H104,'Taxonomy'!$A$6:$G$70,6,FALSE)</x:f>
        <x:v>轨迹采集与筛选</x:v>
      </x:c>
      <x:c r="J104" s="8" t="str">
        <x:v>轨迹采集与策划</x:v>
      </x:c>
      <x:c r="K104" s="8" t="str">
        <x:v>执行与状态管理</x:v>
      </x:c>
      <x:c r="L104" s="8" t="str">
        <x:v>5.1.1 任务与环境合成</x:v>
      </x:c>
      <x:c r="M104" s="8" t="str">
        <x:v>轨迹收集与筛选</x:v>
      </x:c>
      <x:c r="N104" s="8" t="str">
        <x:v>Method;Framework</x:v>
      </x:c>
      <x:c r="O104" s="11" t="str">
        <x:v>https://arxiv.org/abs/2606.24855</x:v>
      </x:c>
      <x:c r="P104" s="8" t="str">
        <x:v>通过受控消融分析任务来源与数据多样性，公开跨多种 agent 任务的数据策划和训练流程。</x:v>
      </x:c>
      <x:c r="Q104" s="8" t="str"/>
      <x:c r="R104" s="8" t="str"/>
      <x:c r="S104" s="8" t="str"/>
      <x:c r="T104" s="12" t="str">
        <x:v>未分配</x:v>
      </x:c>
      <x:c r="U104" s="12" t="str"/>
      <x:c r="V104" s="12" t="str"/>
      <x:c r="W104" s="12" t="str"/>
      <x:c r="X104" s="8" t="str">
        <x:v>verified</x:v>
      </x:c>
      <x:c r="Y104" s="11" t="str">
        <x:v>https://github.com/open-thoughts/OpenThoughts-Agent</x:v>
      </x:c>
      <x:c r="Z104" s="11" t="str"/>
      <x:c r="AA104" s="11" t="str">
        <x:v>https://arxiv.org/html/2606.24855v1</x:v>
      </x:c>
      <x:c r="AB104" s="11" t="str">
        <x:v>https://arxiv.org/abs/2606.24855</x:v>
      </x:c>
      <x:c r="AC104" s="8" t="str"/>
      <x:c r="AD104" s="8" t="str"/>
      <x:c r="AE104" s="8" t="str"/>
      <x:c r="AF104" s="8" t="str">
        <x:v>用于“轨迹采集与筛选”：通过受控消融分析任务来源与数据多样性，公开跨多种 agent 任务的数据策划和训练流程。</x:v>
      </x:c>
      <x:c r="AG104" s="8" t="str">
        <x:v>harness</x:v>
      </x:c>
      <x:c r="AH104" s="8" t="str">
        <x:v>Open agentic data curation recipes</x:v>
      </x:c>
      <x:c r="AI104" s="8" t="str">
        <x:v>103</x:v>
      </x:c>
      <x:c r="AJ104" s="8" t="str">
        <x:v>survey bibliography</x:v>
      </x:c>
      <x:c r="AK104" s="13" t="d">
        <x:v>2026-10-16T00:00:00.000Z</x:v>
      </x:c>
      <x:c r="AL104" s="8" t="str"/>
      <x:c r="AM104" s="8" t="str">
        <x:v>5.1.1;5.1.2</x:v>
      </x:c>
    </x:row>
    <x:row r="105" ht="68" customHeight="1">
      <x:c r="A105" s="8" t="str">
        <x:v>WA-0104</x:v>
      </x:c>
      <x:c r="B105" s="8" t="str">
        <x:v>CurateEvo</x:v>
      </x:c>
      <x:c r="C105" s="8" t="str">
        <x:v>CurateEvo: Data-Curation Evolving for Agentic Post-Training</x:v>
      </x:c>
      <x:c r="D105" s="9" t="n">
        <x:v>2026</x:v>
      </x:c>
      <x:c r="E105" s="8" t="str">
        <x:v>Harbin Institute of Technology</x:v>
      </x:c>
      <x:c r="F105" s="10" t="str">
        <x:f>VLOOKUP(H105,'Taxonomy'!$A$6:$G$70,3,FALSE)</x:f>
        <x:v>优化：从工作经验到系统能力</x:v>
      </x:c>
      <x:c r="G105" s="10" t="str">
        <x:f>VLOOKUP(H105,'Taxonomy'!$A$6:$G$70,5,FALSE)</x:f>
        <x:v>训练环境、数据与奖励</x:v>
      </x:c>
      <x:c r="H105" s="8" t="str">
        <x:v>5.1.2</x:v>
      </x:c>
      <x:c r="I105" s="10" t="str">
        <x:f>VLOOKUP(H105,'Taxonomy'!$A$6:$G$70,6,FALSE)</x:f>
        <x:v>轨迹采集与筛选</x:v>
      </x:c>
      <x:c r="J105" s="8" t="str">
        <x:v>轨迹采集与策划;上下文与记忆管理</x:v>
      </x:c>
      <x:c r="K105" s="8" t="str">
        <x:v>推理与决策;执行与状态管理</x:v>
      </x:c>
      <x:c r="L105" s="8" t="str">
        <x:v>5.1.1 任务与环境合成</x:v>
      </x:c>
      <x:c r="M105" s="8" t="str">
        <x:v>轨迹收集与筛选</x:v>
      </x:c>
      <x:c r="N105" s="8" t="str">
        <x:v>Method</x:v>
      </x:c>
      <x:c r="O105" s="11" t="str">
        <x:v>https://arxiv.org/abs/2607.06140</x:v>
      </x:c>
      <x:c r="P105" s="8" t="str">
        <x:v>把数据策划策略表示为可执行代码，依据开发集失败轨迹演化过滤、修订及训练数据与记忆库。</x:v>
      </x:c>
      <x:c r="Q105" s="8" t="str"/>
      <x:c r="R105" s="8" t="str"/>
      <x:c r="S105" s="8" t="str"/>
      <x:c r="T105" s="12" t="str">
        <x:v>未分配</x:v>
      </x:c>
      <x:c r="U105" s="12" t="str"/>
      <x:c r="V105" s="12" t="str"/>
      <x:c r="W105" s="12" t="str"/>
      <x:c r="X105" s="8" t="str">
        <x:v>verified</x:v>
      </x:c>
      <x:c r="Y105" s="11" t="str"/>
      <x:c r="Z105" s="11" t="str"/>
      <x:c r="AA105" s="11" t="str">
        <x:v>https://arxiv.org/html/2607.06140v1</x:v>
      </x:c>
      <x:c r="AB105" s="11" t="str">
        <x:v>https://arxiv.org/abs/2607.06140</x:v>
      </x:c>
      <x:c r="AC105" s="8" t="str"/>
      <x:c r="AD105" s="8" t="str"/>
      <x:c r="AE105" s="8" t="str"/>
      <x:c r="AF105" s="8" t="str">
        <x:v>用于“轨迹采集与筛选”：把数据策划策略表示为可执行代码，依据开发集失败轨迹演化过滤、修订及训练数据与记忆库。</x:v>
      </x:c>
      <x:c r="AG105" s="8" t="str">
        <x:v>harness</x:v>
      </x:c>
      <x:c r="AH105" s="8" t="str">
        <x:v>Failure-driven executable data curation evolution</x:v>
      </x:c>
      <x:c r="AI105" s="8" t="str">
        <x:v>104</x:v>
      </x:c>
      <x:c r="AJ105" s="8" t="str">
        <x:v>survey bibliography</x:v>
      </x:c>
      <x:c r="AK105" s="13" t="d">
        <x:v>2026-10-16T00:00:00.000Z</x:v>
      </x:c>
      <x:c r="AL105" s="8" t="str"/>
      <x:c r="AM105" s="8" t="str">
        <x:v>5.1.1;5.1.2</x:v>
      </x:c>
    </x:row>
    <x:row r="106" ht="68" customHeight="1">
      <x:c r="A106" s="8" t="str">
        <x:v>WA-0105</x:v>
      </x:c>
      <x:c r="B106" s="8" t="str">
        <x:v>Spreadsheet-RL</x:v>
      </x:c>
      <x:c r="C106" s="8" t="str">
        <x:v>Spreadsheet-RL: Advancing Large Language Model Agents on Realistic Spreadsheet Tasks via Reinforcement Learning</x:v>
      </x:c>
      <x:c r="D106" s="9" t="n">
        <x:v>2026</x:v>
      </x:c>
      <x:c r="E106" s="8" t="str">
        <x:v>University of Illinois Urbana-Champaign; Meta</x:v>
      </x:c>
      <x:c r="F106" s="10" t="str">
        <x:f>VLOOKUP(H106,'Taxonomy'!$A$6:$G$70,3,FALSE)</x:f>
        <x:v>优化：从工作经验到系统能力</x:v>
      </x:c>
      <x:c r="G106" s="10" t="str">
        <x:f>VLOOKUP(H106,'Taxonomy'!$A$6:$G$70,5,FALSE)</x:f>
        <x:v>模型优化</x:v>
      </x:c>
      <x:c r="H106" s="8" t="str">
        <x:v>5.2.2</x:v>
      </x:c>
      <x:c r="I106" s="10" t="str">
        <x:f>VLOOKUP(H106,'Taxonomy'!$A$6:$G$70,6,FALSE)</x:f>
        <x:v>智能体强化学习</x:v>
      </x:c>
      <x:c r="J106" s="8" t="str">
        <x:v>任务与环境合成;训练奖励与可验证信号;模型参数学习;模型与运行框架耦合;原生工件生成与编辑</x:v>
      </x:c>
      <x:c r="K106" s="8" t="str">
        <x:v>规划与协调;执行与状态管理;验证、恢复与重新规划</x:v>
      </x:c>
      <x:c r="L106" s="8" t="str">
        <x:v>5.1.1 任务与环境合成;5.1.3 奖励与验证信号;5.4.1 运行框架感知训练</x:v>
      </x:c>
      <x:c r="M106" s="8" t="str">
        <x:v>任务与环境合成;奖励与验证信号;智能体强化学习;模型与运行框架耦合优化</x:v>
      </x:c>
      <x:c r="N106" s="8" t="str">
        <x:v>Method;Framework</x:v>
      </x:c>
      <x:c r="O106" s="11" t="str">
        <x:v>https://arxiv.org/abs/2605.22642</x:v>
      </x:c>
      <x:c r="P106" s="8" t="str">
        <x:v>从论坛收集初始与目标工作簿，在真实 Excel 环境中以执行和工件检查训练表格 agent。</x:v>
      </x:c>
      <x:c r="Q106" s="8" t="str"/>
      <x:c r="R106" s="8" t="str"/>
      <x:c r="S106" s="8" t="str"/>
      <x:c r="T106" s="12" t="str">
        <x:v>未分配</x:v>
      </x:c>
      <x:c r="U106" s="12" t="str"/>
      <x:c r="V106" s="12" t="str"/>
      <x:c r="W106" s="12" t="str"/>
      <x:c r="X106" s="8" t="str">
        <x:v>verified</x:v>
      </x:c>
      <x:c r="Y106" s="11" t="str">
        <x:v>https://github.com/Spreadsheet-RL/Spreadsheet-RL</x:v>
      </x:c>
      <x:c r="Z106" s="11" t="str">
        <x:v>https://huggingface.co/datasets/Spreadsheet-RL/Spreadsheet-RL</x:v>
      </x:c>
      <x:c r="AA106" s="11" t="str">
        <x:v>https://arxiv.org/html/2605.22642v1</x:v>
      </x:c>
      <x:c r="AB106" s="11" t="str">
        <x:v>https://arxiv.org/abs/2605.22642</x:v>
      </x:c>
      <x:c r="AC106" s="8" t="str">
        <x:v>AIO-050</x:v>
      </x:c>
      <x:c r="AD106" s="8" t="str"/>
      <x:c r="AE106" s="8" t="str"/>
      <x:c r="AF106" s="8" t="str">
        <x:v>用于“智能体强化学习”：从论坛收集初始与目标工作簿，在真实 Excel 环境中以执行和工件检查训练表格 agent。</x:v>
      </x:c>
      <x:c r="AG106" s="8" t="str">
        <x:v>artifact</x:v>
      </x:c>
      <x:c r="AH106" s="8" t="str">
        <x:v>Spreadsheet task synthesis and reinforcement learning</x:v>
      </x:c>
      <x:c r="AI106" s="8" t="str">
        <x:v>105</x:v>
      </x:c>
      <x:c r="AJ106" s="8" t="str">
        <x:v>survey bibliography;2026-10-16 AI Office survey bibliography</x:v>
      </x:c>
      <x:c r="AK106" s="13" t="d">
        <x:v>2026-10-16T00:00:00.000Z</x:v>
      </x:c>
      <x:c r="AL106" s="8" t="str"/>
      <x:c r="AM106" s="8" t="str">
        <x:v>5.1.1;5.1.3;5.2.2;5.4.1</x:v>
      </x:c>
    </x:row>
    <x:row r="107" ht="68" customHeight="1">
      <x:c r="A107" s="8" t="str">
        <x:v>WA-0106</x:v>
      </x:c>
      <x:c r="B107" s="8" t="str">
        <x:v>Anchor</x:v>
      </x:c>
      <x:c r="C107" s="8" t="str">
        <x:v>Anchor: Mitigating Artifact Drift in Agent Benchmark Generation</x:v>
      </x:c>
      <x:c r="D107" s="9" t="n">
        <x:v>2026</x:v>
      </x:c>
      <x:c r="E107" s="8" t="str">
        <x:v>Agentic Labs</x:v>
      </x:c>
      <x:c r="F107" s="10" t="str">
        <x:f>VLOOKUP(H107,'Taxonomy'!$A$6:$G$70,3,FALSE)</x:f>
        <x:v>优化：从工作经验到系统能力</x:v>
      </x:c>
      <x:c r="G107" s="10" t="str">
        <x:f>VLOOKUP(H107,'Taxonomy'!$A$6:$G$70,5,FALSE)</x:f>
        <x:v>训练环境、数据与奖励</x:v>
      </x:c>
      <x:c r="H107" s="8" t="str">
        <x:v>5.1.3</x:v>
      </x:c>
      <x:c r="I107" s="10" t="str">
        <x:f>VLOOKUP(H107,'Taxonomy'!$A$6:$G$70,6,FALSE)</x:f>
        <x:v>奖励与验证信号</x:v>
      </x:c>
      <x:c r="J107" s="8" t="str">
        <x:v>任务与环境合成;训练奖励与可验证信号;提交、幂等与副作用;成果与实际状态核验</x:v>
      </x:c>
      <x:c r="K107" s="8" t="str">
        <x:v>执行与状态管理;验证、恢复与重新规划</x:v>
      </x:c>
      <x:c r="L107" s="8" t="str">
        <x:v>5.1.1 任务与环境合成</x:v>
      </x:c>
      <x:c r="M107" s="8" t="str">
        <x:v>任务与环境合成;奖励与验证信号</x:v>
      </x:c>
      <x:c r="N107" s="8" t="str">
        <x:v>Method;Framework</x:v>
      </x:c>
      <x:c r="O107" s="11" t="str">
        <x:v>https://arxiv.org/abs/2605.26321</x:v>
      </x:c>
      <x:c r="P107" s="8" t="str">
        <x:v>从同一约束优化规格共同生成任务、环境、求解器认证解和状态验证器，减少工件漂移。</x:v>
      </x:c>
      <x:c r="Q107" s="8" t="str"/>
      <x:c r="R107" s="8" t="str"/>
      <x:c r="S107" s="8" t="str"/>
      <x:c r="T107" s="12" t="str">
        <x:v>未分配</x:v>
      </x:c>
      <x:c r="U107" s="12" t="str"/>
      <x:c r="V107" s="12" t="str"/>
      <x:c r="W107" s="12" t="str"/>
      <x:c r="X107" s="8" t="str">
        <x:v>verified</x:v>
      </x:c>
      <x:c r="Y107" s="11" t="str"/>
      <x:c r="Z107" s="11" t="str"/>
      <x:c r="AA107" s="11" t="str">
        <x:v>https://arxiv.org/html/2605.26321v1</x:v>
      </x:c>
      <x:c r="AB107" s="11" t="str">
        <x:v>https://arxiv.org/abs/2605.26321</x:v>
      </x:c>
      <x:c r="AC107" s="8" t="str"/>
      <x:c r="AD107" s="8" t="str"/>
      <x:c r="AE107" s="8" t="str"/>
      <x:c r="AF107" s="8" t="str">
        <x:v>用于“奖励与验证信号”：从同一约束优化规格共同生成任务、环境、求解器认证解和状态验证器，减少工件漂移。</x:v>
      </x:c>
      <x:c r="AG107" s="8" t="str">
        <x:v>verification</x:v>
      </x:c>
      <x:c r="AH107" s="8" t="str">
        <x:v>Constraint-certified task–environment–verifier generation</x:v>
      </x:c>
      <x:c r="AI107" s="8" t="str">
        <x:v>106</x:v>
      </x:c>
      <x:c r="AJ107" s="8" t="str">
        <x:v>survey bibliography</x:v>
      </x:c>
      <x:c r="AK107" s="13" t="d">
        <x:v>2026-10-16T00:00:00.000Z</x:v>
      </x:c>
      <x:c r="AL107" s="8" t="str"/>
      <x:c r="AM107" s="8" t="str">
        <x:v>5.1.1;5.1.3</x:v>
      </x:c>
    </x:row>
    <x:row r="108" ht="68" customHeight="1">
      <x:c r="A108" s="8" t="str">
        <x:v>WA-0107</x:v>
      </x:c>
      <x:c r="B108" s="8" t="str">
        <x:v>AeSlides</x:v>
      </x:c>
      <x:c r="C108" s="8" t="str">
        <x:v>AeSlides: Incentivizing Aesthetic Layout in LLM-Based Slide Generation via Verifiable Rewards</x:v>
      </x:c>
      <x:c r="D108" s="9" t="n">
        <x:v>2026</x:v>
      </x:c>
      <x:c r="E108" s="8" t="str">
        <x:v>Beijing Institute of Technology; Zhipu AI (Z.ai)</x:v>
      </x:c>
      <x:c r="F108" s="10" t="str">
        <x:f>VLOOKUP(H108,'Taxonomy'!$A$6:$G$70,3,FALSE)</x:f>
        <x:v>优化：从工作经验到系统能力</x:v>
      </x:c>
      <x:c r="G108" s="10" t="str">
        <x:f>VLOOKUP(H108,'Taxonomy'!$A$6:$G$70,5,FALSE)</x:f>
        <x:v>训练环境、数据与奖励</x:v>
      </x:c>
      <x:c r="H108" s="8" t="str">
        <x:v>5.1.3</x:v>
      </x:c>
      <x:c r="I108" s="10" t="str">
        <x:f>VLOOKUP(H108,'Taxonomy'!$A$6:$G$70,6,FALSE)</x:f>
        <x:v>奖励与验证信号</x:v>
      </x:c>
      <x:c r="J108" s="8" t="str">
        <x:v>训练奖励与可验证信号;模型参数学习;原生工件生成与编辑</x:v>
      </x:c>
      <x:c r="K108" s="8" t="str">
        <x:v>感知与理解;执行与状态管理;验证、恢复与重新规划</x:v>
      </x:c>
      <x:c r="L108" s="8" t="str">
        <x:v>5.1.1 任务与环境合成;5.2.2 智能体强化学习;7.3.3 质量判断与使用价值</x:v>
      </x:c>
      <x:c r="M108" s="8" t="str">
        <x:v>奖励与验证信号;智能体强化学习</x:v>
      </x:c>
      <x:c r="N108" s="8" t="str">
        <x:v>Method</x:v>
      </x:c>
      <x:c r="O108" s="11" t="str">
        <x:v>https://arxiv.org/abs/2604.22840</x:v>
      </x:c>
      <x:c r="P108" s="8" t="str">
        <x:v>把可计算的版式美学指标转为可验证奖励，训练生成视觉布局更协调的幻灯片。</x:v>
      </x:c>
      <x:c r="Q108" s="8" t="str"/>
      <x:c r="R108" s="8" t="str"/>
      <x:c r="S108" s="8" t="str"/>
      <x:c r="T108" s="12" t="str">
        <x:v>未分配</x:v>
      </x:c>
      <x:c r="U108" s="12" t="str"/>
      <x:c r="V108" s="12" t="str"/>
      <x:c r="W108" s="12" t="str"/>
      <x:c r="X108" s="8" t="str">
        <x:v>verified</x:v>
      </x:c>
      <x:c r="Y108" s="11" t="str">
        <x:v>https://github.com/ympan0508/aeslides</x:v>
      </x:c>
      <x:c r="Z108" s="11" t="str"/>
      <x:c r="AA108" s="11" t="str">
        <x:v>https://arxiv.org/html/2604.22840v1</x:v>
      </x:c>
      <x:c r="AB108" s="11" t="str">
        <x:v>https://arxiv.org/abs/2604.22840</x:v>
      </x:c>
      <x:c r="AC108" s="8" t="str">
        <x:v>AIO-189</x:v>
      </x:c>
      <x:c r="AD108" s="8" t="str"/>
      <x:c r="AE108" s="8" t="str"/>
      <x:c r="AF108" s="8" t="str">
        <x:v>用于“奖励与验证信号”：把可计算的版式美学指标转为可验证奖励，训练生成视觉布局更协调的幻灯片。</x:v>
      </x:c>
      <x:c r="AG108" s="8" t="str">
        <x:v>artifact</x:v>
      </x:c>
      <x:c r="AH108" s="8" t="str">
        <x:v>Verifiable aesthetic rewards for slide RL</x:v>
      </x:c>
      <x:c r="AI108" s="8" t="str">
        <x:v>107</x:v>
      </x:c>
      <x:c r="AJ108" s="8" t="str">
        <x:v>survey bibliography;2026-10-16 AI Office survey bibliography</x:v>
      </x:c>
      <x:c r="AK108" s="13" t="d">
        <x:v>2026-10-16T00:00:00.000Z</x:v>
      </x:c>
      <x:c r="AL108" s="8" t="str">
        <x:v>首页含示例 DOI/ISBN 及 2018 模板年份；不将这些占位字段当正式元数据。</x:v>
      </x:c>
      <x:c r="AM108" s="8" t="str">
        <x:v>5.1.1;5.1.3;5.2.2;7.3.3</x:v>
      </x:c>
    </x:row>
    <x:row r="109" ht="68" customHeight="1">
      <x:c r="A109" s="8" t="str">
        <x:v>WA-0108</x:v>
      </x:c>
      <x:c r="B109" s="8" t="str">
        <x:v>SlideRL / Learning to Present</x:v>
      </x:c>
      <x:c r="C109" s="8" t="str">
        <x:v>Learning to Present: Inverse Specification Rewards for Agentic Slide Generation</x:v>
      </x:c>
      <x:c r="D109" s="9" t="n">
        <x:v>2026</x:v>
      </x:c>
      <x:c r="E109" s="8" t="str">
        <x:v>Tavus Inc.; University of Texas at Dallas; Texas A&amp;M University</x:v>
      </x:c>
      <x:c r="F109" s="10" t="str">
        <x:f>VLOOKUP(H109,'Taxonomy'!$A$6:$G$70,3,FALSE)</x:f>
        <x:v>优化：从工作经验到系统能力</x:v>
      </x:c>
      <x:c r="G109" s="10" t="str">
        <x:f>VLOOKUP(H109,'Taxonomy'!$A$6:$G$70,5,FALSE)</x:f>
        <x:v>训练环境、数据与奖励</x:v>
      </x:c>
      <x:c r="H109" s="8" t="str">
        <x:v>5.1.3</x:v>
      </x:c>
      <x:c r="I109" s="10" t="str">
        <x:f>VLOOKUP(H109,'Taxonomy'!$A$6:$G$70,6,FALSE)</x:f>
        <x:v>奖励与验证信号</x:v>
      </x:c>
      <x:c r="J109" s="8" t="str">
        <x:v>训练奖励与可验证信号;模型参数学习;原生工件生成与编辑</x:v>
      </x:c>
      <x:c r="K109" s="8" t="str">
        <x:v>规划与协调;执行与状态管理;验证、恢复与重新规划</x:v>
      </x:c>
      <x:c r="L109" s="8" t="str">
        <x:v>5.1.1 任务与环境合成;5.2.2 智能体强化学习</x:v>
      </x:c>
      <x:c r="M109" s="8" t="str">
        <x:v>奖励与验证信号;智能体强化学习</x:v>
      </x:c>
      <x:c r="N109" s="8" t="str">
        <x:v>Method;Framework</x:v>
      </x:c>
      <x:c r="O109" s="11" t="str">
        <x:v>https://arxiv.org/abs/2603.16839</x:v>
      </x:c>
      <x:c r="P109" s="8" t="str">
        <x:v>构建 OpenEnv 兼容的 HTML 幻灯片 RL 环境，以逆向恢复需求的奖励联合结构、内容和视觉质量。</x:v>
      </x:c>
      <x:c r="Q109" s="8" t="str"/>
      <x:c r="R109" s="8" t="str"/>
      <x:c r="S109" s="8" t="str"/>
      <x:c r="T109" s="12" t="str">
        <x:v>未分配</x:v>
      </x:c>
      <x:c r="U109" s="12" t="str"/>
      <x:c r="V109" s="12" t="str"/>
      <x:c r="W109" s="12" t="str"/>
      <x:c r="X109" s="8" t="str">
        <x:v>verified</x:v>
      </x:c>
      <x:c r="Y109" s="11" t="str">
        <x:v>https://github.com/pushing-the-frontier/slide-forge-llm</x:v>
      </x:c>
      <x:c r="Z109" s="11" t="str">
        <x:v>https://huggingface.co/datasets/KarthikRagunathAnandaKumar/sliderl-multi-turn-rollouts</x:v>
      </x:c>
      <x:c r="AA109" s="11" t="str">
        <x:v>https://arxiv.org/html/2603.16839v1</x:v>
      </x:c>
      <x:c r="AB109" s="11" t="str">
        <x:v>https://arxiv.org/abs/2603.16839</x:v>
      </x:c>
      <x:c r="AC109" s="8" t="str">
        <x:v>AIO-011</x:v>
      </x:c>
      <x:c r="AD109" s="8" t="str"/>
      <x:c r="AE109" s="8" t="str"/>
      <x:c r="AF109" s="8" t="str">
        <x:v>用于“奖励与验证信号”：构建 OpenEnv 兼容的 HTML 幻灯片 RL 环境，以逆向恢复需求的奖励联合结构、内容和视觉质量。</x:v>
      </x:c>
      <x:c r="AG109" s="8" t="str">
        <x:v>artifact</x:v>
      </x:c>
      <x:c r="AH109" s="8" t="str">
        <x:v>Inverse-specification rewards for slide generation</x:v>
      </x:c>
      <x:c r="AI109" s="8" t="str">
        <x:v>108</x:v>
      </x:c>
      <x:c r="AJ109" s="8" t="str">
        <x:v>survey bibliography;2026-10-16 AI Office survey bibliography</x:v>
      </x:c>
      <x:c r="AK109" s="13" t="d">
        <x:v>2026-10-16T00:00:00.000Z</x:v>
      </x:c>
      <x:c r="AL109" s="8" t="str"/>
      <x:c r="AM109" s="8" t="str">
        <x:v>5.1.1;5.1.3;5.2.2</x:v>
      </x:c>
    </x:row>
    <x:row r="110" ht="68" customHeight="1">
      <x:c r="A110" s="8" t="str">
        <x:v>WA-0109</x:v>
      </x:c>
      <x:c r="B110" s="8" t="str">
        <x:v>CogEvol</x:v>
      </x:c>
      <x:c r="C110" s="8" t="str">
        <x:v>CogEvol: Towards Efficient and Reliable Learning Environment Generation</x:v>
      </x:c>
      <x:c r="D110" s="9" t="n">
        <x:v>2026</x:v>
      </x:c>
      <x:c r="E110" s="8" t="str">
        <x:v>CogEvol Inc.; Tsinghua University</x:v>
      </x:c>
      <x:c r="F110" s="10" t="str">
        <x:f>VLOOKUP(H110,'Taxonomy'!$A$6:$G$70,3,FALSE)</x:f>
        <x:v>优化：从工作经验到系统能力</x:v>
      </x:c>
      <x:c r="G110" s="10" t="str">
        <x:f>VLOOKUP(H110,'Taxonomy'!$A$6:$G$70,5,FALSE)</x:f>
        <x:v>训练环境、数据与奖励</x:v>
      </x:c>
      <x:c r="H110" s="8" t="str">
        <x:v>5.1.3</x:v>
      </x:c>
      <x:c r="I110" s="10" t="str">
        <x:f>VLOOKUP(H110,'Taxonomy'!$A$6:$G$70,6,FALSE)</x:f>
        <x:v>奖励与验证信号</x:v>
      </x:c>
      <x:c r="J110" s="8" t="str">
        <x:v>训练奖励与可验证信号;模型参数学习;原生工件生成与编辑</x:v>
      </x:c>
      <x:c r="K110" s="8" t="str">
        <x:v>执行与状态管理;验证、恢复与重新规划</x:v>
      </x:c>
      <x:c r="L110" s="8" t="str">
        <x:v>5.1.1 任务与环境合成;5.2.1 中期训练与监督微调;5.2.2 智能体强化学习</x:v>
      </x:c>
      <x:c r="M110" s="8" t="str">
        <x:v>奖励与验证信号;中期训练与监督微调;智能体强化学习</x:v>
      </x:c>
      <x:c r="N110" s="8" t="str">
        <x:v>Method;Framework</x:v>
      </x:c>
      <x:c r="O110" s="11" t="str">
        <x:v>https://arxiv.org/abs/2608.30968</x:v>
      </x:c>
      <x:c r="P110" s="8" t="str">
        <x:v>把生产失败转成经验证 SFT 数据，并以规则与 VLM 混合奖励训练教学 slides 和交互 HTML 生成。</x:v>
      </x:c>
      <x:c r="Q110" s="8" t="str"/>
      <x:c r="R110" s="8" t="str"/>
      <x:c r="S110" s="8" t="str"/>
      <x:c r="T110" s="12" t="str">
        <x:v>未分配</x:v>
      </x:c>
      <x:c r="U110" s="12" t="str"/>
      <x:c r="V110" s="12" t="str"/>
      <x:c r="W110" s="12" t="str"/>
      <x:c r="X110" s="8" t="str">
        <x:v>verified</x:v>
      </x:c>
      <x:c r="Y110" s="11" t="str">
        <x:v>https://github.com/CogEvol/CogEvol-4B</x:v>
      </x:c>
      <x:c r="Z110" s="11" t="str"/>
      <x:c r="AA110" s="11" t="str">
        <x:v>https://arxiv.org/html/2608.30968v2</x:v>
      </x:c>
      <x:c r="AB110" s="11" t="str">
        <x:v>https://arxiv.org/abs/2608.30968</x:v>
      </x:c>
      <x:c r="AC110" s="8" t="str"/>
      <x:c r="AD110" s="8" t="str"/>
      <x:c r="AE110" s="8" t="str"/>
      <x:c r="AF110" s="8" t="str">
        <x:v>教学 slides 与交互 HTML 的产物生成以质量奖励为核心；题名中的 learning environment 不能据此当作 agent RL 环境合成。</x:v>
      </x:c>
      <x:c r="AG110" s="8" t="str">
        <x:v>artifact</x:v>
      </x:c>
      <x:c r="AH110" s="8" t="str">
        <x:v>Production-grounded training for learning artifacts</x:v>
      </x:c>
      <x:c r="AI110" s="8" t="str">
        <x:v>109</x:v>
      </x:c>
      <x:c r="AJ110" s="8" t="str">
        <x:v>survey bibliography</x:v>
      </x:c>
      <x:c r="AK110" s="13" t="d">
        <x:v>2026-10-16T00:00:00.000Z</x:v>
      </x:c>
      <x:c r="AL110" s="8" t="str">
        <x:v>Learning environment 指教学内容与交互页面，不能仅按题名归入 agent 环境合成。</x:v>
      </x:c>
      <x:c r="AM110" s="8" t="str">
        <x:v>5.1.1;5.1.3;5.2.1;5.2.2</x:v>
      </x:c>
    </x:row>
    <x:row r="111" ht="68" customHeight="1">
      <x:c r="A111" s="8" t="str">
        <x:v>WA-0110</x:v>
      </x:c>
      <x:c r="B111" s="8" t="str">
        <x:v>VERA</x:v>
      </x:c>
      <x:c r="C111" s="8" t="str">
        <x:v>VERA: Scaling Verifiable Environments for Agentic co-Evolution</x:v>
      </x:c>
      <x:c r="D111" s="9" t="n">
        <x:v>2026</x:v>
      </x:c>
      <x:c r="E111" s="8" t="str">
        <x:v>NVIDIA; University of California, Santa Cruz; University of Illinois Urbana-Champaign; National University of Singapore; Tsinghua University; Xi’an Jiaotong University; University of Pennsylvania</x:v>
      </x:c>
      <x:c r="F111" s="10" t="str">
        <x:f>VLOOKUP(H111,'Taxonomy'!$A$6:$G$70,3,FALSE)</x:f>
        <x:v>优化：从工作经验到系统能力</x:v>
      </x:c>
      <x:c r="G111" s="10" t="str">
        <x:f>VLOOKUP(H111,'Taxonomy'!$A$6:$G$70,5,FALSE)</x:f>
        <x:v>模型—运行框架耦合优化</x:v>
      </x:c>
      <x:c r="H111" s="8" t="str">
        <x:v>5.4.3</x:v>
      </x:c>
      <x:c r="I111" s="10" t="str">
        <x:f>VLOOKUP(H111,'Taxonomy'!$A$6:$G$70,6,FALSE)</x:f>
        <x:v>模型与运行框架联合优化</x:v>
      </x:c>
      <x:c r="J111" s="8" t="str">
        <x:v>任务与环境合成;训练奖励与可验证信号;模型与运行框架耦合;成果与实际状态核验;当前状态与版本有效性</x:v>
      </x:c>
      <x:c r="K111" s="8" t="str">
        <x:v>执行与状态管理;验证、恢复与重新规划</x:v>
      </x:c>
      <x:c r="L111" s="8" t="str">
        <x:v>5.1.1 任务与环境合成;5.1.3 奖励与验证信号</x:v>
      </x:c>
      <x:c r="M111" s="8" t="str">
        <x:v>任务与环境合成;奖励与验证信号;模型与运行框架耦合优化</x:v>
      </x:c>
      <x:c r="N111" s="8" t="str">
        <x:v>Method;Framework</x:v>
      </x:c>
      <x:c r="O111" s="11" t="str">
        <x:v>https://arxiv.org/abs/2610.05923</x:v>
      </x:c>
      <x:c r="P111" s="8" t="str">
        <x:v>从轨迹构建可恢复的分阶段验证环境，用统一验收门槛交替筛选模型训练和 harness 技能更新。</x:v>
      </x:c>
      <x:c r="Q111" s="8" t="str"/>
      <x:c r="R111" s="8" t="str"/>
      <x:c r="S111" s="8" t="str"/>
      <x:c r="T111" s="12" t="str">
        <x:v>未分配</x:v>
      </x:c>
      <x:c r="U111" s="12" t="str"/>
      <x:c r="V111" s="12" t="str"/>
      <x:c r="W111" s="12" t="str"/>
      <x:c r="X111" s="8" t="str">
        <x:v>verified</x:v>
      </x:c>
      <x:c r="Y111" s="11" t="str">
        <x:v>https://github.com/AutoMedBench/VERA</x:v>
      </x:c>
      <x:c r="Z111" s="11" t="str"/>
      <x:c r="AA111" s="11" t="str">
        <x:v>https://arxiv.org/html/2610.05923v1</x:v>
      </x:c>
      <x:c r="AB111" s="11" t="str">
        <x:v>https://arxiv.org/abs/2610.05923</x:v>
      </x:c>
      <x:c r="AC111" s="8" t="str"/>
      <x:c r="AD111" s="8" t="str"/>
      <x:c r="AE111" s="8" t="str"/>
      <x:c r="AF111" s="8" t="str">
        <x:v>用于“模型与运行框架联合优化”：从轨迹构建可恢复的分阶段验证环境，用统一验收门槛交替筛选模型训练和 harness 技能更新。</x:v>
      </x:c>
      <x:c r="AG111" s="8" t="str">
        <x:v>verification</x:v>
      </x:c>
      <x:c r="AH111" s="8" t="str">
        <x:v>Resumable verifiable environments and gated co-evolution</x:v>
      </x:c>
      <x:c r="AI111" s="8" t="str">
        <x:v>110</x:v>
      </x:c>
      <x:c r="AJ111" s="8" t="str">
        <x:v>survey bibliography</x:v>
      </x:c>
      <x:c r="AK111" s="13" t="d">
        <x:v>2026-10-16T00:00:00.000Z</x:v>
      </x:c>
      <x:c r="AL111" s="8" t="str">
        <x:v>HTML 首页明确列出代码仓库；不把文内 AutoMedBench 等引用数据链接误作本工作数据。</x:v>
      </x:c>
      <x:c r="AM111" s="8" t="str">
        <x:v>5.1.1;5.1.3;5.4.3</x:v>
      </x:c>
    </x:row>
    <x:row r="112" ht="68" customHeight="1">
      <x:c r="A112" s="8" t="str">
        <x:v>WA-0111</x:v>
      </x:c>
      <x:c r="B112" s="8" t="str">
        <x:v>daVinci-Env / OpenSWE</x:v>
      </x:c>
      <x:c r="C112" s="8" t="str">
        <x:v>daVinci-Env: Open SWE Environment Synthesis at Scale</x:v>
      </x:c>
      <x:c r="D112" s="9" t="n">
        <x:v>2026</x:v>
      </x:c>
      <x:c r="E112" s="8" t="str">
        <x:v>Shanghai Innovation Institute (SII); Shanghai Jiao Tong University; GAIR</x:v>
      </x:c>
      <x:c r="F112" s="10" t="str">
        <x:f>VLOOKUP(H112,'Taxonomy'!$A$6:$G$70,3,FALSE)</x:f>
        <x:v>优化：从工作经验到系统能力</x:v>
      </x:c>
      <x:c r="G112" s="10" t="str">
        <x:f>VLOOKUP(H112,'Taxonomy'!$A$6:$G$70,5,FALSE)</x:f>
        <x:v>训练环境、数据与奖励</x:v>
      </x:c>
      <x:c r="H112" s="8" t="str">
        <x:v>5.1.1</x:v>
      </x:c>
      <x:c r="I112" s="10" t="str">
        <x:f>VLOOKUP(H112,'Taxonomy'!$A$6:$G$70,6,FALSE)</x:f>
        <x:v>任务与环境合成</x:v>
      </x:c>
      <x:c r="J112" s="8" t="str">
        <x:v>任务与环境合成</x:v>
      </x:c>
      <x:c r="K112" s="8" t="str">
        <x:v>执行与状态管理;验证、恢复与重新规划</x:v>
      </x:c>
      <x:c r="L112" s="8" t="str"/>
      <x:c r="M112" s="8" t="str">
        <x:v>任务与环境合成</x:v>
      </x:c>
      <x:c r="N112" s="8" t="str">
        <x:v>Method;Framework</x:v>
      </x:c>
      <x:c r="O112" s="11" t="str">
        <x:v>https://arxiv.org/abs/2603.13023</x:v>
      </x:c>
      <x:c r="P112" s="8" t="str">
        <x:v>自动探索代码仓库、构建 Docker、生成评测脚本并反复测试，形成开放可执行 SWE 训练环境。</x:v>
      </x:c>
      <x:c r="Q112" s="8" t="str"/>
      <x:c r="R112" s="8" t="str"/>
      <x:c r="S112" s="8" t="str"/>
      <x:c r="T112" s="12" t="str">
        <x:v>未分配</x:v>
      </x:c>
      <x:c r="U112" s="12" t="str"/>
      <x:c r="V112" s="12" t="str"/>
      <x:c r="W112" s="12" t="str"/>
      <x:c r="X112" s="8" t="str">
        <x:v>verified</x:v>
      </x:c>
      <x:c r="Y112" s="11" t="str">
        <x:v>https://github.com/GAIR-NLP/OpenSWE</x:v>
      </x:c>
      <x:c r="Z112" s="11" t="str"/>
      <x:c r="AA112" s="11" t="str">
        <x:v>https://arxiv.org/html/2603.13023v2</x:v>
      </x:c>
      <x:c r="AB112" s="11" t="str">
        <x:v>https://arxiv.org/abs/2603.13023</x:v>
      </x:c>
      <x:c r="AC112" s="8" t="str"/>
      <x:c r="AD112" s="8" t="str"/>
      <x:c r="AE112" s="8" t="str"/>
      <x:c r="AF112" s="8" t="str">
        <x:v>用于“任务与环境合成”：自动探索代码仓库、构建 Docker、生成评测脚本并反复测试，形成开放可执行 SWE 训练环境。</x:v>
      </x:c>
      <x:c r="AG112" s="8" t="str">
        <x:v>swe-science</x:v>
      </x:c>
      <x:c r="AH112" s="8" t="str">
        <x:v>Executable SWE environment synthesis</x:v>
      </x:c>
      <x:c r="AI112" s="8" t="str">
        <x:v>111</x:v>
      </x:c>
      <x:c r="AJ112" s="8" t="str">
        <x:v>survey bibliography</x:v>
      </x:c>
      <x:c r="AK112" s="13" t="d">
        <x:v>2026-10-16T00:00:00.000Z</x:v>
      </x:c>
      <x:c r="AL112" s="8" t="str">
        <x:v>当前摘要将发布框架称为 OpenSWE，题名仍为 daVinci-Env；同一论文，保留别名避免重复。</x:v>
      </x:c>
      <x:c r="AM112" s="8" t="str">
        <x:v>5.1.1</x:v>
      </x:c>
    </x:row>
    <x:row r="113" ht="68" customHeight="1">
      <x:c r="A113" s="8" t="str">
        <x:v>WA-0112</x:v>
      </x:c>
      <x:c r="B113" s="8" t="str">
        <x:v>EnvScaler</x:v>
      </x:c>
      <x:c r="C113" s="8" t="str">
        <x:v>EnvScaler: Scaling Tool-Interactive Environments for LLM Agent via Programmatic Synthesis</x:v>
      </x:c>
      <x:c r="D113" s="9" t="n">
        <x:v>2026</x:v>
      </x:c>
      <x:c r="E113" s="8" t="str">
        <x:v>Renmin University of China, Gaoling School of Artificial Intelligence</x:v>
      </x:c>
      <x:c r="F113" s="10" t="str">
        <x:f>VLOOKUP(H113,'Taxonomy'!$A$6:$G$70,3,FALSE)</x:f>
        <x:v>优化：从工作经验到系统能力</x:v>
      </x:c>
      <x:c r="G113" s="10" t="str">
        <x:f>VLOOKUP(H113,'Taxonomy'!$A$6:$G$70,5,FALSE)</x:f>
        <x:v>训练环境、数据与奖励</x:v>
      </x:c>
      <x:c r="H113" s="8" t="str">
        <x:v>5.1.1</x:v>
      </x:c>
      <x:c r="I113" s="10" t="str">
        <x:f>VLOOKUP(H113,'Taxonomy'!$A$6:$G$70,6,FALSE)</x:f>
        <x:v>任务与环境合成</x:v>
      </x:c>
      <x:c r="J113" s="8" t="str">
        <x:v>任务与环境合成;当前状态与版本有效性;工具、界面与应用执行</x:v>
      </x:c>
      <x:c r="K113" s="8" t="str">
        <x:v>执行与状态管理;验证、恢复与重新规划</x:v>
      </x:c>
      <x:c r="L113" s="8" t="str"/>
      <x:c r="M113" s="8" t="str">
        <x:v>任务与环境合成</x:v>
      </x:c>
      <x:c r="N113" s="8" t="str">
        <x:v>Method;Framework</x:v>
      </x:c>
      <x:c r="O113" s="11" t="str">
        <x:v>https://arxiv.org/abs/2601.05808</x:v>
      </x:c>
      <x:c r="P113" s="8" t="str">
        <x:v>用 SkelBuilder 生成环境骨架，再由 ScenGenerator 构建场景及规则化轨迹验证函数。</x:v>
      </x:c>
      <x:c r="Q113" s="8" t="str"/>
      <x:c r="R113" s="8" t="str"/>
      <x:c r="S113" s="8" t="str"/>
      <x:c r="T113" s="12" t="str">
        <x:v>未分配</x:v>
      </x:c>
      <x:c r="U113" s="12" t="str"/>
      <x:c r="V113" s="12" t="str"/>
      <x:c r="W113" s="12" t="str"/>
      <x:c r="X113" s="8" t="str">
        <x:v>verified</x:v>
      </x:c>
      <x:c r="Y113" s="11" t="str">
        <x:v>https://github.com/RUC-NLPIR/EnvScaler</x:v>
      </x:c>
      <x:c r="Z113" s="11" t="str"/>
      <x:c r="AA113" s="11" t="str">
        <x:v>https://arxiv.org/html/2601.05808v2</x:v>
      </x:c>
      <x:c r="AB113" s="11" t="str">
        <x:v>https://arxiv.org/abs/2601.05808</x:v>
      </x:c>
      <x:c r="AC113" s="8" t="str"/>
      <x:c r="AD113" s="8" t="str"/>
      <x:c r="AE113" s="8" t="str"/>
      <x:c r="AF113" s="8" t="str">
        <x:v>用于“任务与环境合成”：用 SkelBuilder 生成环境骨架，再由 ScenGenerator 构建场景及规则化轨迹验证函数。</x:v>
      </x:c>
      <x:c r="AG113" s="8" t="str">
        <x:v>tool-enterprise</x:v>
      </x:c>
      <x:c r="AH113" s="8" t="str">
        <x:v>Programmatic stateful tool-environment synthesis</x:v>
      </x:c>
      <x:c r="AI113" s="8" t="str">
        <x:v>112</x:v>
      </x:c>
      <x:c r="AJ113" s="8" t="str">
        <x:v>survey bibliography</x:v>
      </x:c>
      <x:c r="AK113" s="13" t="d">
        <x:v>2026-10-16T00:00:00.000Z</x:v>
      </x:c>
      <x:c r="AL113" s="8" t="str"/>
      <x:c r="AM113" s="8" t="str">
        <x:v>5.1.1</x:v>
      </x:c>
    </x:row>
    <x:row r="114" ht="68" customHeight="1">
      <x:c r="A114" s="8" t="str">
        <x:v>WA-0113</x:v>
      </x:c>
      <x:c r="B114" s="8" t="str">
        <x:v>TDScaling</x:v>
      </x:c>
      <x:c r="C114" s="8" t="str">
        <x:v>Beyond Quantity: Trajectory Diversity Scaling for Code Agents</x:v>
      </x:c>
      <x:c r="D114" s="9" t="n">
        <x:v>2026</x:v>
      </x:c>
      <x:c r="E114" s="8" t="str">
        <x:v>Shenzhen Institute of Advanced Technology, Chinese Academy of Sciences; Qoder; UNSW Sydney; Alibaba Group; Shenzhen University of Advanced Technology</x:v>
      </x:c>
      <x:c r="F114" s="10" t="str">
        <x:f>VLOOKUP(H114,'Taxonomy'!$A$6:$G$70,3,FALSE)</x:f>
        <x:v>优化：从工作经验到系统能力</x:v>
      </x:c>
      <x:c r="G114" s="10" t="str">
        <x:f>VLOOKUP(H114,'Taxonomy'!$A$6:$G$70,5,FALSE)</x:f>
        <x:v>训练环境、数据与奖励</x:v>
      </x:c>
      <x:c r="H114" s="8" t="str">
        <x:v>5.1.2</x:v>
      </x:c>
      <x:c r="I114" s="10" t="str">
        <x:f>VLOOKUP(H114,'Taxonomy'!$A$6:$G$70,6,FALSE)</x:f>
        <x:v>轨迹采集与筛选</x:v>
      </x:c>
      <x:c r="J114" s="8" t="str">
        <x:v>轨迹采集与策划</x:v>
      </x:c>
      <x:c r="K114" s="8" t="str">
        <x:v>规划与协调;执行与状态管理</x:v>
      </x:c>
      <x:c r="L114" s="8" t="str"/>
      <x:c r="M114" s="8" t="str">
        <x:v>轨迹收集与筛选</x:v>
      </x:c>
      <x:c r="N114" s="8" t="str">
        <x:v>Method</x:v>
      </x:c>
      <x:c r="O114" s="11" t="str">
        <x:v>https://arxiv.org/abs/2602.03219</x:v>
      </x:c>
      <x:c r="P114" s="8" t="str">
        <x:v>以业务集群、蓝图驱动多智能体合成和自适应演化提升固定预算下的轨迹多样性。</x:v>
      </x:c>
      <x:c r="Q114" s="8" t="str"/>
      <x:c r="R114" s="8" t="str"/>
      <x:c r="S114" s="8" t="str"/>
      <x:c r="T114" s="12" t="str">
        <x:v>未分配</x:v>
      </x:c>
      <x:c r="U114" s="12" t="str"/>
      <x:c r="V114" s="12" t="str"/>
      <x:c r="W114" s="12" t="str"/>
      <x:c r="X114" s="8" t="str">
        <x:v>verified</x:v>
      </x:c>
      <x:c r="Y114" s="11" t="str"/>
      <x:c r="Z114" s="11" t="str"/>
      <x:c r="AA114" s="11" t="str">
        <x:v>https://arxiv.org/html/2602.03219v2</x:v>
      </x:c>
      <x:c r="AB114" s="11" t="str">
        <x:v>https://arxiv.org/abs/2602.03219</x:v>
      </x:c>
      <x:c r="AC114" s="8" t="str"/>
      <x:c r="AD114" s="8" t="str"/>
      <x:c r="AE114" s="8" t="str"/>
      <x:c r="AF114" s="8" t="str">
        <x:v>用于“轨迹采集与筛选”：以业务集群、蓝图驱动多智能体合成和自适应演化提升固定预算下的轨迹多样性。</x:v>
      </x:c>
      <x:c r="AG114" s="8" t="str">
        <x:v>tool-enterprise</x:v>
      </x:c>
      <x:c r="AH114" s="8" t="str">
        <x:v>Trajectory diversity scaling and business clustering</x:v>
      </x:c>
      <x:c r="AI114" s="8" t="str">
        <x:v>113</x:v>
      </x:c>
      <x:c r="AJ114" s="8" t="str">
        <x:v>survey bibliography</x:v>
      </x:c>
      <x:c r="AK114" s="13" t="d">
        <x:v>2026-10-16T00:00:00.000Z</x:v>
      </x:c>
      <x:c r="AL114" s="8" t="str"/>
      <x:c r="AM114" s="8" t="str">
        <x:v>5.1.2</x:v>
      </x:c>
    </x:row>
    <x:row r="115" ht="68" customHeight="1">
      <x:c r="A115" s="8" t="str">
        <x:v>WA-0114</x:v>
      </x:c>
      <x:c r="B115" s="8" t="str">
        <x:v>daVinci-Dev</x:v>
      </x:c>
      <x:c r="C115" s="8" t="str">
        <x:v>daVinci-Dev: Agent-native Mid-training for Software Engineering</x:v>
      </x:c>
      <x:c r="D115" s="9" t="n">
        <x:v>2026</x:v>
      </x:c>
      <x:c r="E115" s="8" t="str">
        <x:v>Shanghai Innovation Institute (SII); Shanghai Jiao Tong University; GAIR</x:v>
      </x:c>
      <x:c r="F115" s="10" t="str">
        <x:f>VLOOKUP(H115,'Taxonomy'!$A$6:$G$70,3,FALSE)</x:f>
        <x:v>优化：从工作经验到系统能力</x:v>
      </x:c>
      <x:c r="G115" s="10" t="str">
        <x:f>VLOOKUP(H115,'Taxonomy'!$A$6:$G$70,5,FALSE)</x:f>
        <x:v>模型优化</x:v>
      </x:c>
      <x:c r="H115" s="8" t="str">
        <x:v>5.2.1</x:v>
      </x:c>
      <x:c r="I115" s="10" t="str">
        <x:f>VLOOKUP(H115,'Taxonomy'!$A$6:$G$70,6,FALSE)</x:f>
        <x:v>中期训练与监督微调</x:v>
      </x:c>
      <x:c r="J115" s="8" t="str">
        <x:v>模型参数学习</x:v>
      </x:c>
      <x:c r="K115" s="8" t="str">
        <x:v>推理与决策;执行与状态管理</x:v>
      </x:c>
      <x:c r="L115" s="8" t="str"/>
      <x:c r="M115" s="8" t="str">
        <x:v>中期训练与监督微调</x:v>
      </x:c>
      <x:c r="N115" s="8" t="str">
        <x:v>Method</x:v>
      </x:c>
      <x:c r="O115" s="11" t="str">
        <x:v>https://arxiv.org/abs/2601.18418</x:v>
      </x:c>
      <x:c r="P115" s="8" t="str">
        <x:v>研究与真实代码修改、工具反馈和迭代验证相匹配的 agent 原生中训练数据与训练方法。</x:v>
      </x:c>
      <x:c r="Q115" s="8" t="str"/>
      <x:c r="R115" s="8" t="str"/>
      <x:c r="S115" s="8" t="str"/>
      <x:c r="T115" s="12" t="str">
        <x:v>未分配</x:v>
      </x:c>
      <x:c r="U115" s="12" t="str"/>
      <x:c r="V115" s="12" t="str"/>
      <x:c r="W115" s="12" t="str"/>
      <x:c r="X115" s="8" t="str">
        <x:v>verified</x:v>
      </x:c>
      <x:c r="Y115" s="11" t="str">
        <x:v>https://github.com/GAIR-NLP/daVinci-Dev</x:v>
      </x:c>
      <x:c r="Z115" s="11" t="str"/>
      <x:c r="AA115" s="11" t="str">
        <x:v>https://arxiv.org/html/2601.18418v2</x:v>
      </x:c>
      <x:c r="AB115" s="11" t="str">
        <x:v>https://arxiv.org/abs/2601.18418</x:v>
      </x:c>
      <x:c r="AC115" s="8" t="str"/>
      <x:c r="AD115" s="8" t="str"/>
      <x:c r="AE115" s="8" t="str"/>
      <x:c r="AF115" s="8" t="str">
        <x:v>用于“中期训练与监督微调”：研究与真实代码修改、工具反馈和迭代验证相匹配的 agent 原生中训练数据与训练方法。</x:v>
      </x:c>
      <x:c r="AG115" s="8" t="str">
        <x:v>swe-science</x:v>
      </x:c>
      <x:c r="AH115" s="8" t="str">
        <x:v>Agent-native software engineering mid-training</x:v>
      </x:c>
      <x:c r="AI115" s="8" t="str">
        <x:v>114</x:v>
      </x:c>
      <x:c r="AJ115" s="8" t="str">
        <x:v>survey bibliography</x:v>
      </x:c>
      <x:c r="AK115" s="13" t="d">
        <x:v>2026-10-16T00:00:00.000Z</x:v>
      </x:c>
      <x:c r="AL115" s="8" t="str"/>
      <x:c r="AM115" s="8" t="str">
        <x:v>5.2.1</x:v>
      </x:c>
    </x:row>
    <x:row r="116" ht="68" customHeight="1">
      <x:c r="A116" s="8" t="str">
        <x:v>WA-0115</x:v>
      </x:c>
      <x:c r="B116" s="8" t="str">
        <x:v>TrajLong</x:v>
      </x:c>
      <x:c r="C116" s="8" t="str">
        <x:v>TrajLong: Co-Designing Agentic and Long-Context Supervision for Mid-Training</x:v>
      </x:c>
      <x:c r="D116" s="9" t="n">
        <x:v>2026</x:v>
      </x:c>
      <x:c r="E116" s="8" t="str">
        <x:v>The Hong Kong University of Science and Technology (Guangzhou); Tencent Hunyuan Team; Peking University</x:v>
      </x:c>
      <x:c r="F116" s="10" t="str">
        <x:f>VLOOKUP(H116,'Taxonomy'!$A$6:$G$70,3,FALSE)</x:f>
        <x:v>优化：从工作经验到系统能力</x:v>
      </x:c>
      <x:c r="G116" s="10" t="str">
        <x:f>VLOOKUP(H116,'Taxonomy'!$A$6:$G$70,5,FALSE)</x:f>
        <x:v>模型优化</x:v>
      </x:c>
      <x:c r="H116" s="8" t="str">
        <x:v>5.2.1</x:v>
      </x:c>
      <x:c r="I116" s="10" t="str">
        <x:f>VLOOKUP(H116,'Taxonomy'!$A$6:$G$70,6,FALSE)</x:f>
        <x:v>中期训练与监督微调</x:v>
      </x:c>
      <x:c r="J116" s="8" t="str">
        <x:v>模型参数学习;证据整合与推理;当前状态与版本有效性</x:v>
      </x:c>
      <x:c r="K116" s="8" t="str">
        <x:v>推理与决策;执行与状态管理</x:v>
      </x:c>
      <x:c r="L116" s="8" t="str"/>
      <x:c r="M116" s="8" t="str">
        <x:v>中期训练与监督微调</x:v>
      </x:c>
      <x:c r="N116" s="8" t="str">
        <x:v>Method</x:v>
      </x:c>
      <x:c r="O116" s="11" t="str">
        <x:v>https://arxiv.org/abs/2610.04973</x:v>
      </x:c>
      <x:c r="P116" s="8" t="str">
        <x:v>把轨迹编译为证据定位、跨证据聚合和时序状态维护等密集长上下文中训练任务。</x:v>
      </x:c>
      <x:c r="Q116" s="8" t="str"/>
      <x:c r="R116" s="8" t="str"/>
      <x:c r="S116" s="8" t="str"/>
      <x:c r="T116" s="12" t="str">
        <x:v>未分配</x:v>
      </x:c>
      <x:c r="U116" s="12" t="str"/>
      <x:c r="V116" s="12" t="str"/>
      <x:c r="W116" s="12" t="str"/>
      <x:c r="X116" s="8" t="str">
        <x:v>verified</x:v>
      </x:c>
      <x:c r="Y116" s="11" t="str"/>
      <x:c r="Z116" s="11" t="str"/>
      <x:c r="AA116" s="11" t="str">
        <x:v>https://arxiv.org/html/2610.04973v1</x:v>
      </x:c>
      <x:c r="AB116" s="11" t="str">
        <x:v>https://arxiv.org/abs/2610.04973</x:v>
      </x:c>
      <x:c r="AC116" s="8" t="str"/>
      <x:c r="AD116" s="8" t="str"/>
      <x:c r="AE116" s="8" t="str"/>
      <x:c r="AF116" s="8" t="str">
        <x:v>用于“中期训练与监督微调”：把轨迹编译为证据定位、跨证据聚合和时序状态维护等密集长上下文中训练任务。</x:v>
      </x:c>
      <x:c r="AG116" s="8" t="str">
        <x:v>harness</x:v>
      </x:c>
      <x:c r="AH116" s="8" t="str">
        <x:v>Long-context supervision compiled from agent trajectories</x:v>
      </x:c>
      <x:c r="AI116" s="8" t="str">
        <x:v>115</x:v>
      </x:c>
      <x:c r="AJ116" s="8" t="str">
        <x:v>survey bibliography</x:v>
      </x:c>
      <x:c r="AK116" s="13" t="d">
        <x:v>2026-10-16T00:00:00.000Z</x:v>
      </x:c>
      <x:c r="AL116" s="8" t="str"/>
      <x:c r="AM116" s="8" t="str">
        <x:v>5.2.1</x:v>
      </x:c>
    </x:row>
    <x:row r="117" ht="68" customHeight="1">
      <x:c r="A117" s="8" t="str">
        <x:v>WA-0116</x:v>
      </x:c>
      <x:c r="B117" s="8" t="str">
        <x:v>ADMIRE</x:v>
      </x:c>
      <x:c r="C117" s="8" t="str">
        <x:v>Adaptive Milestone Reward for GUI Agents</x:v>
      </x:c>
      <x:c r="D117" s="9" t="n">
        <x:v>2026</x:v>
      </x:c>
      <x:c r="E117" s="8" t="str">
        <x:v>Shanghai Jiao Tong University; OPPO Research Institute</x:v>
      </x:c>
      <x:c r="F117" s="10" t="str">
        <x:f>VLOOKUP(H117,'Taxonomy'!$A$6:$G$70,3,FALSE)</x:f>
        <x:v>优化：从工作经验到系统能力</x:v>
      </x:c>
      <x:c r="G117" s="10" t="str">
        <x:f>VLOOKUP(H117,'Taxonomy'!$A$6:$G$70,5,FALSE)</x:f>
        <x:v>模型优化</x:v>
      </x:c>
      <x:c r="H117" s="8" t="str">
        <x:v>5.2.2</x:v>
      </x:c>
      <x:c r="I117" s="10" t="str">
        <x:f>VLOOKUP(H117,'Taxonomy'!$A$6:$G$70,6,FALSE)</x:f>
        <x:v>智能体强化学习</x:v>
      </x:c>
      <x:c r="J117" s="8" t="str">
        <x:v>模型参数学习;训练奖励与可验证信号;任务分解与行动依赖</x:v>
      </x:c>
      <x:c r="K117" s="8" t="str">
        <x:v>规划与协调;执行与状态管理;验证、恢复与重新规划</x:v>
      </x:c>
      <x:c r="L117" s="8" t="str"/>
      <x:c r="M117" s="8" t="str">
        <x:v>智能体强化学习;奖励与验证信号</x:v>
      </x:c>
      <x:c r="N117" s="8" t="str">
        <x:v>Method</x:v>
      </x:c>
      <x:c r="O117" s="11" t="str">
        <x:v>https://arxiv.org/abs/2602.11524</x:v>
      </x:c>
      <x:c r="P117" s="8" t="str">
        <x:v>从成功探索动态提炼可验证里程碑，并用不对称归因平衡长程 GUI 奖励的密度与可信度。</x:v>
      </x:c>
      <x:c r="Q117" s="8" t="str"/>
      <x:c r="R117" s="8" t="str"/>
      <x:c r="S117" s="8" t="str"/>
      <x:c r="T117" s="12" t="str">
        <x:v>未分配</x:v>
      </x:c>
      <x:c r="U117" s="12" t="str"/>
      <x:c r="V117" s="12" t="str"/>
      <x:c r="W117" s="12" t="str"/>
      <x:c r="X117" s="8" t="str">
        <x:v>verified</x:v>
      </x:c>
      <x:c r="Y117" s="11" t="str"/>
      <x:c r="Z117" s="11" t="str"/>
      <x:c r="AA117" s="11" t="str">
        <x:v>https://arxiv.org/html/2602.11524v1</x:v>
      </x:c>
      <x:c r="AB117" s="11" t="str">
        <x:v>https://arxiv.org/abs/2602.11524</x:v>
      </x:c>
      <x:c r="AC117" s="8" t="str"/>
      <x:c r="AD117" s="8" t="str"/>
      <x:c r="AE117" s="8" t="str"/>
      <x:c r="AF117" s="8" t="str">
        <x:v>用于“智能体强化学习”：从成功探索动态提炼可验证里程碑，并用不对称归因平衡长程 GUI 奖励的密度与可信度。</x:v>
      </x:c>
      <x:c r="AG117" s="8" t="str">
        <x:v>computer-use</x:v>
      </x:c>
      <x:c r="AH117" s="8" t="str">
        <x:v>Adaptive milestone rewards and asymmetric credit assignment</x:v>
      </x:c>
      <x:c r="AI117" s="8" t="str">
        <x:v>116</x:v>
      </x:c>
      <x:c r="AJ117" s="8" t="str">
        <x:v>survey bibliography</x:v>
      </x:c>
      <x:c r="AK117" s="13" t="d">
        <x:v>2026-10-16T00:00:00.000Z</x:v>
      </x:c>
      <x:c r="AL117" s="8" t="str"/>
      <x:c r="AM117" s="8" t="str">
        <x:v>5.2.2</x:v>
      </x:c>
    </x:row>
    <x:row r="118" ht="68" customHeight="1">
      <x:c r="A118" s="8" t="str">
        <x:v>WA-0117</x:v>
      </x:c>
      <x:c r="B118" s="8" t="str">
        <x:v>HiPER</x:v>
      </x:c>
      <x:c r="C118" s="8" t="str">
        <x:v>HiPER: Hierarchical Reinforcement Learning with Explicit Credit Assignment for Large Language Model Agents</x:v>
      </x:c>
      <x:c r="D118" s="9" t="n">
        <x:v>2026</x:v>
      </x:c>
      <x:c r="E118" s="8" t="str">
        <x:v>University of Minnesota; Northwestern University; Amazon AGI; Cisco Research; Texas A&amp;M University</x:v>
      </x:c>
      <x:c r="F118" s="10" t="str">
        <x:f>VLOOKUP(H118,'Taxonomy'!$A$6:$G$70,3,FALSE)</x:f>
        <x:v>优化：从工作经验到系统能力</x:v>
      </x:c>
      <x:c r="G118" s="10" t="str">
        <x:f>VLOOKUP(H118,'Taxonomy'!$A$6:$G$70,5,FALSE)</x:f>
        <x:v>模型优化</x:v>
      </x:c>
      <x:c r="H118" s="8" t="str">
        <x:v>5.2.2</x:v>
      </x:c>
      <x:c r="I118" s="10" t="str">
        <x:f>VLOOKUP(H118,'Taxonomy'!$A$6:$G$70,6,FALSE)</x:f>
        <x:v>智能体强化学习</x:v>
      </x:c>
      <x:c r="J118" s="8" t="str">
        <x:v>模型参数学习;任务分解与行动依赖</x:v>
      </x:c>
      <x:c r="K118" s="8" t="str">
        <x:v>规划与协调;执行与状态管理</x:v>
      </x:c>
      <x:c r="L118" s="8" t="str"/>
      <x:c r="M118" s="8" t="str">
        <x:v>智能体强化学习</x:v>
      </x:c>
      <x:c r="N118" s="8" t="str">
        <x:v>Method</x:v>
      </x:c>
      <x:c r="O118" s="11" t="str">
        <x:v>https://arxiv.org/abs/2602.16165</x:v>
      </x:c>
      <x:c r="P118" s="8" t="str">
        <x:v>显式分离高层规划与低层执行，通过分层时间抽象和归因缓解长程稀疏奖励学习困难。</x:v>
      </x:c>
      <x:c r="Q118" s="8" t="str"/>
      <x:c r="R118" s="8" t="str"/>
      <x:c r="S118" s="8" t="str"/>
      <x:c r="T118" s="12" t="str">
        <x:v>未分配</x:v>
      </x:c>
      <x:c r="U118" s="12" t="str"/>
      <x:c r="V118" s="12" t="str"/>
      <x:c r="W118" s="12" t="str"/>
      <x:c r="X118" s="8" t="str">
        <x:v>verified</x:v>
      </x:c>
      <x:c r="Y118" s="11" t="str">
        <x:v>https://github.com/JonP07/HiPER-agent</x:v>
      </x:c>
      <x:c r="Z118" s="11" t="str"/>
      <x:c r="AA118" s="11" t="str">
        <x:v>https://arxiv.org/html/2602.16165v2</x:v>
      </x:c>
      <x:c r="AB118" s="11" t="str">
        <x:v>https://arxiv.org/abs/2602.16165</x:v>
      </x:c>
      <x:c r="AC118" s="8" t="str"/>
      <x:c r="AD118" s="8" t="str"/>
      <x:c r="AE118" s="8" t="str"/>
      <x:c r="AF118" s="8" t="str">
        <x:v>用于“智能体强化学习”：显式分离高层规划与低层执行，通过分层时间抽象和归因缓解长程稀疏奖励学习困难。</x:v>
      </x:c>
      <x:c r="AG118" s="8" t="str">
        <x:v>harness</x:v>
      </x:c>
      <x:c r="AH118" s="8" t="str">
        <x:v>Hierarchical plan–execute reinforcement learning</x:v>
      </x:c>
      <x:c r="AI118" s="8" t="str">
        <x:v>117</x:v>
      </x:c>
      <x:c r="AJ118" s="8" t="str">
        <x:v>survey bibliography</x:v>
      </x:c>
      <x:c r="AK118" s="13" t="d">
        <x:v>2026-10-16T00:00:00.000Z</x:v>
      </x:c>
      <x:c r="AL118" s="8" t="str"/>
      <x:c r="AM118" s="8" t="str">
        <x:v>5.2.2</x:v>
      </x:c>
    </x:row>
    <x:row r="119" ht="68" customHeight="1">
      <x:c r="A119" s="8" t="str">
        <x:v>WA-0118</x:v>
      </x:c>
      <x:c r="B119" s="8" t="str">
        <x:v>TCOD</x:v>
      </x:c>
      <x:c r="C119" s="8" t="str">
        <x:v>TCOD: Exploring Temporal Curriculum in On-Policy Distillation for Multi-turn Autonomous Agents</x:v>
      </x:c>
      <x:c r="D119" s="9" t="n">
        <x:v>2026</x:v>
      </x:c>
      <x:c r="E119" s="8" t="str">
        <x:v>Tongyi Lab, Alibaba Group; The Chinese University of Hong Kong</x:v>
      </x:c>
      <x:c r="F119" s="10" t="str">
        <x:f>VLOOKUP(H119,'Taxonomy'!$A$6:$G$70,3,FALSE)</x:f>
        <x:v>优化：从工作经验到系统能力</x:v>
      </x:c>
      <x:c r="G119" s="10" t="str">
        <x:f>VLOOKUP(H119,'Taxonomy'!$A$6:$G$70,5,FALSE)</x:f>
        <x:v>模型优化</x:v>
      </x:c>
      <x:c r="H119" s="8" t="str">
        <x:v>5.2.3</x:v>
      </x:c>
      <x:c r="I119" s="10" t="str">
        <x:f>VLOOKUP(H119,'Taxonomy'!$A$6:$G$70,6,FALSE)</x:f>
        <x:v>同策略蒸馏</x:v>
      </x:c>
      <x:c r="J119" s="8" t="str">
        <x:v>模型参数学习</x:v>
      </x:c>
      <x:c r="K119" s="8" t="str">
        <x:v>执行与状态管理;验证、恢复与重新规划</x:v>
      </x:c>
      <x:c r="L119" s="8" t="str"/>
      <x:c r="M119" s="8" t="str">
        <x:v>同策略蒸馏</x:v>
      </x:c>
      <x:c r="N119" s="8" t="str">
        <x:v>Method</x:v>
      </x:c>
      <x:c r="O119" s="11" t="str">
        <x:v>https://arxiv.org/abs/2604.24005</x:v>
      </x:c>
      <x:c r="P119" s="8" t="str">
        <x:v>针对多轮蒸馏的轨迹级 KL 不稳定，设计时间课程降低误差累积及教师监督失效。</x:v>
      </x:c>
      <x:c r="Q119" s="8" t="str"/>
      <x:c r="R119" s="8" t="str"/>
      <x:c r="S119" s="8" t="str"/>
      <x:c r="T119" s="12" t="str">
        <x:v>未分配</x:v>
      </x:c>
      <x:c r="U119" s="12" t="str"/>
      <x:c r="V119" s="12" t="str"/>
      <x:c r="W119" s="12" t="str"/>
      <x:c r="X119" s="8" t="str">
        <x:v>verified</x:v>
      </x:c>
      <x:c r="Y119" s="11" t="str">
        <x:v>https://github.com/kokolerk/TCOD</x:v>
      </x:c>
      <x:c r="Z119" s="11" t="str"/>
      <x:c r="AA119" s="11" t="str">
        <x:v>https://arxiv.org/html/2604.24005v3</x:v>
      </x:c>
      <x:c r="AB119" s="11" t="str">
        <x:v>https://arxiv.org/abs/2604.24005</x:v>
      </x:c>
      <x:c r="AC119" s="8" t="str"/>
      <x:c r="AD119" s="8" t="str"/>
      <x:c r="AE119" s="8" t="str"/>
      <x:c r="AF119" s="8" t="str">
        <x:v>用于“同策略蒸馏”：针对多轮蒸馏的轨迹级 KL 不稳定，设计时间课程降低误差累积及教师监督失效。</x:v>
      </x:c>
      <x:c r="AG119" s="8" t="str">
        <x:v>harness</x:v>
      </x:c>
      <x:c r="AH119" s="8" t="str">
        <x:v>Temporal curriculum for on-policy distillation</x:v>
      </x:c>
      <x:c r="AI119" s="8" t="str">
        <x:v>118</x:v>
      </x:c>
      <x:c r="AJ119" s="8" t="str">
        <x:v>survey bibliography</x:v>
      </x:c>
      <x:c r="AK119" s="13" t="d">
        <x:v>2026-10-16T00:00:00.000Z</x:v>
      </x:c>
      <x:c r="AL119" s="8" t="str"/>
      <x:c r="AM119" s="8" t="str">
        <x:v>5.2.3</x:v>
      </x:c>
    </x:row>
    <x:row r="120" ht="68" customHeight="1">
      <x:c r="A120" s="8" t="str">
        <x:v>WA-0119</x:v>
      </x:c>
      <x:c r="B120" s="8" t="str">
        <x:v>LiteGUI</x:v>
      </x:c>
      <x:c r="C120" s="8" t="str">
        <x:v>LiteGUI: Lightweight GUI Agents via Multi-Solution Guided Distillation and Dual-Level Reinforcement Learning</x:v>
      </x:c>
      <x:c r="D120" s="9" t="n">
        <x:v>2026</x:v>
      </x:c>
      <x:c r="E120" s="8" t="str">
        <x:v>Moore Threads AI</x:v>
      </x:c>
      <x:c r="F120" s="10" t="str">
        <x:f>VLOOKUP(H120,'Taxonomy'!$A$6:$G$70,3,FALSE)</x:f>
        <x:v>优化：从工作经验到系统能力</x:v>
      </x:c>
      <x:c r="G120" s="10" t="str">
        <x:f>VLOOKUP(H120,'Taxonomy'!$A$6:$G$70,5,FALSE)</x:f>
        <x:v>模型优化</x:v>
      </x:c>
      <x:c r="H120" s="8" t="str">
        <x:v>5.2.3</x:v>
      </x:c>
      <x:c r="I120" s="10" t="str">
        <x:f>VLOOKUP(H120,'Taxonomy'!$A$6:$G$70,6,FALSE)</x:f>
        <x:v>同策略蒸馏</x:v>
      </x:c>
      <x:c r="J120" s="8" t="str">
        <x:v>模型参数学习</x:v>
      </x:c>
      <x:c r="K120" s="8" t="str">
        <x:v>感知与理解;执行与状态管理</x:v>
      </x:c>
      <x:c r="L120" s="8" t="str"/>
      <x:c r="M120" s="8" t="str">
        <x:v>同策略蒸馏</x:v>
      </x:c>
      <x:c r="N120" s="8" t="str">
        <x:v>Method</x:v>
      </x:c>
      <x:c r="O120" s="11" t="str">
        <x:v>https://arxiv.org/abs/2605.07505</x:v>
      </x:c>
      <x:c r="P120" s="8" t="str">
        <x:v>以多条人验有效动作路径指导在策略蒸馏，再结合动作级与轨迹级奖励训练轻量 GUI agent。</x:v>
      </x:c>
      <x:c r="Q120" s="8" t="str"/>
      <x:c r="R120" s="8" t="str"/>
      <x:c r="S120" s="8" t="str"/>
      <x:c r="T120" s="12" t="str">
        <x:v>未分配</x:v>
      </x:c>
      <x:c r="U120" s="12" t="str"/>
      <x:c r="V120" s="12" t="str"/>
      <x:c r="W120" s="12" t="str"/>
      <x:c r="X120" s="8" t="str">
        <x:v>verified</x:v>
      </x:c>
      <x:c r="Y120" s="11" t="str"/>
      <x:c r="Z120" s="11" t="str"/>
      <x:c r="AA120" s="11" t="str">
        <x:v>https://arxiv.org/html/2605.07505v2</x:v>
      </x:c>
      <x:c r="AB120" s="11" t="str">
        <x:v>https://arxiv.org/abs/2605.07505</x:v>
      </x:c>
      <x:c r="AC120" s="8" t="str"/>
      <x:c r="AD120" s="8" t="str"/>
      <x:c r="AE120" s="8" t="str"/>
      <x:c r="AF120" s="8" t="str">
        <x:v>用于“同策略蒸馏”：以多条人验有效动作路径指导在策略蒸馏，再结合动作级与轨迹级奖励训练轻量 GUI agent。</x:v>
      </x:c>
      <x:c r="AG120" s="8" t="str">
        <x:v>computer-use</x:v>
      </x:c>
      <x:c r="AH120" s="8" t="str">
        <x:v>Multi-solution distillation and dual-level GUI RL</x:v>
      </x:c>
      <x:c r="AI120" s="8" t="str">
        <x:v>119</x:v>
      </x:c>
      <x:c r="AJ120" s="8" t="str">
        <x:v>survey bibliography</x:v>
      </x:c>
      <x:c r="AK120" s="13" t="d">
        <x:v>2026-10-16T00:00:00.000Z</x:v>
      </x:c>
      <x:c r="AL120" s="8" t="str"/>
      <x:c r="AM120" s="8" t="str">
        <x:v>5.2.3</x:v>
      </x:c>
    </x:row>
    <x:row r="121" ht="68" customHeight="1">
      <x:c r="A121" s="8" t="str">
        <x:v>WA-0120</x:v>
      </x:c>
      <x:c r="B121" s="8" t="str">
        <x:v>GHD / The Next Screenshot Knows</x:v>
      </x:c>
      <x:c r="C121" s="8" t="str">
        <x:v>The Next Screenshot Knows: Gated Hindsight Distillation for Mobile GUI Agents</x:v>
      </x:c>
      <x:c r="D121" s="9" t="n">
        <x:v>2026</x:v>
      </x:c>
      <x:c r="E121" s="8" t="str">
        <x:v>University of Electronic Science and Technology of China</x:v>
      </x:c>
      <x:c r="F121" s="10" t="str">
        <x:f>VLOOKUP(H121,'Taxonomy'!$A$6:$G$70,3,FALSE)</x:f>
        <x:v>优化：从工作经验到系统能力</x:v>
      </x:c>
      <x:c r="G121" s="10" t="str">
        <x:f>VLOOKUP(H121,'Taxonomy'!$A$6:$G$70,5,FALSE)</x:f>
        <x:v>模型优化</x:v>
      </x:c>
      <x:c r="H121" s="8" t="str">
        <x:v>5.2.3</x:v>
      </x:c>
      <x:c r="I121" s="10" t="str">
        <x:f>VLOOKUP(H121,'Taxonomy'!$A$6:$G$70,6,FALSE)</x:f>
        <x:v>同策略蒸馏</x:v>
      </x:c>
      <x:c r="J121" s="8" t="str">
        <x:v>模型参数学习</x:v>
      </x:c>
      <x:c r="K121" s="8" t="str">
        <x:v>感知与理解;推理与决策;执行与状态管理</x:v>
      </x:c>
      <x:c r="L121" s="8" t="str"/>
      <x:c r="M121" s="8" t="str">
        <x:v>同策略蒸馏</x:v>
      </x:c>
      <x:c r="N121" s="8" t="str">
        <x:v>Method</x:v>
      </x:c>
      <x:c r="O121" s="11" t="str">
        <x:v>https://arxiv.org/abs/2608.06065</x:v>
      </x:c>
      <x:c r="P121" s="8" t="str">
        <x:v>把下一张截图作为训练期特权信息，仅在教师能纠正学生错误时蒸馏对应动作推理。</x:v>
      </x:c>
      <x:c r="Q121" s="8" t="str"/>
      <x:c r="R121" s="8" t="str"/>
      <x:c r="S121" s="8" t="str"/>
      <x:c r="T121" s="12" t="str">
        <x:v>未分配</x:v>
      </x:c>
      <x:c r="U121" s="12" t="str"/>
      <x:c r="V121" s="12" t="str"/>
      <x:c r="W121" s="12" t="str"/>
      <x:c r="X121" s="8" t="str">
        <x:v>verified</x:v>
      </x:c>
      <x:c r="Y121" s="11" t="str"/>
      <x:c r="Z121" s="11" t="str"/>
      <x:c r="AA121" s="11" t="str">
        <x:v>https://arxiv.org/pdf/2608.06065</x:v>
      </x:c>
      <x:c r="AB121" s="11" t="str">
        <x:v>https://arxiv.org/abs/2608.06065</x:v>
      </x:c>
      <x:c r="AC121" s="8" t="str"/>
      <x:c r="AD121" s="8" t="str"/>
      <x:c r="AE121" s="8" t="str"/>
      <x:c r="AF121" s="8" t="str">
        <x:v>用于“同策略蒸馏”：把下一张截图作为训练期特权信息，仅在教师能纠正学生错误时蒸馏对应动作推理。</x:v>
      </x:c>
      <x:c r="AG121" s="8" t="str">
        <x:v>computer-use</x:v>
      </x:c>
      <x:c r="AH121" s="8" t="str">
        <x:v>Gated hindsight screenshot distillation</x:v>
      </x:c>
      <x:c r="AI121" s="8" t="str">
        <x:v>120</x:v>
      </x:c>
      <x:c r="AJ121" s="8" t="str">
        <x:v>survey bibliography</x:v>
      </x:c>
      <x:c r="AK121" s="13" t="d">
        <x:v>2026-10-16T00:00:00.000Z</x:v>
      </x:c>
      <x:c r="AL121" s="8" t="str">
        <x:v>机构由 PDF 首页核实；论文称代码和 checkpoints 将发布，未提供可核验官方链接。</x:v>
      </x:c>
      <x:c r="AM121" s="8" t="str">
        <x:v>5.2.3</x:v>
      </x:c>
    </x:row>
    <x:row r="122" ht="68" customHeight="1">
      <x:c r="A122" s="8" t="str">
        <x:v>WA-0121</x:v>
      </x:c>
      <x:c r="B122" s="8" t="str">
        <x:v>SDPO</x:v>
      </x:c>
      <x:c r="C122" s="8" t="str">
        <x:v>Reinforcement Learning via Self-Distillation</x:v>
      </x:c>
      <x:c r="D122" s="9" t="n">
        <x:v>2026</x:v>
      </x:c>
      <x:c r="E122" s="8" t="str">
        <x:v>ETH Zurich; Massachusetts Institute of Technology; Stanford University; Max Planck Institute for Intelligent Systems</x:v>
      </x:c>
      <x:c r="F122" s="10" t="str">
        <x:f>VLOOKUP(H122,'Taxonomy'!$A$6:$G$70,3,FALSE)</x:f>
        <x:v>优化：从工作经验到系统能力</x:v>
      </x:c>
      <x:c r="G122" s="10" t="str">
        <x:f>VLOOKUP(H122,'Taxonomy'!$A$6:$G$70,5,FALSE)</x:f>
        <x:v>模型优化</x:v>
      </x:c>
      <x:c r="H122" s="8" t="str">
        <x:v>5.2.4</x:v>
      </x:c>
      <x:c r="I122" s="10" t="str">
        <x:f>VLOOKUP(H122,'Taxonomy'!$A$6:$G$70,6,FALSE)</x:f>
        <x:v>自改进模型训练</x:v>
      </x:c>
      <x:c r="J122" s="8" t="str">
        <x:v>模型参数学习</x:v>
      </x:c>
      <x:c r="K122" s="8" t="str">
        <x:v>推理与决策;执行与状态管理;验证、恢复与重新规划</x:v>
      </x:c>
      <x:c r="L122" s="8" t="str"/>
      <x:c r="M122" s="8" t="str">
        <x:v>自改进模型训练</x:v>
      </x:c>
      <x:c r="N122" s="8" t="str">
        <x:v>Method</x:v>
      </x:c>
      <x:c r="O122" s="11" t="str">
        <x:v>https://arxiv.org/abs/2601.20802</x:v>
      </x:c>
      <x:c r="P122" s="8" t="str">
        <x:v>以获得文字环境反馈的当前模型作为自教师，把反馈转为密集 token 级学习信号。</x:v>
      </x:c>
      <x:c r="Q122" s="8" t="str"/>
      <x:c r="R122" s="8" t="str"/>
      <x:c r="S122" s="8" t="str"/>
      <x:c r="T122" s="12" t="str">
        <x:v>未分配</x:v>
      </x:c>
      <x:c r="U122" s="12" t="str"/>
      <x:c r="V122" s="12" t="str"/>
      <x:c r="W122" s="12" t="str"/>
      <x:c r="X122" s="8" t="str">
        <x:v>verified</x:v>
      </x:c>
      <x:c r="Y122" s="11" t="str">
        <x:v>https://github.com/lasgroup/SDPO</x:v>
      </x:c>
      <x:c r="Z122" s="11" t="str"/>
      <x:c r="AA122" s="11" t="str">
        <x:v>https://arxiv.org/html/2601.20802v2</x:v>
      </x:c>
      <x:c r="AB122" s="11" t="str">
        <x:v>https://arxiv.org/abs/2601.20802</x:v>
      </x:c>
      <x:c r="AC122" s="8" t="str"/>
      <x:c r="AD122" s="8" t="str"/>
      <x:c r="AE122" s="8" t="str"/>
      <x:c r="AF122" s="8" t="str">
        <x:v>用于“自改进模型训练”：以获得文字环境反馈的当前模型作为自教师，把反馈转为密集 token 级学习信号。</x:v>
      </x:c>
      <x:c r="AG122" s="8" t="str">
        <x:v>harness</x:v>
      </x:c>
      <x:c r="AH122" s="8" t="str">
        <x:v>Rich-feedback self-distillation policy optimization</x:v>
      </x:c>
      <x:c r="AI122" s="8" t="str">
        <x:v>121</x:v>
      </x:c>
      <x:c r="AJ122" s="8" t="str">
        <x:v>survey bibliography</x:v>
      </x:c>
      <x:c r="AK122" s="13" t="d">
        <x:v>2026-10-16T00:00:00.000Z</x:v>
      </x:c>
      <x:c r="AL122" s="8" t="str"/>
      <x:c r="AM122" s="8" t="str">
        <x:v>5.2.4</x:v>
      </x:c>
    </x:row>
    <x:row r="123" ht="68" customHeight="1">
      <x:c r="A123" s="8" t="str">
        <x:v>WA-0122</x:v>
      </x:c>
      <x:c r="B123" s="8" t="str">
        <x:v>RePro</x:v>
      </x:c>
      <x:c r="C123" s="8" t="str">
        <x:v>Retrospective Progress-Aware Self-Refinement for LLM Agent Training</x:v>
      </x:c>
      <x:c r="D123" s="9" t="n">
        <x:v>2026</x:v>
      </x:c>
      <x:c r="E123" s="8" t="str">
        <x:v>Shanghai Jiao Tong University; National University of Singapore; OPPO Research Institute</x:v>
      </x:c>
      <x:c r="F123" s="10" t="str">
        <x:f>VLOOKUP(H123,'Taxonomy'!$A$6:$G$70,3,FALSE)</x:f>
        <x:v>优化：从工作经验到系统能力</x:v>
      </x:c>
      <x:c r="G123" s="10" t="str">
        <x:f>VLOOKUP(H123,'Taxonomy'!$A$6:$G$70,5,FALSE)</x:f>
        <x:v>模型优化</x:v>
      </x:c>
      <x:c r="H123" s="8" t="str">
        <x:v>5.2.4</x:v>
      </x:c>
      <x:c r="I123" s="10" t="str">
        <x:f>VLOOKUP(H123,'Taxonomy'!$A$6:$G$70,6,FALSE)</x:f>
        <x:v>自改进模型训练</x:v>
      </x:c>
      <x:c r="J123" s="8" t="str">
        <x:v>模型参数学习</x:v>
      </x:c>
      <x:c r="K123" s="8" t="str">
        <x:v>推理与决策;执行与状态管理;验证、恢复与重新规划</x:v>
      </x:c>
      <x:c r="L123" s="8" t="str"/>
      <x:c r="M123" s="8" t="str">
        <x:v>自改进模型训练</x:v>
      </x:c>
      <x:c r="N123" s="8" t="str">
        <x:v>Method</x:v>
      </x:c>
      <x:c r="O123" s="11" t="str">
        <x:v>https://arxiv.org/abs/2606.14302</x:v>
      </x:c>
      <x:c r="P123" s="8" t="str">
        <x:v>先前向执行再回顾整条轨迹评估逐步进度，以自生成进度差分改进 agent 训练。</x:v>
      </x:c>
      <x:c r="Q123" s="8" t="str"/>
      <x:c r="R123" s="8" t="str"/>
      <x:c r="S123" s="8" t="str"/>
      <x:c r="T123" s="12" t="str">
        <x:v>未分配</x:v>
      </x:c>
      <x:c r="U123" s="12" t="str"/>
      <x:c r="V123" s="12" t="str"/>
      <x:c r="W123" s="12" t="str"/>
      <x:c r="X123" s="8" t="str">
        <x:v>verified</x:v>
      </x:c>
      <x:c r="Y123" s="11" t="str"/>
      <x:c r="Z123" s="11" t="str"/>
      <x:c r="AA123" s="11" t="str">
        <x:v>https://arxiv.org/html/2606.14302v2</x:v>
      </x:c>
      <x:c r="AB123" s="11" t="str">
        <x:v>https://arxiv.org/abs/2606.14302</x:v>
      </x:c>
      <x:c r="AC123" s="8" t="str"/>
      <x:c r="AD123" s="8" t="str"/>
      <x:c r="AE123" s="8" t="str"/>
      <x:c r="AF123" s="8" t="str">
        <x:v>用于“自改进模型训练”：先前向执行再回顾整条轨迹评估逐步进度，以自生成进度差分改进 agent 训练。</x:v>
      </x:c>
      <x:c r="AG123" s="8" t="str">
        <x:v>harness</x:v>
      </x:c>
      <x:c r="AH123" s="8" t="str">
        <x:v>Retrospective progress-aware self-refinement training</x:v>
      </x:c>
      <x:c r="AI123" s="8" t="str">
        <x:v>122</x:v>
      </x:c>
      <x:c r="AJ123" s="8" t="str">
        <x:v>survey bibliography</x:v>
      </x:c>
      <x:c r="AK123" s="13" t="d">
        <x:v>2026-10-16T00:00:00.000Z</x:v>
      </x:c>
      <x:c r="AL123" s="8" t="str"/>
      <x:c r="AM123" s="8" t="str">
        <x:v>5.2.4</x:v>
      </x:c>
    </x:row>
    <x:row r="124" ht="68" customHeight="1">
      <x:c r="A124" s="8" t="str">
        <x:v>WA-0123</x:v>
      </x:c>
      <x:c r="B124" s="8" t="str">
        <x:v>Socratic-SWE</x:v>
      </x:c>
      <x:c r="C124" s="8" t="str">
        <x:v>Socratic-SWE: Self-Evolving Coding Agents via Trace-Derived Agent Skills</x:v>
      </x:c>
      <x:c r="D124" s="9" t="n">
        <x:v>2026</x:v>
      </x:c>
      <x:c r="E124" s="8" t="str">
        <x:v>AI Data, Alibaba Group; Shanghai Jiao Tong University</x:v>
      </x:c>
      <x:c r="F124" s="10" t="str">
        <x:f>VLOOKUP(H124,'Taxonomy'!$A$6:$G$70,3,FALSE)</x:f>
        <x:v>优化：从工作经验到系统能力</x:v>
      </x:c>
      <x:c r="G124" s="10" t="str">
        <x:f>VLOOKUP(H124,'Taxonomy'!$A$6:$G$70,5,FALSE)</x:f>
        <x:v>模型优化</x:v>
      </x:c>
      <x:c r="H124" s="8" t="str">
        <x:v>5.2.4</x:v>
      </x:c>
      <x:c r="I124" s="10" t="str">
        <x:f>VLOOKUP(H124,'Taxonomy'!$A$6:$G$70,6,FALSE)</x:f>
        <x:v>自改进模型训练</x:v>
      </x:c>
      <x:c r="J124" s="8" t="str">
        <x:v>模型参数学习;上下文与记忆管理</x:v>
      </x:c>
      <x:c r="K124" s="8" t="str">
        <x:v>推理与决策;执行与状态管理</x:v>
      </x:c>
      <x:c r="L124" s="8" t="str"/>
      <x:c r="M124" s="8" t="str">
        <x:v>自改进模型训练</x:v>
      </x:c>
      <x:c r="N124" s="8" t="str">
        <x:v>Method</x:v>
      </x:c>
      <x:c r="O124" s="11" t="str">
        <x:v>https://arxiv.org/abs/2606.07412</x:v>
      </x:c>
      <x:c r="P124" s="8" t="str">
        <x:v>从历史求解轨迹提炼失败与修复技能，用技能引导针对当前弱点的新 SWE 任务生成和训练。</x:v>
      </x:c>
      <x:c r="Q124" s="8" t="str"/>
      <x:c r="R124" s="8" t="str"/>
      <x:c r="S124" s="8" t="str"/>
      <x:c r="T124" s="12" t="str">
        <x:v>未分配</x:v>
      </x:c>
      <x:c r="U124" s="12" t="str"/>
      <x:c r="V124" s="12" t="str"/>
      <x:c r="W124" s="12" t="str"/>
      <x:c r="X124" s="8" t="str">
        <x:v>verified</x:v>
      </x:c>
      <x:c r="Y124" s="11" t="str"/>
      <x:c r="Z124" s="11" t="str"/>
      <x:c r="AA124" s="11" t="str">
        <x:v>https://arxiv.org/html/2606.07412v1</x:v>
      </x:c>
      <x:c r="AB124" s="11" t="str">
        <x:v>https://arxiv.org/abs/2606.07412</x:v>
      </x:c>
      <x:c r="AC124" s="8" t="str"/>
      <x:c r="AD124" s="8" t="str"/>
      <x:c r="AE124" s="8" t="str"/>
      <x:c r="AF124" s="8" t="str">
        <x:v>用于“自改进模型训练”：从历史求解轨迹提炼失败与修复技能，用技能引导针对当前弱点的新 SWE 任务生成和训练。</x:v>
      </x:c>
      <x:c r="AG124" s="8" t="str">
        <x:v>swe-science</x:v>
      </x:c>
      <x:c r="AH124" s="8" t="str">
        <x:v>Trace-derived skills for failure-driven task evolution</x:v>
      </x:c>
      <x:c r="AI124" s="8" t="str">
        <x:v>123</x:v>
      </x:c>
      <x:c r="AJ124" s="8" t="str">
        <x:v>survey bibliography</x:v>
      </x:c>
      <x:c r="AK124" s="13" t="d">
        <x:v>2026-10-16T00:00:00.000Z</x:v>
      </x:c>
      <x:c r="AL124" s="8" t="str"/>
      <x:c r="AM124" s="8" t="str">
        <x:v>5.2.4</x:v>
      </x:c>
    </x:row>
    <x:row r="125" ht="68" customHeight="1">
      <x:c r="A125" s="8" t="str">
        <x:v>WA-0124</x:v>
      </x:c>
      <x:c r="B125" s="8" t="str">
        <x:v>Function-Aware FIM</x:v>
      </x:c>
      <x:c r="C125" s="8" t="str">
        <x:v>Function-Aware Fill-in-the-Middle as Mid-Training for Coding Agent Foundation Models</x:v>
      </x:c>
      <x:c r="D125" s="9" t="n">
        <x:v>2026</x:v>
      </x:c>
      <x:c r="E125" s="8" t="str">
        <x:v>University of Waterloo; University of British Columbia; NVIDIA; Verdent AI; Vector Institute</x:v>
      </x:c>
      <x:c r="F125" s="10" t="str">
        <x:f>VLOOKUP(H125,'Taxonomy'!$A$6:$G$70,3,FALSE)</x:f>
        <x:v>优化：从工作经验到系统能力</x:v>
      </x:c>
      <x:c r="G125" s="10" t="str">
        <x:f>VLOOKUP(H125,'Taxonomy'!$A$6:$G$70,5,FALSE)</x:f>
        <x:v>模型优化</x:v>
      </x:c>
      <x:c r="H125" s="8" t="str">
        <x:v>5.2.1</x:v>
      </x:c>
      <x:c r="I125" s="10" t="str">
        <x:f>VLOOKUP(H125,'Taxonomy'!$A$6:$G$70,6,FALSE)</x:f>
        <x:v>中期训练与监督微调</x:v>
      </x:c>
      <x:c r="J125" s="8" t="str">
        <x:v>模型参数学习</x:v>
      </x:c>
      <x:c r="K125" s="8" t="str">
        <x:v>推理与决策;执行与状态管理</x:v>
      </x:c>
      <x:c r="L125" s="8" t="str"/>
      <x:c r="M125" s="8" t="str">
        <x:v>中期训练与监督微调</x:v>
      </x:c>
      <x:c r="N125" s="8" t="str">
        <x:v>Method</x:v>
      </x:c>
      <x:c r="O125" s="11" t="str">
        <x:v>https://arxiv.org/abs/2607.12463</x:v>
      </x:c>
      <x:c r="P125" s="8" t="str">
        <x:v>利用函数调用与 agent 动作–观测–继续推理的同构关系，通过函数级 FIM 中训练增强工具返回利用。</x:v>
      </x:c>
      <x:c r="Q125" s="8" t="str"/>
      <x:c r="R125" s="8" t="str"/>
      <x:c r="S125" s="8" t="str"/>
      <x:c r="T125" s="12" t="str">
        <x:v>未分配</x:v>
      </x:c>
      <x:c r="U125" s="12" t="str"/>
      <x:c r="V125" s="12" t="str"/>
      <x:c r="W125" s="12" t="str"/>
      <x:c r="X125" s="8" t="str">
        <x:v>verified</x:v>
      </x:c>
      <x:c r="Y125" s="11" t="str">
        <x:v>https://github.com/TIGER-AI-Lab/FIM-Midtraining</x:v>
      </x:c>
      <x:c r="Z125" s="11" t="str"/>
      <x:c r="AA125" s="11" t="str">
        <x:v>https://arxiv.org/html/2607.12463v3</x:v>
      </x:c>
      <x:c r="AB125" s="11" t="str">
        <x:v>https://arxiv.org/abs/2607.12463</x:v>
      </x:c>
      <x:c r="AC125" s="8" t="str"/>
      <x:c r="AD125" s="8" t="str"/>
      <x:c r="AE125" s="8" t="str"/>
      <x:c r="AF125" s="8" t="str">
        <x:v>用于“中期训练与监督微调”：利用函数调用与 agent 动作–观测–继续推理的同构关系，通过函数级 FIM 中训练增强工具返回利用。</x:v>
      </x:c>
      <x:c r="AG125" s="8" t="str">
        <x:v>swe-science</x:v>
      </x:c>
      <x:c r="AH125" s="8" t="str">
        <x:v>Function-aware fill-in-the-middle mid-training</x:v>
      </x:c>
      <x:c r="AI125" s="8" t="str">
        <x:v>124</x:v>
      </x:c>
      <x:c r="AJ125" s="8" t="str">
        <x:v>survey bibliography</x:v>
      </x:c>
      <x:c r="AK125" s="13" t="d">
        <x:v>2026-10-16T00:00:00.000Z</x:v>
      </x:c>
      <x:c r="AL125" s="8" t="str"/>
      <x:c r="AM125" s="8" t="str">
        <x:v>5.2.1</x:v>
      </x:c>
    </x:row>
    <x:row r="126" ht="68" customHeight="1">
      <x:c r="A126" s="8" t="str">
        <x:v>WA-0125</x:v>
      </x:c>
      <x:c r="B126" s="8" t="str">
        <x:v>UI-Mate</x:v>
      </x:c>
      <x:c r="C126" s="8" t="str">
        <x:v>UI-Mate: Advancing Open-Weight Foundation GUI Agents with In-Context Demonstrations</x:v>
      </x:c>
      <x:c r="D126" s="9" t="n">
        <x:v>2026</x:v>
      </x:c>
      <x:c r="E126" s="8" t="str">
        <x:v>Tencent Hy Frontier Team</x:v>
      </x:c>
      <x:c r="F126" s="10" t="str">
        <x:f>VLOOKUP(H126,'Taxonomy'!$A$6:$G$70,3,FALSE)</x:f>
        <x:v>优化：从工作经验到系统能力</x:v>
      </x:c>
      <x:c r="G126" s="10" t="str">
        <x:f>VLOOKUP(H126,'Taxonomy'!$A$6:$G$70,5,FALSE)</x:f>
        <x:v>模型优化</x:v>
      </x:c>
      <x:c r="H126" s="8" t="str">
        <x:v>5.2.1</x:v>
      </x:c>
      <x:c r="I126" s="10" t="str">
        <x:f>VLOOKUP(H126,'Taxonomy'!$A$6:$G$70,6,FALSE)</x:f>
        <x:v>中期训练与监督微调</x:v>
      </x:c>
      <x:c r="J126" s="8" t="str">
        <x:v>模型参数学习</x:v>
      </x:c>
      <x:c r="K126" s="8" t="str">
        <x:v>感知与理解;规划与协调;执行与状态管理;验证、恢复与重新规划</x:v>
      </x:c>
      <x:c r="L126" s="8" t="str">
        <x:v>5.2.2 智能体强化学习</x:v>
      </x:c>
      <x:c r="M126" s="8" t="str">
        <x:v>中期训练与监督微调;智能体强化学习</x:v>
      </x:c>
      <x:c r="N126" s="8" t="str">
        <x:v>Method;Framework</x:v>
      </x:c>
      <x:c r="O126" s="11" t="str">
        <x:v>https://arxiv.org/abs/2608.15930</x:v>
      </x:c>
      <x:c r="P126" s="8" t="str">
        <x:v>统一环境构建、轨迹过滤、能力平衡、SFT 与在线 RL，并通过上下文示范约束用户特定操作。</x:v>
      </x:c>
      <x:c r="Q126" s="8" t="str"/>
      <x:c r="R126" s="8" t="str"/>
      <x:c r="S126" s="8" t="str"/>
      <x:c r="T126" s="12" t="str">
        <x:v>未分配</x:v>
      </x:c>
      <x:c r="U126" s="12" t="str"/>
      <x:c r="V126" s="12" t="str"/>
      <x:c r="W126" s="12" t="str"/>
      <x:c r="X126" s="8" t="str">
        <x:v>verified</x:v>
      </x:c>
      <x:c r="Y126" s="11" t="str"/>
      <x:c r="Z126" s="11" t="str"/>
      <x:c r="AA126" s="11" t="str">
        <x:v>https://arxiv.org/html/2608.15930v1</x:v>
      </x:c>
      <x:c r="AB126" s="11" t="str">
        <x:v>https://arxiv.org/abs/2608.15930</x:v>
      </x:c>
      <x:c r="AC126" s="8" t="str"/>
      <x:c r="AD126" s="8" t="str"/>
      <x:c r="AE126" s="8" t="str"/>
      <x:c r="AF126" s="8" t="str">
        <x:v>用于“中期训练与监督微调”：统一环境构建、轨迹过滤、能力平衡、SFT 与在线 RL，并通过上下文示范约束用户特定操作。</x:v>
      </x:c>
      <x:c r="AG126" s="8" t="str">
        <x:v>computer-use</x:v>
      </x:c>
      <x:c r="AH126" s="8" t="str">
        <x:v>Environment-grounded training and in-context demonstrations</x:v>
      </x:c>
      <x:c r="AI126" s="8" t="str">
        <x:v>125</x:v>
      </x:c>
      <x:c r="AJ126" s="8" t="str">
        <x:v>survey bibliography</x:v>
      </x:c>
      <x:c r="AK126" s="13" t="d">
        <x:v>2026-10-16T00:00:00.000Z</x:v>
      </x:c>
      <x:c r="AL126" s="8" t="str">
        <x:v>当前首页署名团队，保留可核实的团队/机构名称。</x:v>
      </x:c>
      <x:c r="AM126" s="8" t="str">
        <x:v>5.2.1;5.2.2</x:v>
      </x:c>
    </x:row>
    <x:row r="127" ht="68" customHeight="1">
      <x:c r="A127" s="8" t="str">
        <x:v>WA-0126</x:v>
      </x:c>
      <x:c r="B127" s="8" t="str">
        <x:v>MiLDEdit / MiLDEAgent</x:v>
      </x:c>
      <x:c r="C127" s="8" t="str">
        <x:v>MiLDEdit: Reasoning-Based Multi-Layer Design Document Editing</x:v>
      </x:c>
      <x:c r="D127" s="9" t="n">
        <x:v>2026</x:v>
      </x:c>
      <x:c r="E127" s="8" t="str">
        <x:v>University of California, Davis; Adobe; University of Wisconsin–Madison; Princeton University</x:v>
      </x:c>
      <x:c r="F127" s="10" t="str">
        <x:f>VLOOKUP(H127,'Taxonomy'!$A$6:$G$70,3,FALSE)</x:f>
        <x:v>优化：从工作经验到系统能力</x:v>
      </x:c>
      <x:c r="G127" s="10" t="str">
        <x:f>VLOOKUP(H127,'Taxonomy'!$A$6:$G$70,5,FALSE)</x:f>
        <x:v>模型优化</x:v>
      </x:c>
      <x:c r="H127" s="8" t="str">
        <x:v>5.2.2</x:v>
      </x:c>
      <x:c r="I127" s="10" t="str">
        <x:f>VLOOKUP(H127,'Taxonomy'!$A$6:$G$70,6,FALSE)</x:f>
        <x:v>智能体强化学习</x:v>
      </x:c>
      <x:c r="J127" s="8" t="str">
        <x:v>模型参数学习;原生工件生成与编辑;对象结构、模态与语义</x:v>
      </x:c>
      <x:c r="K127" s="8" t="str">
        <x:v>感知与理解;推理与决策;执行与状态管理;验证、恢复与重新规划</x:v>
      </x:c>
      <x:c r="L127" s="8" t="str"/>
      <x:c r="M127" s="8" t="str">
        <x:v>智能体强化学习</x:v>
      </x:c>
      <x:c r="N127" s="8" t="str">
        <x:v>Method;Benchmark</x:v>
      </x:c>
      <x:c r="O127" s="11" t="str">
        <x:v>https://arxiv.org/abs/2601.04589</x:v>
      </x:c>
      <x:c r="P127" s="8" t="str">
        <x:v>结合 RL 多模态推理器与图像编辑器进行分层文档修改，并提出 MiLDEBench 和 MiLDEEval。</x:v>
      </x:c>
      <x:c r="Q127" s="8" t="str"/>
      <x:c r="R127" s="8" t="str"/>
      <x:c r="S127" s="8" t="str"/>
      <x:c r="T127" s="12" t="str">
        <x:v>未分配</x:v>
      </x:c>
      <x:c r="U127" s="12" t="str"/>
      <x:c r="V127" s="12" t="str"/>
      <x:c r="W127" s="12" t="str"/>
      <x:c r="X127" s="8" t="str">
        <x:v>verified</x:v>
      </x:c>
      <x:c r="Y127" s="11" t="str"/>
      <x:c r="Z127" s="11" t="str"/>
      <x:c r="AA127" s="11" t="str">
        <x:v>https://arxiv.org/pdf/2601.04589</x:v>
      </x:c>
      <x:c r="AB127" s="11" t="str">
        <x:v>https://arxiv.org/abs/2601.04589</x:v>
      </x:c>
      <x:c r="AC127" s="8" t="str"/>
      <x:c r="AD127" s="8" t="str"/>
      <x:c r="AE127" s="8" t="str"/>
      <x:c r="AF127" s="8" t="str">
        <x:v>用于“智能体强化学习”：结合 RL 多模态推理器与图像编辑器进行分层文档修改，并提出 MiLDEBench 和 MiLDEEval。</x:v>
      </x:c>
      <x:c r="AG127" s="8" t="str">
        <x:v>artifact</x:v>
      </x:c>
      <x:c r="AH127" s="8" t="str">
        <x:v>Layer-aware design-document editing</x:v>
      </x:c>
      <x:c r="AI127" s="8" t="str">
        <x:v>126</x:v>
      </x:c>
      <x:c r="AJ127" s="8" t="str">
        <x:v>survey bibliography</x:v>
      </x:c>
      <x:c r="AK127" s="13" t="d">
        <x:v>2026-10-16T00:00:00.000Z</x:v>
      </x:c>
      <x:c r="AL127" s="8" t="str">
        <x:v>机构由 PDF 首页核实；包含方法、基准与专用评价协议，不能归为纯文档问答。</x:v>
      </x:c>
      <x:c r="AM127" s="8" t="str">
        <x:v>5.2.2</x:v>
      </x:c>
    </x:row>
    <x:row r="128" ht="68" customHeight="1">
      <x:c r="A128" s="8" t="str">
        <x:v>WA-0127</x:v>
      </x:c>
      <x:c r="B128" s="8" t="str">
        <x:v>Revisiting DAgger</x:v>
      </x:c>
      <x:c r="C128" s="8" t="str">
        <x:v>Revisiting DAgger in the Era of LLM-Agents</x:v>
      </x:c>
      <x:c r="D128" s="9" t="n">
        <x:v>2026</x:v>
      </x:c>
      <x:c r="E128" s="8" t="str">
        <x:v>Georgia Institute of Technology; ETH Zurich</x:v>
      </x:c>
      <x:c r="F128" s="10" t="str">
        <x:f>VLOOKUP(H128,'Taxonomy'!$A$6:$G$70,3,FALSE)</x:f>
        <x:v>优化：从工作经验到系统能力</x:v>
      </x:c>
      <x:c r="G128" s="10" t="str">
        <x:f>VLOOKUP(H128,'Taxonomy'!$A$6:$G$70,5,FALSE)</x:f>
        <x:v>模型优化</x:v>
      </x:c>
      <x:c r="H128" s="8" t="str">
        <x:v>5.2.3</x:v>
      </x:c>
      <x:c r="I128" s="10" t="str">
        <x:f>VLOOKUP(H128,'Taxonomy'!$A$6:$G$70,6,FALSE)</x:f>
        <x:v>同策略蒸馏</x:v>
      </x:c>
      <x:c r="J128" s="8" t="str">
        <x:v>模型参数学习</x:v>
      </x:c>
      <x:c r="K128" s="8" t="str">
        <x:v>执行与状态管理;验证、恢复与重新规划</x:v>
      </x:c>
      <x:c r="L128" s="8" t="str"/>
      <x:c r="M128" s="8" t="str">
        <x:v>同策略蒸馏</x:v>
      </x:c>
      <x:c r="N128" s="8" t="str">
        <x:v>Method</x:v>
      </x:c>
      <x:c r="O128" s="11" t="str">
        <x:v>https://arxiv.org/abs/2605.12913</x:v>
      </x:c>
      <x:c r="P128" s="8" t="str">
        <x:v>在多轮 rollout 中逐轮混合学生与教师动作，再监督训练以缓解离策略模仿的分布偏移。</x:v>
      </x:c>
      <x:c r="Q128" s="8" t="str"/>
      <x:c r="R128" s="8" t="str"/>
      <x:c r="S128" s="8" t="str"/>
      <x:c r="T128" s="12" t="str">
        <x:v>未分配</x:v>
      </x:c>
      <x:c r="U128" s="12" t="str"/>
      <x:c r="V128" s="12" t="str"/>
      <x:c r="W128" s="12" t="str"/>
      <x:c r="X128" s="8" t="str">
        <x:v>verified</x:v>
      </x:c>
      <x:c r="Y128" s="11" t="str"/>
      <x:c r="Z128" s="11" t="str"/>
      <x:c r="AA128" s="11" t="str">
        <x:v>https://arxiv.org/html/2605.12913v1</x:v>
      </x:c>
      <x:c r="AB128" s="11" t="str">
        <x:v>https://arxiv.org/abs/2605.12913</x:v>
      </x:c>
      <x:c r="AC128" s="8" t="str"/>
      <x:c r="AD128" s="8" t="str"/>
      <x:c r="AE128" s="8" t="str"/>
      <x:c r="AF128" s="8" t="str">
        <x:v>用于“同策略蒸馏”：在多轮 rollout 中逐轮混合学生与教师动作，再监督训练以缓解离策略模仿的分布偏移。</x:v>
      </x:c>
      <x:c r="AG128" s="8" t="str">
        <x:v>harness</x:v>
      </x:c>
      <x:c r="AH128" s="8" t="str">
        <x:v>Turn-level student–teacher data aggregation</x:v>
      </x:c>
      <x:c r="AI128" s="8" t="str">
        <x:v>127</x:v>
      </x:c>
      <x:c r="AJ128" s="8" t="str">
        <x:v>survey bibliography</x:v>
      </x:c>
      <x:c r="AK128" s="13" t="d">
        <x:v>2026-10-16T00:00:00.000Z</x:v>
      </x:c>
      <x:c r="AL128" s="8" t="str"/>
      <x:c r="AM128" s="8" t="str">
        <x:v>5.2.3</x:v>
      </x:c>
    </x:row>
    <x:row r="129" ht="96" customHeight="1">
      <x:c r="A129" s="8" t="str">
        <x:v>WA-0128</x:v>
      </x:c>
      <x:c r="B129" s="8" t="str">
        <x:v>Guided-OPD</x:v>
      </x:c>
      <x:c r="C129" s="8" t="str">
        <x:v>On-Policy Distillation with Curriculum Turn-level Guidance for Multi-turn Agents</x:v>
      </x:c>
      <x:c r="D129" s="9" t="n">
        <x:v>2026</x:v>
      </x:c>
      <x:c r="E129" s="8" t="str">
        <x:v>Institute of Automation, Chinese Academy of Sciences; University of Chinese Academy of Sciences; Tencent Large Language Model Department; University of Science and Technology of China; Zhejiang University; National University of Singapore; Wuhan AI Research</x:v>
      </x:c>
      <x:c r="F129" s="10" t="str">
        <x:f>VLOOKUP(H129,'Taxonomy'!$A$6:$G$70,3,FALSE)</x:f>
        <x:v>优化：从工作经验到系统能力</x:v>
      </x:c>
      <x:c r="G129" s="10" t="str">
        <x:f>VLOOKUP(H129,'Taxonomy'!$A$6:$G$70,5,FALSE)</x:f>
        <x:v>模型优化</x:v>
      </x:c>
      <x:c r="H129" s="8" t="str">
        <x:v>5.2.3</x:v>
      </x:c>
      <x:c r="I129" s="10" t="str">
        <x:f>VLOOKUP(H129,'Taxonomy'!$A$6:$G$70,6,FALSE)</x:f>
        <x:v>同策略蒸馏</x:v>
      </x:c>
      <x:c r="J129" s="8" t="str">
        <x:v>模型参数学习</x:v>
      </x:c>
      <x:c r="K129" s="8" t="str">
        <x:v>执行与状态管理;验证、恢复与重新规划</x:v>
      </x:c>
      <x:c r="L129" s="8" t="str"/>
      <x:c r="M129" s="8" t="str">
        <x:v>同策略蒸馏</x:v>
      </x:c>
      <x:c r="N129" s="8" t="str">
        <x:v>Method</x:v>
      </x:c>
      <x:c r="O129" s="11" t="str">
        <x:v>https://arxiv.org/abs/2606.15912</x:v>
      </x:c>
      <x:c r="P129" s="8" t="str">
        <x:v>在 rollout 内按课程混合教师与学生轮次，让教师监督覆盖学生误差导致的偏移状态。</x:v>
      </x:c>
      <x:c r="Q129" s="8" t="str"/>
      <x:c r="R129" s="8" t="str"/>
      <x:c r="S129" s="8" t="str"/>
      <x:c r="T129" s="12" t="str">
        <x:v>未分配</x:v>
      </x:c>
      <x:c r="U129" s="12" t="str"/>
      <x:c r="V129" s="12" t="str"/>
      <x:c r="W129" s="12" t="str"/>
      <x:c r="X129" s="8" t="str">
        <x:v>verified</x:v>
      </x:c>
      <x:c r="Y129" s="11" t="str"/>
      <x:c r="Z129" s="11" t="str"/>
      <x:c r="AA129" s="11" t="str">
        <x:v>https://arxiv.org/html/2606.15912v2</x:v>
      </x:c>
      <x:c r="AB129" s="11" t="str">
        <x:v>https://arxiv.org/abs/2606.15912</x:v>
      </x:c>
      <x:c r="AC129" s="8" t="str"/>
      <x:c r="AD129" s="8" t="str"/>
      <x:c r="AE129" s="8" t="str"/>
      <x:c r="AF129" s="8" t="str">
        <x:v>用于“同策略蒸馏”：在 rollout 内按课程混合教师与学生轮次，让教师监督覆盖学生误差导致的偏移状态。</x:v>
      </x:c>
      <x:c r="AG129" s="8" t="str">
        <x:v>harness</x:v>
      </x:c>
      <x:c r="AH129" s="8" t="str">
        <x:v>Curriculum turn-level teacher guidance</x:v>
      </x:c>
      <x:c r="AI129" s="8" t="str">
        <x:v>128</x:v>
      </x:c>
      <x:c r="AJ129" s="8" t="str">
        <x:v>survey bibliography</x:v>
      </x:c>
      <x:c r="AK129" s="13" t="d">
        <x:v>2026-10-16T00:00:00.000Z</x:v>
      </x:c>
      <x:c r="AL129" s="8" t="str">
        <x:v>论文给出的官方仓库 https://github.com/Zzzz-166/Guided-OPD 在 2026-10-16 检查返回404，保留为待恢复资源，不列为可用代码。</x:v>
      </x:c>
      <x:c r="AM129" s="8" t="str">
        <x:v>5.2.3</x:v>
      </x:c>
    </x:row>
    <x:row r="130" ht="68" customHeight="1">
      <x:c r="A130" s="8" t="str">
        <x:v>WA-0129</x:v>
      </x:c>
      <x:c r="B130" s="8" t="str">
        <x:v>SOD</x:v>
      </x:c>
      <x:c r="C130" s="8" t="str">
        <x:v>SOD: Step-wise On-policy Distillation for Small Language Model Agents</x:v>
      </x:c>
      <x:c r="D130" s="9" t="n">
        <x:v>2026</x:v>
      </x:c>
      <x:c r="E130" s="8" t="str">
        <x:v>Zhejiang University; Tencent Large Language Model Department; University of Science and Technology of China; National University of Singapore</x:v>
      </x:c>
      <x:c r="F130" s="10" t="str">
        <x:f>VLOOKUP(H130,'Taxonomy'!$A$6:$G$70,3,FALSE)</x:f>
        <x:v>优化：从工作经验到系统能力</x:v>
      </x:c>
      <x:c r="G130" s="10" t="str">
        <x:f>VLOOKUP(H130,'Taxonomy'!$A$6:$G$70,5,FALSE)</x:f>
        <x:v>模型优化</x:v>
      </x:c>
      <x:c r="H130" s="8" t="str">
        <x:v>5.2.3</x:v>
      </x:c>
      <x:c r="I130" s="10" t="str">
        <x:f>VLOOKUP(H130,'Taxonomy'!$A$6:$G$70,6,FALSE)</x:f>
        <x:v>同策略蒸馏</x:v>
      </x:c>
      <x:c r="J130" s="8" t="str">
        <x:v>模型参数学习</x:v>
      </x:c>
      <x:c r="K130" s="8" t="str">
        <x:v>推理与决策;执行与状态管理;验证、恢复与重新规划</x:v>
      </x:c>
      <x:c r="L130" s="8" t="str"/>
      <x:c r="M130" s="8" t="str">
        <x:v>同策略蒸馏</x:v>
      </x:c>
      <x:c r="N130" s="8" t="str">
        <x:v>Method</x:v>
      </x:c>
      <x:c r="O130" s="11" t="str">
        <x:v>https://arxiv.org/abs/2605.07725</x:v>
      </x:c>
      <x:c r="P130" s="8" t="str">
        <x:v>按步骤蒸馏小模型工具推理，抑制错误调用在后续推理中级联及师生偏离。</x:v>
      </x:c>
      <x:c r="Q130" s="8" t="str"/>
      <x:c r="R130" s="8" t="str"/>
      <x:c r="S130" s="8" t="str"/>
      <x:c r="T130" s="12" t="str">
        <x:v>未分配</x:v>
      </x:c>
      <x:c r="U130" s="12" t="str"/>
      <x:c r="V130" s="12" t="str"/>
      <x:c r="W130" s="12" t="str"/>
      <x:c r="X130" s="8" t="str">
        <x:v>verified</x:v>
      </x:c>
      <x:c r="Y130" s="11" t="str">
        <x:v>https://github.com/YoungZ365/SOD</x:v>
      </x:c>
      <x:c r="Z130" s="11" t="str"/>
      <x:c r="AA130" s="11" t="str">
        <x:v>https://arxiv.org/html/2605.07725v3</x:v>
      </x:c>
      <x:c r="AB130" s="11" t="str">
        <x:v>https://arxiv.org/abs/2605.07725</x:v>
      </x:c>
      <x:c r="AC130" s="8" t="str"/>
      <x:c r="AD130" s="8" t="str"/>
      <x:c r="AE130" s="8" t="str"/>
      <x:c r="AF130" s="8" t="str">
        <x:v>用于“同策略蒸馏”：按步骤蒸馏小模型工具推理，抑制错误调用在后续推理中级联及师生偏离。</x:v>
      </x:c>
      <x:c r="AG130" s="8" t="str">
        <x:v>harness</x:v>
      </x:c>
      <x:c r="AH130" s="8" t="str">
        <x:v>Step-wise on-policy distillation</x:v>
      </x:c>
      <x:c r="AI130" s="8" t="str">
        <x:v>129</x:v>
      </x:c>
      <x:c r="AJ130" s="8" t="str">
        <x:v>survey bibliography</x:v>
      </x:c>
      <x:c r="AK130" s="13" t="d">
        <x:v>2026-10-16T00:00:00.000Z</x:v>
      </x:c>
      <x:c r="AL130" s="8" t="str"/>
      <x:c r="AM130" s="8" t="str">
        <x:v>5.2.3</x:v>
      </x:c>
    </x:row>
    <x:row r="131" ht="68" customHeight="1">
      <x:c r="A131" s="8" t="str">
        <x:v>WA-0130</x:v>
      </x:c>
      <x:c r="B131" s="8" t="str">
        <x:v>Skill-SD</x:v>
      </x:c>
      <x:c r="C131" s="8" t="str">
        <x:v>Skill-SD: Skill-Conditioned Self-Distillation for Multi-turn LLM Agents</x:v>
      </x:c>
      <x:c r="D131" s="9" t="n">
        <x:v>2026</x:v>
      </x:c>
      <x:c r="E131" s="8" t="str">
        <x:v>University of Chinese Academy of Sciences; vivo AI Lab; University of Science and Technology of China; The Chinese University of Hong Kong</x:v>
      </x:c>
      <x:c r="F131" s="10" t="str">
        <x:f>VLOOKUP(H131,'Taxonomy'!$A$6:$G$70,3,FALSE)</x:f>
        <x:v>优化：从工作经验到系统能力</x:v>
      </x:c>
      <x:c r="G131" s="10" t="str">
        <x:f>VLOOKUP(H131,'Taxonomy'!$A$6:$G$70,5,FALSE)</x:f>
        <x:v>模型优化</x:v>
      </x:c>
      <x:c r="H131" s="8" t="str">
        <x:v>5.2.4</x:v>
      </x:c>
      <x:c r="I131" s="10" t="str">
        <x:f>VLOOKUP(H131,'Taxonomy'!$A$6:$G$70,6,FALSE)</x:f>
        <x:v>自改进模型训练</x:v>
      </x:c>
      <x:c r="J131" s="8" t="str">
        <x:v>模型参数学习;上下文与记忆管理</x:v>
      </x:c>
      <x:c r="K131" s="8" t="str">
        <x:v>推理与决策;执行与状态管理</x:v>
      </x:c>
      <x:c r="L131" s="8" t="str"/>
      <x:c r="M131" s="8" t="str">
        <x:v>自改进模型训练;同策略蒸馏</x:v>
      </x:c>
      <x:c r="N131" s="8" t="str">
        <x:v>Method</x:v>
      </x:c>
      <x:c r="O131" s="11" t="str">
        <x:v>https://arxiv.org/abs/2604.10674</x:v>
      </x:c>
      <x:c r="P131" s="8" t="str">
        <x:v>把已完成轨迹总结为训练期技能条件，为多轮 agent 提供动态密集自蒸馏信号。</x:v>
      </x:c>
      <x:c r="Q131" s="8" t="str"/>
      <x:c r="R131" s="8" t="str"/>
      <x:c r="S131" s="8" t="str"/>
      <x:c r="T131" s="12" t="str">
        <x:v>未分配</x:v>
      </x:c>
      <x:c r="U131" s="12" t="str"/>
      <x:c r="V131" s="12" t="str"/>
      <x:c r="W131" s="12" t="str"/>
      <x:c r="X131" s="8" t="str">
        <x:v>verified</x:v>
      </x:c>
      <x:c r="Y131" s="11" t="str"/>
      <x:c r="Z131" s="11" t="str"/>
      <x:c r="AA131" s="11" t="str">
        <x:v>https://arxiv.org/html/2604.10674v1</x:v>
      </x:c>
      <x:c r="AB131" s="11" t="str">
        <x:v>https://arxiv.org/abs/2604.10674</x:v>
      </x:c>
      <x:c r="AC131" s="8" t="str"/>
      <x:c r="AD131" s="8" t="str"/>
      <x:c r="AE131" s="8" t="str"/>
      <x:c r="AF131" s="8" t="str">
        <x:v>用于“自改进模型训练”：把已完成轨迹总结为训练期技能条件，为多轮 agent 提供动态密集自蒸馏信号。</x:v>
      </x:c>
      <x:c r="AG131" s="8" t="str">
        <x:v>harness</x:v>
      </x:c>
      <x:c r="AH131" s="8" t="str">
        <x:v>Skill-conditioned on-policy self-distillation</x:v>
      </x:c>
      <x:c r="AI131" s="8" t="str">
        <x:v>130</x:v>
      </x:c>
      <x:c r="AJ131" s="8" t="str">
        <x:v>survey bibliography</x:v>
      </x:c>
      <x:c r="AK131" s="13" t="d">
        <x:v>2026-10-16T00:00:00.000Z</x:v>
      </x:c>
      <x:c r="AL131" s="8" t="str"/>
      <x:c r="AM131" s="8" t="str">
        <x:v>5.2.4</x:v>
      </x:c>
    </x:row>
    <x:row r="132" ht="68" customHeight="1">
      <x:c r="A132" s="8" t="str">
        <x:v>WA-0131</x:v>
      </x:c>
      <x:c r="B132" s="8" t="str">
        <x:v>SRD</x:v>
      </x:c>
      <x:c r="C132" s="8" t="str">
        <x:v>Self-Retrospection Distillation: Turning Post-hoc Experiences into Prior Foresight</x:v>
      </x:c>
      <x:c r="D132" s="9" t="n">
        <x:v>2026</x:v>
      </x:c>
      <x:c r="E132" s="8" t="str">
        <x:v>Salesforce AI Research; University of California, San Diego; Texas A&amp;M University; Stanford University</x:v>
      </x:c>
      <x:c r="F132" s="10" t="str">
        <x:f>VLOOKUP(H132,'Taxonomy'!$A$6:$G$70,3,FALSE)</x:f>
        <x:v>优化：从工作经验到系统能力</x:v>
      </x:c>
      <x:c r="G132" s="10" t="str">
        <x:f>VLOOKUP(H132,'Taxonomy'!$A$6:$G$70,5,FALSE)</x:f>
        <x:v>模型优化</x:v>
      </x:c>
      <x:c r="H132" s="8" t="str">
        <x:v>5.2.4</x:v>
      </x:c>
      <x:c r="I132" s="10" t="str">
        <x:f>VLOOKUP(H132,'Taxonomy'!$A$6:$G$70,6,FALSE)</x:f>
        <x:v>自改进模型训练</x:v>
      </x:c>
      <x:c r="J132" s="8" t="str">
        <x:v>模型参数学习</x:v>
      </x:c>
      <x:c r="K132" s="8" t="str">
        <x:v>推理与决策;执行与状态管理</x:v>
      </x:c>
      <x:c r="L132" s="8" t="str"/>
      <x:c r="M132" s="8" t="str">
        <x:v>自改进模型训练</x:v>
      </x:c>
      <x:c r="N132" s="8" t="str">
        <x:v>Method</x:v>
      </x:c>
      <x:c r="O132" s="11" t="str">
        <x:v>https://arxiv.org/abs/2610.08077</x:v>
      </x:c>
      <x:c r="P132" s="8" t="str">
        <x:v>由事后经历监督交互前应预见的知识与陷阱，在奖励相同的 rollout 组中仍提取学习信号。</x:v>
      </x:c>
      <x:c r="Q132" s="8" t="str"/>
      <x:c r="R132" s="8" t="str"/>
      <x:c r="S132" s="8" t="str"/>
      <x:c r="T132" s="12" t="str">
        <x:v>未分配</x:v>
      </x:c>
      <x:c r="U132" s="12" t="str"/>
      <x:c r="V132" s="12" t="str"/>
      <x:c r="W132" s="12" t="str"/>
      <x:c r="X132" s="8" t="str">
        <x:v>verified</x:v>
      </x:c>
      <x:c r="Y132" s="11" t="str">
        <x:v>https://github.com/SalesforceAIResearch/SRD</x:v>
      </x:c>
      <x:c r="Z132" s="11" t="str"/>
      <x:c r="AA132" s="11" t="str">
        <x:v>https://arxiv.org/html/2610.08077v3</x:v>
      </x:c>
      <x:c r="AB132" s="11" t="str">
        <x:v>https://arxiv.org/abs/2610.08077</x:v>
      </x:c>
      <x:c r="AC132" s="8" t="str"/>
      <x:c r="AD132" s="8" t="str"/>
      <x:c r="AE132" s="8" t="str"/>
      <x:c r="AF132" s="8" t="str">
        <x:v>用于“自改进模型训练”：由事后经历监督交互前应预见的知识与陷阱，在奖励相同的 rollout 组中仍提取学习信号。</x:v>
      </x:c>
      <x:c r="AG132" s="8" t="str">
        <x:v>harness</x:v>
      </x:c>
      <x:c r="AH132" s="8" t="str">
        <x:v>Hindsight-to-foresight self-retrospection distillation</x:v>
      </x:c>
      <x:c r="AI132" s="8" t="str">
        <x:v>131</x:v>
      </x:c>
      <x:c r="AJ132" s="8" t="str">
        <x:v>survey bibliography</x:v>
      </x:c>
      <x:c r="AK132" s="13" t="d">
        <x:v>2026-10-16T00:00:00.000Z</x:v>
      </x:c>
      <x:c r="AL132" s="8" t="str"/>
      <x:c r="AM132" s="8" t="str">
        <x:v>5.2.4</x:v>
      </x:c>
    </x:row>
    <x:row r="133" ht="68" customHeight="1">
      <x:c r="A133" s="8" t="str">
        <x:v>WA-0132</x:v>
      </x:c>
      <x:c r="B133" s="8" t="str">
        <x:v>TACO</x:v>
      </x:c>
      <x:c r="C133" s="8" t="str">
        <x:v>A Self-Evolving Framework for Efficient Terminal Agents via Observational Context Compression</x:v>
      </x:c>
      <x:c r="D133" s="9" t="n">
        <x:v>2026</x:v>
      </x:c>
      <x:c r="E133" s="8" t="str">
        <x:v>University of Manchester; Multimodal Art Projection (MAP); HKUST (Guangzhou); HKUST; Beihang University</x:v>
      </x:c>
      <x:c r="F133" s="10" t="str">
        <x:f>VLOOKUP(H133,'Taxonomy'!$A$6:$G$70,3,FALSE)</x:f>
        <x:v>优化：从工作经验到系统能力</x:v>
      </x:c>
      <x:c r="G133" s="10" t="str">
        <x:f>VLOOKUP(H133,'Taxonomy'!$A$6:$G$70,5,FALSE)</x:f>
        <x:v>运行框架优化</x:v>
      </x:c>
      <x:c r="H133" s="8" t="str">
        <x:v>5.3.1</x:v>
      </x:c>
      <x:c r="I133" s="10" t="str">
        <x:f>VLOOKUP(H133,'Taxonomy'!$A$6:$G$70,6,FALSE)</x:f>
        <x:v>接口与工具优化</x:v>
      </x:c>
      <x:c r="J133" s="8" t="str">
        <x:v>接口与观测优化;上下文与记忆管理</x:v>
      </x:c>
      <x:c r="K133" s="8" t="str">
        <x:v>感知与理解;执行与状态管理</x:v>
      </x:c>
      <x:c r="L133" s="8" t="str"/>
      <x:c r="M133" s="8" t="str">
        <x:v>接口与工具优化</x:v>
      </x:c>
      <x:c r="N133" s="8" t="str">
        <x:v>Method</x:v>
      </x:c>
      <x:c r="O133" s="11" t="str">
        <x:v>https://arxiv.org/abs/2604.19572</x:v>
      </x:c>
      <x:c r="P133" s="8" t="str">
        <x:v>自动发现、修订并复用结构化终端观测压缩策略，减少历史噪声同时保留任务关键信息。</x:v>
      </x:c>
      <x:c r="Q133" s="8" t="str"/>
      <x:c r="R133" s="8" t="str"/>
      <x:c r="S133" s="8" t="str"/>
      <x:c r="T133" s="12" t="str">
        <x:v>未分配</x:v>
      </x:c>
      <x:c r="U133" s="12" t="str"/>
      <x:c r="V133" s="12" t="str"/>
      <x:c r="W133" s="12" t="str"/>
      <x:c r="X133" s="8" t="str">
        <x:v>verified</x:v>
      </x:c>
      <x:c r="Y133" s="11" t="str">
        <x:v>https://github.com/multimodal-art-projection/TACO</x:v>
      </x:c>
      <x:c r="Z133" s="11" t="str"/>
      <x:c r="AA133" s="11" t="str">
        <x:v>https://arxiv.org/html/2604.19572v3</x:v>
      </x:c>
      <x:c r="AB133" s="11" t="str">
        <x:v>https://arxiv.org/abs/2604.19572</x:v>
      </x:c>
      <x:c r="AC133" s="8" t="str"/>
      <x:c r="AD133" s="8" t="str"/>
      <x:c r="AE133" s="8" t="str"/>
      <x:c r="AF133" s="8" t="str">
        <x:v>用于“接口与工具优化”：自动发现、修订并复用结构化终端观测压缩策略，减少历史噪声同时保留任务关键信息。</x:v>
      </x:c>
      <x:c r="AG133" s="8" t="str">
        <x:v>harness</x:v>
      </x:c>
      <x:c r="AH133" s="8" t="str">
        <x:v>Self-evolving terminal observation compression</x:v>
      </x:c>
      <x:c r="AI133" s="8" t="str">
        <x:v>132</x:v>
      </x:c>
      <x:c r="AJ133" s="8" t="str">
        <x:v>survey bibliography</x:v>
      </x:c>
      <x:c r="AK133" s="13" t="d">
        <x:v>2026-10-16T00:00:00.000Z</x:v>
      </x:c>
      <x:c r="AL133" s="8" t="str"/>
      <x:c r="AM133" s="8" t="str">
        <x:v>5.3.1</x:v>
      </x:c>
    </x:row>
    <x:row r="134" ht="68" customHeight="1">
      <x:c r="A134" s="8" t="str">
        <x:v>WA-0133</x:v>
      </x:c>
      <x:c r="B134" s="8" t="str">
        <x:v>JTPRO</x:v>
      </x:c>
      <x:c r="C134" s="8" t="str">
        <x:v>JTPRO: A Joint Tool-Prompt Reflective Optimization Framework for Language Agents</x:v>
      </x:c>
      <x:c r="D134" s="9" t="n">
        <x:v>2026</x:v>
      </x:c>
      <x:c r="E134" s="8" t="str">
        <x:v>Oracle AI</x:v>
      </x:c>
      <x:c r="F134" s="10" t="str">
        <x:f>VLOOKUP(H134,'Taxonomy'!$A$6:$G$70,3,FALSE)</x:f>
        <x:v>优化：从工作经验到系统能力</x:v>
      </x:c>
      <x:c r="G134" s="10" t="str">
        <x:f>VLOOKUP(H134,'Taxonomy'!$A$6:$G$70,5,FALSE)</x:f>
        <x:v>运行框架优化</x:v>
      </x:c>
      <x:c r="H134" s="8" t="str">
        <x:v>5.3.1</x:v>
      </x:c>
      <x:c r="I134" s="10" t="str">
        <x:f>VLOOKUP(H134,'Taxonomy'!$A$6:$G$70,6,FALSE)</x:f>
        <x:v>接口与工具优化</x:v>
      </x:c>
      <x:c r="J134" s="8" t="str">
        <x:v>接口与观测优化;工具、界面与应用执行</x:v>
      </x:c>
      <x:c r="K134" s="8" t="str">
        <x:v>推理与决策;执行与状态管理;验证、恢复与重新规划</x:v>
      </x:c>
      <x:c r="L134" s="8" t="str"/>
      <x:c r="M134" s="8" t="str">
        <x:v>接口与工具优化</x:v>
      </x:c>
      <x:c r="N134" s="8" t="str">
        <x:v>Method</x:v>
      </x:c>
      <x:c r="O134" s="11" t="str">
        <x:v>https://arxiv.org/abs/2604.19821</x:v>
      </x:c>
      <x:c r="P134" s="8" t="str">
        <x:v>从 rollout 反思共同优化全局指令和单工具 schema，提高工具选择与参数实例化可靠性。</x:v>
      </x:c>
      <x:c r="Q134" s="8" t="str"/>
      <x:c r="R134" s="8" t="str"/>
      <x:c r="S134" s="8" t="str"/>
      <x:c r="T134" s="12" t="str">
        <x:v>未分配</x:v>
      </x:c>
      <x:c r="U134" s="12" t="str"/>
      <x:c r="V134" s="12" t="str"/>
      <x:c r="W134" s="12" t="str"/>
      <x:c r="X134" s="8" t="str">
        <x:v>verified</x:v>
      </x:c>
      <x:c r="Y134" s="11" t="str"/>
      <x:c r="Z134" s="11" t="str"/>
      <x:c r="AA134" s="11" t="str">
        <x:v>https://arxiv.org/html/2604.19821v1</x:v>
      </x:c>
      <x:c r="AB134" s="11" t="str">
        <x:v>https://arxiv.org/abs/2604.19821</x:v>
      </x:c>
      <x:c r="AC134" s="8" t="str"/>
      <x:c r="AD134" s="8" t="str"/>
      <x:c r="AE134" s="8" t="str"/>
      <x:c r="AF134" s="8" t="str">
        <x:v>用于“接口与工具优化”：从 rollout 反思共同优化全局指令和单工具 schema，提高工具选择与参数实例化可靠性。</x:v>
      </x:c>
      <x:c r="AG134" s="8" t="str">
        <x:v>harness</x:v>
      </x:c>
      <x:c r="AH134" s="8" t="str">
        <x:v>Joint prompt and tool-schema optimization</x:v>
      </x:c>
      <x:c r="AI134" s="8" t="str">
        <x:v>133</x:v>
      </x:c>
      <x:c r="AJ134" s="8" t="str">
        <x:v>survey bibliography</x:v>
      </x:c>
      <x:c r="AK134" s="13" t="d">
        <x:v>2026-10-16T00:00:00.000Z</x:v>
      </x:c>
      <x:c r="AL134" s="8" t="str"/>
      <x:c r="AM134" s="8" t="str">
        <x:v>5.3.1</x:v>
      </x:c>
    </x:row>
    <x:row r="135" ht="68" customHeight="1">
      <x:c r="A135" s="8" t="str">
        <x:v>WA-0134</x:v>
      </x:c>
      <x:c r="B135" s="8" t="str">
        <x:v>PRISM / Beyond Prompts</x:v>
      </x:c>
      <x:c r="C135" s="8" t="str">
        <x:v>Beyond Prompts: Measuring and Optimizing LLM Tool-Agent Harnesses</x:v>
      </x:c>
      <x:c r="D135" s="9" t="n">
        <x:v>2026</x:v>
      </x:c>
      <x:c r="E135" s="8" t="str">
        <x:v>Airbnb, Inc.</x:v>
      </x:c>
      <x:c r="F135" s="10" t="str">
        <x:f>VLOOKUP(H135,'Taxonomy'!$A$6:$G$70,3,FALSE)</x:f>
        <x:v>优化：从工作经验到系统能力</x:v>
      </x:c>
      <x:c r="G135" s="10" t="str">
        <x:f>VLOOKUP(H135,'Taxonomy'!$A$6:$G$70,5,FALSE)</x:f>
        <x:v>运行框架优化</x:v>
      </x:c>
      <x:c r="H135" s="8" t="str">
        <x:v>5.3.1</x:v>
      </x:c>
      <x:c r="I135" s="10" t="str">
        <x:f>VLOOKUP(H135,'Taxonomy'!$A$6:$G$70,6,FALSE)</x:f>
        <x:v>接口与工具优化</x:v>
      </x:c>
      <x:c r="J135" s="8" t="str">
        <x:v>接口与观测优化;工具、界面与应用执行</x:v>
      </x:c>
      <x:c r="K135" s="8" t="str">
        <x:v>执行与状态管理;验证、恢复与重新规划</x:v>
      </x:c>
      <x:c r="L135" s="8" t="str"/>
      <x:c r="M135" s="8" t="str">
        <x:v>接口与工具优化</x:v>
      </x:c>
      <x:c r="N135" s="8" t="str">
        <x:v>Method</x:v>
      </x:c>
      <x:c r="O135" s="11" t="str">
        <x:v>https://arxiv.org/abs/2609.05736</x:v>
      </x:c>
      <x:c r="P135" s="8" t="str">
        <x:v>在固定模型下优化提示与受控工具边界中间件，评估预算、重复性和最差条件下的增益。</x:v>
      </x:c>
      <x:c r="Q135" s="8" t="str"/>
      <x:c r="R135" s="8" t="str"/>
      <x:c r="S135" s="8" t="str"/>
      <x:c r="T135" s="12" t="str">
        <x:v>未分配</x:v>
      </x:c>
      <x:c r="U135" s="12" t="str"/>
      <x:c r="V135" s="12" t="str"/>
      <x:c r="W135" s="12" t="str"/>
      <x:c r="X135" s="8" t="str">
        <x:v>verified</x:v>
      </x:c>
      <x:c r="Y135" s="11" t="str">
        <x:v>https://github.com/airbnb/agent-harness-optimizer</x:v>
      </x:c>
      <x:c r="Z135" s="11" t="str"/>
      <x:c r="AA135" s="11" t="str">
        <x:v>https://arxiv.org/html/2609.05736v2</x:v>
      </x:c>
      <x:c r="AB135" s="11" t="str">
        <x:v>https://arxiv.org/abs/2609.05736</x:v>
      </x:c>
      <x:c r="AC135" s="8" t="str"/>
      <x:c r="AD135" s="8" t="str"/>
      <x:c r="AE135" s="8" t="str"/>
      <x:c r="AF135" s="8" t="str">
        <x:v>用于“接口与工具优化”：在固定模型下优化提示与受控工具边界中间件，评估预算、重复性和最差条件下的增益。</x:v>
      </x:c>
      <x:c r="AG135" s="8" t="str">
        <x:v>harness</x:v>
      </x:c>
      <x:c r="AH135" s="8" t="str">
        <x:v>Budgeted prompt and tool-boundary middleware optimization</x:v>
      </x:c>
      <x:c r="AI135" s="8" t="str">
        <x:v>134</x:v>
      </x:c>
      <x:c r="AJ135" s="8" t="str">
        <x:v>survey bibliography</x:v>
      </x:c>
      <x:c r="AK135" s="13" t="d">
        <x:v>2026-10-16T00:00:00.000Z</x:v>
      </x:c>
      <x:c r="AL135" s="8" t="str"/>
      <x:c r="AM135" s="8" t="str">
        <x:v>5.3.1</x:v>
      </x:c>
    </x:row>
    <x:row r="136" ht="68" customHeight="1">
      <x:c r="A136" s="8" t="str">
        <x:v>WA-0135</x:v>
      </x:c>
      <x:c r="B136" s="8" t="str">
        <x:v>GEPA</x:v>
      </x:c>
      <x:c r="C136" s="8" t="str">
        <x:v>GEPA: Reflective Prompt Evolution Can Outperform Reinforcement Learning</x:v>
      </x:c>
      <x:c r="D136" s="9" t="n">
        <x:v>2025</x:v>
      </x:c>
      <x:c r="E136" s="8" t="str">
        <x:v>UC Berkeley; Stanford University; University of Notre Dame; Databricks; BespokeLabs.ai; Massachusetts Institute of Technology</x:v>
      </x:c>
      <x:c r="F136" s="10" t="str">
        <x:f>VLOOKUP(H136,'Taxonomy'!$A$6:$G$70,3,FALSE)</x:f>
        <x:v>优化：从工作经验到系统能力</x:v>
      </x:c>
      <x:c r="G136" s="10" t="str">
        <x:f>VLOOKUP(H136,'Taxonomy'!$A$6:$G$70,5,FALSE)</x:f>
        <x:v>运行框架优化</x:v>
      </x:c>
      <x:c r="H136" s="8" t="str">
        <x:v>5.3.2</x:v>
      </x:c>
      <x:c r="I136" s="10" t="str">
        <x:f>VLOOKUP(H136,'Taxonomy'!$A$6:$G$70,6,FALSE)</x:f>
        <x:v>提示与工作流优化</x:v>
      </x:c>
      <x:c r="J136" s="8" t="str">
        <x:v>提示、流程与 harness 搜索</x:v>
      </x:c>
      <x:c r="K136" s="8" t="str">
        <x:v>推理与决策;验证、恢复与重新规划</x:v>
      </x:c>
      <x:c r="L136" s="8" t="str"/>
      <x:c r="M136" s="8" t="str">
        <x:v>提示与工作流优化</x:v>
      </x:c>
      <x:c r="N136" s="8" t="str">
        <x:v>Method;Framework</x:v>
      </x:c>
      <x:c r="O136" s="11" t="str">
        <x:v>https://arxiv.org/abs/2507.19457</x:v>
      </x:c>
      <x:c r="P136" s="8" t="str">
        <x:v>以自然语言反思诊断执行轨迹，再演化并筛选能跨任务保留优势的提示候选。</x:v>
      </x:c>
      <x:c r="Q136" s="8" t="str"/>
      <x:c r="R136" s="8" t="str"/>
      <x:c r="S136" s="8" t="str"/>
      <x:c r="T136" s="12" t="str">
        <x:v>未分配</x:v>
      </x:c>
      <x:c r="U136" s="12" t="str"/>
      <x:c r="V136" s="12" t="str"/>
      <x:c r="W136" s="12" t="str"/>
      <x:c r="X136" s="8" t="str">
        <x:v>verified</x:v>
      </x:c>
      <x:c r="Y136" s="11" t="str">
        <x:v>https://github.com/gepa-ai/gepa</x:v>
      </x:c>
      <x:c r="Z136" s="11" t="str"/>
      <x:c r="AA136" s="11" t="str">
        <x:v>https://arxiv.org/html/2507.19457v2</x:v>
      </x:c>
      <x:c r="AB136" s="11" t="str">
        <x:v>https://arxiv.org/abs/2507.19457</x:v>
      </x:c>
      <x:c r="AC136" s="8" t="str"/>
      <x:c r="AD136" s="8" t="str"/>
      <x:c r="AE136" s="8" t="str"/>
      <x:c r="AF136" s="8" t="str">
        <x:v>用于“提示与工作流优化”：以自然语言反思诊断执行轨迹，再演化并筛选能跨任务保留优势的提示候选。</x:v>
      </x:c>
      <x:c r="AG136" s="8" t="str">
        <x:v>harness</x:v>
      </x:c>
      <x:c r="AH136" s="8" t="str">
        <x:v>Reflective genetic-Pareto prompt evolution</x:v>
      </x:c>
      <x:c r="AI136" s="8" t="str">
        <x:v>135</x:v>
      </x:c>
      <x:c r="AJ136" s="8" t="str">
        <x:v>survey bibliography</x:v>
      </x:c>
      <x:c r="AK136" s="13" t="d">
        <x:v>2026-10-16T00:00:00.000Z</x:v>
      </x:c>
      <x:c r="AL136" s="8" t="str">
        <x:v>首次预印本 2025；机构按当前论文版本首页记录。</x:v>
      </x:c>
      <x:c r="AM136" s="8" t="str">
        <x:v>5.3.2</x:v>
      </x:c>
    </x:row>
    <x:row r="137" ht="68" customHeight="1">
      <x:c r="A137" s="8" t="str">
        <x:v>WA-0136</x:v>
      </x:c>
      <x:c r="B137" s="8" t="str">
        <x:v>Meta-Harness</x:v>
      </x:c>
      <x:c r="C137" s="8" t="str">
        <x:v>Meta-Harness: End-to-End Optimization of Model Harnesses</x:v>
      </x:c>
      <x:c r="D137" s="9" t="n">
        <x:v>2026</x:v>
      </x:c>
      <x:c r="E137" s="8" t="str">
        <x:v>Stanford University; KRAFTON; Massachusetts Institute of Technology</x:v>
      </x:c>
      <x:c r="F137" s="10" t="str">
        <x:f>VLOOKUP(H137,'Taxonomy'!$A$6:$G$70,3,FALSE)</x:f>
        <x:v>优化：从工作经验到系统能力</x:v>
      </x:c>
      <x:c r="G137" s="10" t="str">
        <x:f>VLOOKUP(H137,'Taxonomy'!$A$6:$G$70,5,FALSE)</x:f>
        <x:v>运行框架优化</x:v>
      </x:c>
      <x:c r="H137" s="8" t="str">
        <x:v>5.3.2</x:v>
      </x:c>
      <x:c r="I137" s="10" t="str">
        <x:f>VLOOKUP(H137,'Taxonomy'!$A$6:$G$70,6,FALSE)</x:f>
        <x:v>提示与工作流优化</x:v>
      </x:c>
      <x:c r="J137" s="8" t="str">
        <x:v>提示、流程与 harness 搜索;上下文与记忆管理</x:v>
      </x:c>
      <x:c r="K137" s="8" t="str">
        <x:v>推理与决策;执行与状态管理;验证、恢复与重新规划</x:v>
      </x:c>
      <x:c r="L137" s="8" t="str"/>
      <x:c r="M137" s="8" t="str">
        <x:v>提示与工作流优化</x:v>
      </x:c>
      <x:c r="N137" s="8" t="str">
        <x:v>Method</x:v>
      </x:c>
      <x:c r="O137" s="11" t="str">
        <x:v>https://arxiv.org/abs/2603.28052</x:v>
      </x:c>
      <x:c r="P137" s="8" t="str">
        <x:v>让提案 agent 通过文件系统访问历次代码、分数与完整轨迹，搜索模型外围 harness 代码。</x:v>
      </x:c>
      <x:c r="Q137" s="8" t="str"/>
      <x:c r="R137" s="8" t="str"/>
      <x:c r="S137" s="8" t="str"/>
      <x:c r="T137" s="12" t="str">
        <x:v>未分配</x:v>
      </x:c>
      <x:c r="U137" s="12" t="str"/>
      <x:c r="V137" s="12" t="str"/>
      <x:c r="W137" s="12" t="str"/>
      <x:c r="X137" s="8" t="str">
        <x:v>verified</x:v>
      </x:c>
      <x:c r="Y137" s="11" t="str">
        <x:v>https://github.com/stanford-iris-lab/meta-harness-tbench2-artifact</x:v>
      </x:c>
      <x:c r="Z137" s="11" t="str"/>
      <x:c r="AA137" s="11" t="str">
        <x:v>https://arxiv.org/html/2603.28052v1</x:v>
      </x:c>
      <x:c r="AB137" s="11" t="str">
        <x:v>https://arxiv.org/abs/2603.28052</x:v>
      </x:c>
      <x:c r="AC137" s="8" t="str"/>
      <x:c r="AD137" s="8" t="str"/>
      <x:c r="AE137" s="8" t="str"/>
      <x:c r="AF137" s="8" t="str">
        <x:v>用于“提示与工作流优化”：让提案 agent 通过文件系统访问历次代码、分数与完整轨迹，搜索模型外围 harness 代码。</x:v>
      </x:c>
      <x:c r="AG137" s="8" t="str">
        <x:v>harness</x:v>
      </x:c>
      <x:c r="AH137" s="8" t="str">
        <x:v>End-to-end harness code optimization</x:v>
      </x:c>
      <x:c r="AI137" s="8" t="str">
        <x:v>136</x:v>
      </x:c>
      <x:c r="AJ137" s="8" t="str">
        <x:v>survey bibliography</x:v>
      </x:c>
      <x:c r="AK137" s="13" t="d">
        <x:v>2026-10-16T00:00:00.000Z</x:v>
      </x:c>
      <x:c r="AL137" s="8" t="str">
        <x:v>官方论文链接提供 Terminal-Bench 2.0 复现实验 artifact 仓库。</x:v>
      </x:c>
      <x:c r="AM137" s="8" t="str">
        <x:v>5.3.2</x:v>
      </x:c>
    </x:row>
    <x:row r="138" ht="82" customHeight="1">
      <x:c r="A138" s="8" t="str">
        <x:v>WA-0137</x:v>
      </x:c>
      <x:c r="B138" s="8" t="str">
        <x:v>AutoDesign</x:v>
      </x:c>
      <x:c r="C138" s="8" t="str">
        <x:v>AutoDesign: Meta-Harness Optimization for Long-Horizon Agentic Design</x:v>
      </x:c>
      <x:c r="D138" s="9" t="n">
        <x:v>2026</x:v>
      </x:c>
      <x:c r="E138" s="8" t="str">
        <x:v>Meituan; Mohamed bin Zayed University of Artificial Intelligence; Huazhong University of Science and Technology; Peking University; Tsinghua University; The Chinese University of Hong Kong; Shanghai Jiao Tong University</x:v>
      </x:c>
      <x:c r="F138" s="10" t="str">
        <x:f>VLOOKUP(H138,'Taxonomy'!$A$6:$G$70,3,FALSE)</x:f>
        <x:v>优化：从工作经验到系统能力</x:v>
      </x:c>
      <x:c r="G138" s="10" t="str">
        <x:f>VLOOKUP(H138,'Taxonomy'!$A$6:$G$70,5,FALSE)</x:f>
        <x:v>运行框架优化</x:v>
      </x:c>
      <x:c r="H138" s="8" t="str">
        <x:v>5.3.2</x:v>
      </x:c>
      <x:c r="I138" s="10" t="str">
        <x:f>VLOOKUP(H138,'Taxonomy'!$A$6:$G$70,6,FALSE)</x:f>
        <x:v>提示与工作流优化</x:v>
      </x:c>
      <x:c r="J138" s="8" t="str">
        <x:v>提示、流程与 harness 搜索;原生工件生成与编辑</x:v>
      </x:c>
      <x:c r="K138" s="8" t="str">
        <x:v>感知与理解;规划与协调;执行与状态管理;验证、恢复与重新规划</x:v>
      </x:c>
      <x:c r="L138" s="8" t="str"/>
      <x:c r="M138" s="8" t="str">
        <x:v>提示与工作流优化</x:v>
      </x:c>
      <x:c r="N138" s="8" t="str">
        <x:v>Method;Benchmark</x:v>
      </x:c>
      <x:c r="O138" s="11" t="str">
        <x:v>https://arxiv.org/abs/2608.13560</x:v>
      </x:c>
      <x:c r="P138" s="8" t="str">
        <x:v>用执行反馈驱动元 harness 优化代码 agent 的设计流程，并以 PosterBench 评价论文到海报生成。</x:v>
      </x:c>
      <x:c r="Q138" s="8" t="str"/>
      <x:c r="R138" s="8" t="str"/>
      <x:c r="S138" s="8" t="str"/>
      <x:c r="T138" s="12" t="str">
        <x:v>未分配</x:v>
      </x:c>
      <x:c r="U138" s="12" t="str"/>
      <x:c r="V138" s="12" t="str"/>
      <x:c r="W138" s="12" t="str"/>
      <x:c r="X138" s="8" t="str">
        <x:v>verified</x:v>
      </x:c>
      <x:c r="Y138" s="11" t="str">
        <x:v>https://github.com/Yaxin9Luo/AutoDesign</x:v>
      </x:c>
      <x:c r="Z138" s="11" t="str"/>
      <x:c r="AA138" s="11" t="str">
        <x:v>https://arxiv.org/html/2608.13560v1</x:v>
      </x:c>
      <x:c r="AB138" s="11" t="str">
        <x:v>https://arxiv.org/abs/2608.13560</x:v>
      </x:c>
      <x:c r="AC138" s="8" t="str"/>
      <x:c r="AD138" s="8" t="str"/>
      <x:c r="AE138" s="8" t="str"/>
      <x:c r="AF138" s="8" t="str">
        <x:v>用于“提示与工作流优化”：用执行反馈驱动元 harness 优化代码 agent 的设计流程，并以 PosterBench 评价论文到海报生成。</x:v>
      </x:c>
      <x:c r="AG138" s="8" t="str">
        <x:v>artifact</x:v>
      </x:c>
      <x:c r="AH138" s="8" t="str">
        <x:v>Meta-harness optimization for paper-to-poster design</x:v>
      </x:c>
      <x:c r="AI138" s="8" t="str">
        <x:v>137</x:v>
      </x:c>
      <x:c r="AJ138" s="8" t="str">
        <x:v>survey bibliography</x:v>
      </x:c>
      <x:c r="AK138" s="13" t="d">
        <x:v>2026-10-16T00:00:00.000Z</x:v>
      </x:c>
      <x:c r="AL138" s="8" t="str">
        <x:v>同时引入 PosterBench，保持方法与基准双类型。</x:v>
      </x:c>
      <x:c r="AM138" s="8" t="str">
        <x:v>5.3.2</x:v>
      </x:c>
    </x:row>
    <x:row r="139" ht="68" customHeight="1">
      <x:c r="A139" s="8" t="str">
        <x:v>WA-0138</x:v>
      </x:c>
      <x:c r="B139" s="8" t="str">
        <x:v>ReasoningBank</x:v>
      </x:c>
      <x:c r="C139" s="8" t="str">
        <x:v>ReasoningBank: Scaling Agent Self-Evolving with Reasoning Memory</x:v>
      </x:c>
      <x:c r="D139" s="9" t="n">
        <x:v>2025</x:v>
      </x:c>
      <x:c r="E139" s="8" t="str">
        <x:v>Google Cloud AI Research; Yale University; University of Illinois Urbana-Champaign</x:v>
      </x:c>
      <x:c r="F139" s="10" t="str">
        <x:f>VLOOKUP(H139,'Taxonomy'!$A$6:$G$70,3,FALSE)</x:f>
        <x:v>优化：从工作经验到系统能力</x:v>
      </x:c>
      <x:c r="G139" s="10" t="str">
        <x:f>VLOOKUP(H139,'Taxonomy'!$A$6:$G$70,5,FALSE)</x:f>
        <x:v>运行框架优化</x:v>
      </x:c>
      <x:c r="H139" s="8" t="str">
        <x:v>5.3.3</x:v>
      </x:c>
      <x:c r="I139" s="10" t="str">
        <x:f>VLOOKUP(H139,'Taxonomy'!$A$6:$G$70,6,FALSE)</x:f>
        <x:v>记忆与技能优化</x:v>
      </x:c>
      <x:c r="J139" s="8" t="str">
        <x:v>经验记忆与技能优化;上下文与记忆管理</x:v>
      </x:c>
      <x:c r="K139" s="8" t="str">
        <x:v>推理与决策;执行与状态管理</x:v>
      </x:c>
      <x:c r="L139" s="8" t="str"/>
      <x:c r="M139" s="8" t="str">
        <x:v>记忆与技能优化</x:v>
      </x:c>
      <x:c r="N139" s="8" t="str">
        <x:v>Method</x:v>
      </x:c>
      <x:c r="O139" s="11" t="str">
        <x:v>https://arxiv.org/abs/2509.25140</x:v>
      </x:c>
      <x:c r="P139" s="8" t="str">
        <x:v>从自判成功与失败经历蒸馏可泛化策略，检索记忆指导执行并通过 MaTTS 扩展经验。</x:v>
      </x:c>
      <x:c r="Q139" s="8" t="str"/>
      <x:c r="R139" s="8" t="str"/>
      <x:c r="S139" s="8" t="str"/>
      <x:c r="T139" s="12" t="str">
        <x:v>未分配</x:v>
      </x:c>
      <x:c r="U139" s="12" t="str"/>
      <x:c r="V139" s="12" t="str"/>
      <x:c r="W139" s="12" t="str"/>
      <x:c r="X139" s="8" t="str">
        <x:v>verified</x:v>
      </x:c>
      <x:c r="Y139" s="11" t="str">
        <x:v>https://github.com/google-research/reasoning-bank</x:v>
      </x:c>
      <x:c r="Z139" s="11" t="str"/>
      <x:c r="AA139" s="11" t="str">
        <x:v>https://arxiv.org/html/2509.25140v2</x:v>
      </x:c>
      <x:c r="AB139" s="11" t="str">
        <x:v>https://arxiv.org/abs/2509.25140</x:v>
      </x:c>
      <x:c r="AC139" s="8" t="str"/>
      <x:c r="AD139" s="8" t="str"/>
      <x:c r="AE139" s="8" t="str"/>
      <x:c r="AF139" s="8" t="str">
        <x:v>用于“记忆与技能优化”：从自判成功与失败经历蒸馏可泛化策略，检索记忆指导执行并通过 MaTTS 扩展经验。</x:v>
      </x:c>
      <x:c r="AG139" s="8" t="str">
        <x:v>harness</x:v>
      </x:c>
      <x:c r="AH139" s="8" t="str">
        <x:v>Reasoning memory and memory-aware test-time scaling</x:v>
      </x:c>
      <x:c r="AI139" s="8" t="str">
        <x:v>138</x:v>
      </x:c>
      <x:c r="AJ139" s="8" t="str">
        <x:v>survey bibliography</x:v>
      </x:c>
      <x:c r="AK139" s="13" t="d">
        <x:v>2026-10-16T00:00:00.000Z</x:v>
      </x:c>
      <x:c r="AL139" s="8" t="str">
        <x:v>首次预印本 2025。</x:v>
      </x:c>
      <x:c r="AM139" s="8" t="str">
        <x:v>5.3.3</x:v>
      </x:c>
    </x:row>
    <x:row r="140" ht="68" customHeight="1">
      <x:c r="A140" s="8" t="str">
        <x:v>WA-0139</x:v>
      </x:c>
      <x:c r="B140" s="8" t="str">
        <x:v>SkillOpt</x:v>
      </x:c>
      <x:c r="C140" s="8" t="str">
        <x:v>SkillOpt: Executive Strategy for Self-Evolving Agent Skills</x:v>
      </x:c>
      <x:c r="D140" s="9" t="n">
        <x:v>2026</x:v>
      </x:c>
      <x:c r="E140" s="8" t="str">
        <x:v>Microsoft; Shanghai Jiao Tong University; Tongji University; Fudan University</x:v>
      </x:c>
      <x:c r="F140" s="10" t="str">
        <x:f>VLOOKUP(H140,'Taxonomy'!$A$6:$G$70,3,FALSE)</x:f>
        <x:v>优化：从工作经验到系统能力</x:v>
      </x:c>
      <x:c r="G140" s="10" t="str">
        <x:f>VLOOKUP(H140,'Taxonomy'!$A$6:$G$70,5,FALSE)</x:f>
        <x:v>运行框架优化</x:v>
      </x:c>
      <x:c r="H140" s="8" t="str">
        <x:v>5.3.3</x:v>
      </x:c>
      <x:c r="I140" s="10" t="str">
        <x:f>VLOOKUP(H140,'Taxonomy'!$A$6:$G$70,6,FALSE)</x:f>
        <x:v>记忆与技能优化</x:v>
      </x:c>
      <x:c r="J140" s="8" t="str">
        <x:v>经验记忆与技能优化;上下文与记忆管理</x:v>
      </x:c>
      <x:c r="K140" s="8" t="str">
        <x:v>推理与决策;执行与状态管理;验证、恢复与重新规划</x:v>
      </x:c>
      <x:c r="L140" s="8" t="str"/>
      <x:c r="M140" s="8" t="str">
        <x:v>记忆与技能优化</x:v>
      </x:c>
      <x:c r="N140" s="8" t="str">
        <x:v>Method</x:v>
      </x:c>
      <x:c r="O140" s="11" t="str">
        <x:v>https://arxiv.org/abs/2605.23904</x:v>
      </x:c>
      <x:c r="P140" s="8" t="str">
        <x:v>把技能文档作为冻结 agent 的外部状态，以有界增删改、拒绝缓存和验证集接受门控稳定优化。</x:v>
      </x:c>
      <x:c r="Q140" s="8" t="str"/>
      <x:c r="R140" s="8" t="str"/>
      <x:c r="S140" s="8" t="str"/>
      <x:c r="T140" s="12" t="str">
        <x:v>未分配</x:v>
      </x:c>
      <x:c r="U140" s="12" t="str"/>
      <x:c r="V140" s="12" t="str"/>
      <x:c r="W140" s="12" t="str"/>
      <x:c r="X140" s="8" t="str">
        <x:v>verified</x:v>
      </x:c>
      <x:c r="Y140" s="11" t="str"/>
      <x:c r="Z140" s="11" t="str"/>
      <x:c r="AA140" s="11" t="str">
        <x:v>https://arxiv.org/html/2605.23904v2</x:v>
      </x:c>
      <x:c r="AB140" s="11" t="str">
        <x:v>https://arxiv.org/abs/2605.23904</x:v>
      </x:c>
      <x:c r="AC140" s="8" t="str"/>
      <x:c r="AD140" s="8" t="str"/>
      <x:c r="AE140" s="8" t="str"/>
      <x:c r="AF140" s="8" t="str">
        <x:v>用于“记忆与技能优化”：把技能文档作为冻结 agent 的外部状态，以有界增删改、拒绝缓存和验证集接受门控稳定优化。</x:v>
      </x:c>
      <x:c r="AG140" s="8" t="str">
        <x:v>harness</x:v>
      </x:c>
      <x:c r="AH140" s="8" t="str">
        <x:v>Validation-gated text-space skill optimization</x:v>
      </x:c>
      <x:c r="AI140" s="8" t="str">
        <x:v>139</x:v>
      </x:c>
      <x:c r="AJ140" s="8" t="str">
        <x:v>survey bibliography</x:v>
      </x:c>
      <x:c r="AK140" s="13" t="d">
        <x:v>2026-10-16T00:00:00.000Z</x:v>
      </x:c>
      <x:c r="AL140" s="8" t="str"/>
      <x:c r="AM140" s="8" t="str">
        <x:v>5.3.3</x:v>
      </x:c>
    </x:row>
    <x:row r="141" ht="68" customHeight="1">
      <x:c r="A141" s="8" t="str">
        <x:v>WA-0140</x:v>
      </x:c>
      <x:c r="B141" s="8" t="str">
        <x:v>SkillSmith</x:v>
      </x:c>
      <x:c r="C141" s="8" t="str">
        <x:v>SkillSmith: Co-Evolving Skills and Tools for Self-Improving Agent Systems</x:v>
      </x:c>
      <x:c r="D141" s="9" t="n">
        <x:v>2026</x:v>
      </x:c>
      <x:c r="E141" s="8" t="str">
        <x:v>Shanghai Jiao Tong University; Eastern Institute of Technology, Ningbo; University of Science and Technology of China; Southeast University; Ningbo Institute of Digital Twin</x:v>
      </x:c>
      <x:c r="F141" s="10" t="str">
        <x:f>VLOOKUP(H141,'Taxonomy'!$A$6:$G$70,3,FALSE)</x:f>
        <x:v>优化：从工作经验到系统能力</x:v>
      </x:c>
      <x:c r="G141" s="10" t="str">
        <x:f>VLOOKUP(H141,'Taxonomy'!$A$6:$G$70,5,FALSE)</x:f>
        <x:v>运行框架优化</x:v>
      </x:c>
      <x:c r="H141" s="8" t="str">
        <x:v>5.3.3</x:v>
      </x:c>
      <x:c r="I141" s="10" t="str">
        <x:f>VLOOKUP(H141,'Taxonomy'!$A$6:$G$70,6,FALSE)</x:f>
        <x:v>记忆与技能优化</x:v>
      </x:c>
      <x:c r="J141" s="8" t="str">
        <x:v>经验记忆与技能优化;上下文与记忆管理</x:v>
      </x:c>
      <x:c r="K141" s="8" t="str">
        <x:v>推理与决策;执行与状态管理;验证、恢复与重新规划</x:v>
      </x:c>
      <x:c r="L141" s="8" t="str"/>
      <x:c r="M141" s="8" t="str">
        <x:v>记忆与技能优化</x:v>
      </x:c>
      <x:c r="N141" s="8" t="str">
        <x:v>Method</x:v>
      </x:c>
      <x:c r="O141" s="11" t="str">
        <x:v>https://arxiv.org/abs/2606.01314</x:v>
      </x:c>
      <x:c r="P141" s="8" t="str">
        <x:v>在上下文和迭代预算约束下共同演化技能与工具，以冲突约束避免重复失败提案。</x:v>
      </x:c>
      <x:c r="Q141" s="8" t="str"/>
      <x:c r="R141" s="8" t="str"/>
      <x:c r="S141" s="8" t="str"/>
      <x:c r="T141" s="12" t="str">
        <x:v>未分配</x:v>
      </x:c>
      <x:c r="U141" s="12" t="str"/>
      <x:c r="V141" s="12" t="str"/>
      <x:c r="W141" s="12" t="str"/>
      <x:c r="X141" s="8" t="str">
        <x:v>verified</x:v>
      </x:c>
      <x:c r="Y141" s="11" t="str"/>
      <x:c r="Z141" s="11" t="str"/>
      <x:c r="AA141" s="11" t="str">
        <x:v>https://arxiv.org/html/2606.01314v2</x:v>
      </x:c>
      <x:c r="AB141" s="11" t="str">
        <x:v>https://arxiv.org/abs/2606.01314</x:v>
      </x:c>
      <x:c r="AC141" s="8" t="str"/>
      <x:c r="AD141" s="8" t="str"/>
      <x:c r="AE141" s="8" t="str"/>
      <x:c r="AF141" s="8" t="str">
        <x:v>用于“记忆与技能优化”：在上下文和迭代预算约束下共同演化技能与工具，以冲突约束避免重复失败提案。</x:v>
      </x:c>
      <x:c r="AG141" s="8" t="str">
        <x:v>harness</x:v>
      </x:c>
      <x:c r="AH141" s="8" t="str">
        <x:v>Budgeted skill–tool ecosystem co-evolution</x:v>
      </x:c>
      <x:c r="AI141" s="8" t="str">
        <x:v>140</x:v>
      </x:c>
      <x:c r="AJ141" s="8" t="str">
        <x:v>survey bibliography</x:v>
      </x:c>
      <x:c r="AK141" s="13" t="d">
        <x:v>2026-10-16T00:00:00.000Z</x:v>
      </x:c>
      <x:c r="AL141" s="8" t="str"/>
      <x:c r="AM141" s="8" t="str">
        <x:v>5.3.3</x:v>
      </x:c>
    </x:row>
    <x:row r="142" ht="68" customHeight="1">
      <x:c r="A142" s="8" t="str">
        <x:v>WA-0141</x:v>
      </x:c>
      <x:c r="B142" s="8" t="str">
        <x:v>Tool Description Rewriter</x:v>
      </x:c>
      <x:c r="C142" s="8" t="str">
        <x:v>Learning to Rewrite Tool Descriptions for Reliable LLM-Agent Tool Use</x:v>
      </x:c>
      <x:c r="D142" s="9" t="n">
        <x:v>2026</x:v>
      </x:c>
      <x:c r="E142" s="8" t="str">
        <x:v>Intuit AI Research</x:v>
      </x:c>
      <x:c r="F142" s="10" t="str">
        <x:f>VLOOKUP(H142,'Taxonomy'!$A$6:$G$70,3,FALSE)</x:f>
        <x:v>优化：从工作经验到系统能力</x:v>
      </x:c>
      <x:c r="G142" s="10" t="str">
        <x:f>VLOOKUP(H142,'Taxonomy'!$A$6:$G$70,5,FALSE)</x:f>
        <x:v>运行框架优化</x:v>
      </x:c>
      <x:c r="H142" s="8" t="str">
        <x:v>5.3.1</x:v>
      </x:c>
      <x:c r="I142" s="10" t="str">
        <x:f>VLOOKUP(H142,'Taxonomy'!$A$6:$G$70,6,FALSE)</x:f>
        <x:v>接口与工具优化</x:v>
      </x:c>
      <x:c r="J142" s="8" t="str">
        <x:v>接口与观测优化;工具、界面与应用执行</x:v>
      </x:c>
      <x:c r="K142" s="8" t="str">
        <x:v>推理与决策;执行与状态管理</x:v>
      </x:c>
      <x:c r="L142" s="8" t="str"/>
      <x:c r="M142" s="8" t="str">
        <x:v>接口与工具优化</x:v>
      </x:c>
      <x:c r="N142" s="8" t="str">
        <x:v>Method</x:v>
      </x:c>
      <x:c r="O142" s="11" t="str">
        <x:v>https://arxiv.org/abs/2602.20426</x:v>
      </x:c>
      <x:c r="P142" s="8" t="str">
        <x:v>学习改写面向人的工具描述，以减少工具歧义并推广到未见 API，降低逐工具优化成本。</x:v>
      </x:c>
      <x:c r="Q142" s="8" t="str"/>
      <x:c r="R142" s="8" t="str"/>
      <x:c r="S142" s="8" t="str"/>
      <x:c r="T142" s="12" t="str">
        <x:v>未分配</x:v>
      </x:c>
      <x:c r="U142" s="12" t="str"/>
      <x:c r="V142" s="12" t="str"/>
      <x:c r="W142" s="12" t="str"/>
      <x:c r="X142" s="8" t="str">
        <x:v>verified</x:v>
      </x:c>
      <x:c r="Y142" s="11" t="str"/>
      <x:c r="Z142" s="11" t="str"/>
      <x:c r="AA142" s="11" t="str">
        <x:v>https://arxiv.org/html/2602.20426v2</x:v>
      </x:c>
      <x:c r="AB142" s="11" t="str">
        <x:v>https://arxiv.org/abs/2602.20426</x:v>
      </x:c>
      <x:c r="AC142" s="8" t="str"/>
      <x:c r="AD142" s="8" t="str"/>
      <x:c r="AE142" s="8" t="str"/>
      <x:c r="AF142" s="8" t="str">
        <x:v>用于“接口与工具优化”：学习改写面向人的工具描述，以减少工具歧义并推广到未见 API，降低逐工具优化成本。</x:v>
      </x:c>
      <x:c r="AG142" s="8" t="str">
        <x:v>harness</x:v>
      </x:c>
      <x:c r="AH142" s="8" t="str">
        <x:v>Learning generalizable tool-interface rewriting</x:v>
      </x:c>
      <x:c r="AI142" s="8" t="str">
        <x:v>141</x:v>
      </x:c>
      <x:c r="AJ142" s="8" t="str">
        <x:v>survey bibliography</x:v>
      </x:c>
      <x:c r="AK142" s="13" t="d">
        <x:v>2026-10-16T00:00:00.000Z</x:v>
      </x:c>
      <x:c r="AL142" s="8" t="str"/>
      <x:c r="AM142" s="8" t="str">
        <x:v>5.3.1</x:v>
      </x:c>
    </x:row>
    <x:row r="143" ht="68" customHeight="1">
      <x:c r="A143" s="8" t="str">
        <x:v>WA-0142</x:v>
      </x:c>
      <x:c r="B143" s="8" t="str">
        <x:v>MESH-Harness</x:v>
      </x:c>
      <x:c r="C143" s="8" t="str">
        <x:v>MESH-Harness: Self-Improving Agent Harnesses via Bandit-Guided Compositional Evolution</x:v>
      </x:c>
      <x:c r="D143" s="9" t="n">
        <x:v>2026</x:v>
      </x:c>
      <x:c r="E143" s="8" t="str">
        <x:v>The Chinese University of Hong Kong, Shenzhen; The Chinese University of Hong Kong; Nanyang Technological University; Fudan University; National University of Singapore; DeepWisdom</x:v>
      </x:c>
      <x:c r="F143" s="10" t="str">
        <x:f>VLOOKUP(H143,'Taxonomy'!$A$6:$G$70,3,FALSE)</x:f>
        <x:v>优化：从工作经验到系统能力</x:v>
      </x:c>
      <x:c r="G143" s="10" t="str">
        <x:f>VLOOKUP(H143,'Taxonomy'!$A$6:$G$70,5,FALSE)</x:f>
        <x:v>运行框架优化</x:v>
      </x:c>
      <x:c r="H143" s="8" t="str">
        <x:v>5.3.2</x:v>
      </x:c>
      <x:c r="I143" s="10" t="str">
        <x:f>VLOOKUP(H143,'Taxonomy'!$A$6:$G$70,6,FALSE)</x:f>
        <x:v>提示与工作流优化</x:v>
      </x:c>
      <x:c r="J143" s="8" t="str">
        <x:v>提示、流程与 harness 搜索</x:v>
      </x:c>
      <x:c r="K143" s="8" t="str">
        <x:v>推理与决策;规划与协调;执行与状态管理;验证、恢复与重新规划</x:v>
      </x:c>
      <x:c r="L143" s="8" t="str"/>
      <x:c r="M143" s="8" t="str">
        <x:v>提示与工作流优化</x:v>
      </x:c>
      <x:c r="N143" s="8" t="str">
        <x:v>Method</x:v>
      </x:c>
      <x:c r="O143" s="11" t="str">
        <x:v>https://arxiv.org/abs/2610.05300</x:v>
      </x:c>
      <x:c r="P143" s="8" t="str">
        <x:v>把 harness 分解为具显式接口的功能模块，用 LinUCB 与坐标搜索选择组合并从轨迹演化局部代码。</x:v>
      </x:c>
      <x:c r="Q143" s="8" t="str"/>
      <x:c r="R143" s="8" t="str"/>
      <x:c r="S143" s="8" t="str"/>
      <x:c r="T143" s="12" t="str">
        <x:v>未分配</x:v>
      </x:c>
      <x:c r="U143" s="12" t="str"/>
      <x:c r="V143" s="12" t="str"/>
      <x:c r="W143" s="12" t="str"/>
      <x:c r="X143" s="8" t="str">
        <x:v>verified</x:v>
      </x:c>
      <x:c r="Y143" s="11" t="str"/>
      <x:c r="Z143" s="11" t="str"/>
      <x:c r="AA143" s="11" t="str">
        <x:v>https://arxiv.org/html/2610.05300v1</x:v>
      </x:c>
      <x:c r="AB143" s="11" t="str">
        <x:v>https://arxiv.org/abs/2610.05300</x:v>
      </x:c>
      <x:c r="AC143" s="8" t="str"/>
      <x:c r="AD143" s="8" t="str"/>
      <x:c r="AE143" s="8" t="str"/>
      <x:c r="AF143" s="8" t="str">
        <x:v>用于“提示与工作流优化”：把 harness 分解为具显式接口的功能模块，用 LinUCB 与坐标搜索选择组合并从轨迹演化局部代码。</x:v>
      </x:c>
      <x:c r="AG143" s="8" t="str">
        <x:v>harness</x:v>
      </x:c>
      <x:c r="AH143" s="8" t="str">
        <x:v>Bandit-guided compositional harness evolution</x:v>
      </x:c>
      <x:c r="AI143" s="8" t="str">
        <x:v>142</x:v>
      </x:c>
      <x:c r="AJ143" s="8" t="str">
        <x:v>survey bibliography</x:v>
      </x:c>
      <x:c r="AK143" s="13" t="d">
        <x:v>2026-10-16T00:00:00.000Z</x:v>
      </x:c>
      <x:c r="AL143" s="8" t="str"/>
      <x:c r="AM143" s="8" t="str">
        <x:v>5.3.2</x:v>
      </x:c>
    </x:row>
    <x:row r="144" ht="68" customHeight="1">
      <x:c r="A144" s="8" t="str">
        <x:v>WA-0143</x:v>
      </x:c>
      <x:c r="B144" s="8" t="str">
        <x:v>RHO</x:v>
      </x:c>
      <x:c r="C144" s="8" t="str">
        <x:v>Evolving Agents in the Dark: Retrospective Harness Optimization via Self-Preference</x:v>
      </x:c>
      <x:c r="D144" s="9" t="n">
        <x:v>2026</x:v>
      </x:c>
      <x:c r="E144" s="8" t="str">
        <x:v>City University of Hong Kong; Microsoft Research Asia</x:v>
      </x:c>
      <x:c r="F144" s="10" t="str">
        <x:f>VLOOKUP(H144,'Taxonomy'!$A$6:$G$70,3,FALSE)</x:f>
        <x:v>优化：从工作经验到系统能力</x:v>
      </x:c>
      <x:c r="G144" s="10" t="str">
        <x:f>VLOOKUP(H144,'Taxonomy'!$A$6:$G$70,5,FALSE)</x:f>
        <x:v>运行框架优化</x:v>
      </x:c>
      <x:c r="H144" s="8" t="str">
        <x:v>5.3.2</x:v>
      </x:c>
      <x:c r="I144" s="10" t="str">
        <x:f>VLOOKUP(H144,'Taxonomy'!$A$6:$G$70,6,FALSE)</x:f>
        <x:v>提示与工作流优化</x:v>
      </x:c>
      <x:c r="J144" s="8" t="str">
        <x:v>提示、流程与 harness 搜索;上下文与记忆管理</x:v>
      </x:c>
      <x:c r="K144" s="8" t="str">
        <x:v>推理与决策;执行与状态管理;验证、恢复与重新规划</x:v>
      </x:c>
      <x:c r="L144" s="8" t="str"/>
      <x:c r="M144" s="8" t="str">
        <x:v>提示与工作流优化</x:v>
      </x:c>
      <x:c r="N144" s="8" t="str">
        <x:v>Method</x:v>
      </x:c>
      <x:c r="O144" s="11" t="str">
        <x:v>https://arxiv.org/abs/2606.05922</x:v>
      </x:c>
      <x:c r="P144" s="8" t="str">
        <x:v>仅利用历史轨迹选取难题、并行重解和自偏好比较，优化缺乏标签验证集时的 harness。</x:v>
      </x:c>
      <x:c r="Q144" s="8" t="str"/>
      <x:c r="R144" s="8" t="str"/>
      <x:c r="S144" s="8" t="str"/>
      <x:c r="T144" s="12" t="str">
        <x:v>未分配</x:v>
      </x:c>
      <x:c r="U144" s="12" t="str"/>
      <x:c r="V144" s="12" t="str"/>
      <x:c r="W144" s="12" t="str"/>
      <x:c r="X144" s="8" t="str">
        <x:v>verified</x:v>
      </x:c>
      <x:c r="Y144" s="11" t="str">
        <x:v>https://github.com/wbopan/retro-harness</x:v>
      </x:c>
      <x:c r="Z144" s="11" t="str"/>
      <x:c r="AA144" s="11" t="str">
        <x:v>https://arxiv.org/html/2606.05922v3</x:v>
      </x:c>
      <x:c r="AB144" s="11" t="str">
        <x:v>https://arxiv.org/abs/2606.05922</x:v>
      </x:c>
      <x:c r="AC144" s="8" t="str"/>
      <x:c r="AD144" s="8" t="str"/>
      <x:c r="AE144" s="8" t="str"/>
      <x:c r="AF144" s="8" t="str">
        <x:v>用于“提示与工作流优化”：仅利用历史轨迹选取难题、并行重解和自偏好比较，优化缺乏标签验证集时的 harness。</x:v>
      </x:c>
      <x:c r="AG144" s="8" t="str">
        <x:v>harness</x:v>
      </x:c>
      <x:c r="AH144" s="8" t="str">
        <x:v>Self-preference retrospective harness optimization</x:v>
      </x:c>
      <x:c r="AI144" s="8" t="str">
        <x:v>143</x:v>
      </x:c>
      <x:c r="AJ144" s="8" t="str">
        <x:v>survey bibliography</x:v>
      </x:c>
      <x:c r="AK144" s="13" t="d">
        <x:v>2026-10-16T00:00:00.000Z</x:v>
      </x:c>
      <x:c r="AL144" s="8" t="str"/>
      <x:c r="AM144" s="8" t="str">
        <x:v>5.3.2</x:v>
      </x:c>
    </x:row>
    <x:row r="145" ht="68" customHeight="1">
      <x:c r="A145" s="8" t="str">
        <x:v>WA-0144</x:v>
      </x:c>
      <x:c r="B145" s="8" t="str">
        <x:v>VERSE</x:v>
      </x:c>
      <x:c r="C145" s="8" t="str">
        <x:v>VERSE: Verified Self-Evolving Optimizer for Agent Harnesses</x:v>
      </x:c>
      <x:c r="D145" s="9" t="n">
        <x:v>2026</x:v>
      </x:c>
      <x:c r="E145" s="8" t="str">
        <x:v>Massachusetts Institute of Technology; Amazon</x:v>
      </x:c>
      <x:c r="F145" s="10" t="str">
        <x:f>VLOOKUP(H145,'Taxonomy'!$A$6:$G$70,3,FALSE)</x:f>
        <x:v>优化：从工作经验到系统能力</x:v>
      </x:c>
      <x:c r="G145" s="10" t="str">
        <x:f>VLOOKUP(H145,'Taxonomy'!$A$6:$G$70,5,FALSE)</x:f>
        <x:v>运行框架优化</x:v>
      </x:c>
      <x:c r="H145" s="8" t="str">
        <x:v>5.3.2</x:v>
      </x:c>
      <x:c r="I145" s="10" t="str">
        <x:f>VLOOKUP(H145,'Taxonomy'!$A$6:$G$70,6,FALSE)</x:f>
        <x:v>提示与工作流优化</x:v>
      </x:c>
      <x:c r="J145" s="8" t="str">
        <x:v>提示、流程与 harness 搜索;失败定位与根因诊断;成果与实际状态核验</x:v>
      </x:c>
      <x:c r="K145" s="8" t="str">
        <x:v>推理与决策;执行与状态管理;验证、恢复与重新规划</x:v>
      </x:c>
      <x:c r="L145" s="8" t="str"/>
      <x:c r="M145" s="8" t="str">
        <x:v>提示与工作流优化</x:v>
      </x:c>
      <x:c r="N145" s="8" t="str">
        <x:v>Method</x:v>
      </x:c>
      <x:c r="O145" s="11" t="str">
        <x:v>https://arxiv.org/abs/2610.02616</x:v>
      </x:c>
      <x:c r="P145" s="8" t="str">
        <x:v>同时演化优化器自身的诊断工具和更新流程，以执行验证筛选对目标 agent 的 harness 修改。</x:v>
      </x:c>
      <x:c r="Q145" s="8" t="str"/>
      <x:c r="R145" s="8" t="str"/>
      <x:c r="S145" s="8" t="str"/>
      <x:c r="T145" s="12" t="str">
        <x:v>未分配</x:v>
      </x:c>
      <x:c r="U145" s="12" t="str"/>
      <x:c r="V145" s="12" t="str"/>
      <x:c r="W145" s="12" t="str"/>
      <x:c r="X145" s="8" t="str">
        <x:v>verified</x:v>
      </x:c>
      <x:c r="Y145" s="11" t="str">
        <x:v>https://github.com/wzekai/VERSE</x:v>
      </x:c>
      <x:c r="Z145" s="11" t="str"/>
      <x:c r="AA145" s="11" t="str">
        <x:v>https://arxiv.org/html/2610.02616v1</x:v>
      </x:c>
      <x:c r="AB145" s="11" t="str">
        <x:v>https://arxiv.org/abs/2610.02616</x:v>
      </x:c>
      <x:c r="AC145" s="8" t="str"/>
      <x:c r="AD145" s="8" t="str"/>
      <x:c r="AE145" s="8" t="str"/>
      <x:c r="AF145" s="8" t="str">
        <x:v>用于“提示与工作流优化”：同时演化优化器自身的诊断工具和更新流程，以执行验证筛选对目标 agent 的 harness 修改。</x:v>
      </x:c>
      <x:c r="AG145" s="8" t="str">
        <x:v>harness</x:v>
      </x:c>
      <x:c r="AH145" s="8" t="str">
        <x:v>Execution-verified self-evolving harness optimizer</x:v>
      </x:c>
      <x:c r="AI145" s="8" t="str">
        <x:v>144</x:v>
      </x:c>
      <x:c r="AJ145" s="8" t="str">
        <x:v>survey bibliography</x:v>
      </x:c>
      <x:c r="AK145" s="13" t="d">
        <x:v>2026-10-16T00:00:00.000Z</x:v>
      </x:c>
      <x:c r="AL145" s="8" t="str"/>
      <x:c r="AM145" s="8" t="str">
        <x:v>5.3.2</x:v>
      </x:c>
    </x:row>
    <x:row r="146" ht="68" customHeight="1">
      <x:c r="A146" s="8" t="str">
        <x:v>WA-0145</x:v>
      </x:c>
      <x:c r="B146" s="8" t="str">
        <x:v>ActiveSaddler</x:v>
      </x:c>
      <x:c r="C146" s="8" t="str">
        <x:v>ActiveSaddler: Automated Curriculum Learning for Agent Harness Optimization</x:v>
      </x:c>
      <x:c r="D146" s="9" t="n">
        <x:v>2026</x:v>
      </x:c>
      <x:c r="E146" s="8" t="str">
        <x:v>POSTECH; KAIST; Microsoft</x:v>
      </x:c>
      <x:c r="F146" s="10" t="str">
        <x:f>VLOOKUP(H146,'Taxonomy'!$A$6:$G$70,3,FALSE)</x:f>
        <x:v>优化：从工作经验到系统能力</x:v>
      </x:c>
      <x:c r="G146" s="10" t="str">
        <x:f>VLOOKUP(H146,'Taxonomy'!$A$6:$G$70,5,FALSE)</x:f>
        <x:v>运行框架优化</x:v>
      </x:c>
      <x:c r="H146" s="8" t="str">
        <x:v>5.3.2</x:v>
      </x:c>
      <x:c r="I146" s="10" t="str">
        <x:f>VLOOKUP(H146,'Taxonomy'!$A$6:$G$70,6,FALSE)</x:f>
        <x:v>提示与工作流优化</x:v>
      </x:c>
      <x:c r="J146" s="8" t="str">
        <x:v>提示、流程与 harness 搜索;失败定位与根因诊断;成果与实际状态核验</x:v>
      </x:c>
      <x:c r="K146" s="8" t="str">
        <x:v>推理与决策;规划与协调</x:v>
      </x:c>
      <x:c r="L146" s="8" t="str"/>
      <x:c r="M146" s="8" t="str">
        <x:v>提示与工作流优化</x:v>
      </x:c>
      <x:c r="N146" s="8" t="str">
        <x:v>Method</x:v>
      </x:c>
      <x:c r="O146" s="11" t="str">
        <x:v>https://arxiv.org/abs/2610.00906</x:v>
      </x:c>
      <x:c r="P146" s="8" t="str">
        <x:v>把当前最有学习价值的训练场景选择建模为非平稳 bandit，使课程随 harness 能力演化。</x:v>
      </x:c>
      <x:c r="Q146" s="8" t="str"/>
      <x:c r="R146" s="8" t="str"/>
      <x:c r="S146" s="8" t="str"/>
      <x:c r="T146" s="12" t="str">
        <x:v>未分配</x:v>
      </x:c>
      <x:c r="U146" s="12" t="str"/>
      <x:c r="V146" s="12" t="str"/>
      <x:c r="W146" s="12" t="str"/>
      <x:c r="X146" s="8" t="str">
        <x:v>verified</x:v>
      </x:c>
      <x:c r="Y146" s="11" t="str"/>
      <x:c r="Z146" s="11" t="str"/>
      <x:c r="AA146" s="11" t="str">
        <x:v>https://arxiv.org/html/2610.00906v1</x:v>
      </x:c>
      <x:c r="AB146" s="11" t="str">
        <x:v>https://arxiv.org/abs/2610.00906</x:v>
      </x:c>
      <x:c r="AC146" s="8" t="str"/>
      <x:c r="AD146" s="8" t="str"/>
      <x:c r="AE146" s="8" t="str"/>
      <x:c r="AF146" s="8" t="str">
        <x:v>用于“提示与工作流优化”：把当前最有学习价值的训练场景选择建模为非平稳 bandit，使课程随 harness 能力演化。</x:v>
      </x:c>
      <x:c r="AG146" s="8" t="str">
        <x:v>harness</x:v>
      </x:c>
      <x:c r="AH146" s="8" t="str">
        <x:v>Adaptive curriculum for harness optimization</x:v>
      </x:c>
      <x:c r="AI146" s="8" t="str">
        <x:v>145</x:v>
      </x:c>
      <x:c r="AJ146" s="8" t="str">
        <x:v>survey bibliography</x:v>
      </x:c>
      <x:c r="AK146" s="13" t="d">
        <x:v>2026-10-16T00:00:00.000Z</x:v>
      </x:c>
      <x:c r="AL146" s="8" t="str"/>
      <x:c r="AM146" s="8" t="str">
        <x:v>5.3.2</x:v>
      </x:c>
    </x:row>
    <x:row r="147" ht="68" customHeight="1">
      <x:c r="A147" s="8" t="str">
        <x:v>WA-0146</x:v>
      </x:c>
      <x:c r="B147" s="8" t="str">
        <x:v>Adaptive Auto-Harness</x:v>
      </x:c>
      <x:c r="C147" s="8" t="str">
        <x:v>Adaptive Auto-Harness: Sustained Self-Improvement for Agentic System Deployment on Open-Ended Task Streams</x:v>
      </x:c>
      <x:c r="D147" s="9" t="n">
        <x:v>2026</x:v>
      </x:c>
      <x:c r="E147" s="8" t="str">
        <x:v>Emory University; Amazon; The Pennsylvania State University; University of Illinois Urbana-Champaign; Northeastern University</x:v>
      </x:c>
      <x:c r="F147" s="10" t="str">
        <x:f>VLOOKUP(H147,'Taxonomy'!$A$6:$G$70,3,FALSE)</x:f>
        <x:v>优化：从工作经验到系统能力</x:v>
      </x:c>
      <x:c r="G147" s="10" t="str">
        <x:f>VLOOKUP(H147,'Taxonomy'!$A$6:$G$70,5,FALSE)</x:f>
        <x:v>运行框架优化</x:v>
      </x:c>
      <x:c r="H147" s="8" t="str">
        <x:v>5.3.2</x:v>
      </x:c>
      <x:c r="I147" s="10" t="str">
        <x:f>VLOOKUP(H147,'Taxonomy'!$A$6:$G$70,6,FALSE)</x:f>
        <x:v>提示与工作流优化</x:v>
      </x:c>
      <x:c r="J147" s="8" t="str">
        <x:v>提示、流程与 harness 搜索;上下文与记忆管理;跨任务个性化与自演化</x:v>
      </x:c>
      <x:c r="K147" s="8" t="str">
        <x:v>推理与决策;执行与状态管理</x:v>
      </x:c>
      <x:c r="L147" s="8" t="str"/>
      <x:c r="M147" s="8" t="str">
        <x:v>提示与工作流优化</x:v>
      </x:c>
      <x:c r="N147" s="8" t="str">
        <x:v>Method;Framework</x:v>
      </x:c>
      <x:c r="O147" s="11" t="str">
        <x:v>https://arxiv.org/abs/2606.01770</x:v>
      </x:c>
      <x:c r="P147" s="8" t="str">
        <x:v>针对持续开放任务流建立按任务适配的 harness 构建机制，减少单一 harness 密集更新后的退化。</x:v>
      </x:c>
      <x:c r="Q147" s="8" t="str"/>
      <x:c r="R147" s="8" t="str"/>
      <x:c r="S147" s="8" t="str"/>
      <x:c r="T147" s="12" t="str">
        <x:v>未分配</x:v>
      </x:c>
      <x:c r="U147" s="12" t="str"/>
      <x:c r="V147" s="12" t="str"/>
      <x:c r="W147" s="12" t="str"/>
      <x:c r="X147" s="8" t="str">
        <x:v>verified</x:v>
      </x:c>
      <x:c r="Y147" s="11" t="str">
        <x:v>https://github.com/A-EVO-Lab/a-evolve/tree/release/adaptive-auto-harness</x:v>
      </x:c>
      <x:c r="Z147" s="11" t="str"/>
      <x:c r="AA147" s="11" t="str">
        <x:v>https://arxiv.org/html/2606.01770v2</x:v>
      </x:c>
      <x:c r="AB147" s="11" t="str">
        <x:v>https://arxiv.org/abs/2606.01770</x:v>
      </x:c>
      <x:c r="AC147" s="8" t="str"/>
      <x:c r="AD147" s="8" t="str"/>
      <x:c r="AE147" s="8" t="str"/>
      <x:c r="AF147" s="8" t="str">
        <x:v>用于“提示与工作流优化”：针对持续开放任务流建立按任务适配的 harness 构建机制，减少单一 harness 密集更新后的退化。</x:v>
      </x:c>
      <x:c r="AG147" s="8" t="str">
        <x:v>harness</x:v>
      </x:c>
      <x:c r="AH147" s="8" t="str">
        <x:v>Task-adaptive harness optimization on open streams</x:v>
      </x:c>
      <x:c r="AI147" s="8" t="str">
        <x:v>146</x:v>
      </x:c>
      <x:c r="AJ147" s="8" t="str">
        <x:v>survey bibliography</x:v>
      </x:c>
      <x:c r="AK147" s="13" t="d">
        <x:v>2026-10-16T00:00:00.000Z</x:v>
      </x:c>
      <x:c r="AL147" s="8" t="str"/>
      <x:c r="AM147" s="8" t="str">
        <x:v>5.3.2</x:v>
      </x:c>
    </x:row>
    <x:row r="148" ht="68" customHeight="1">
      <x:c r="A148" s="8" t="str">
        <x:v>WA-0147</x:v>
      </x:c>
      <x:c r="B148" s="8" t="str">
        <x:v>ACE</x:v>
      </x:c>
      <x:c r="C148" s="8" t="str">
        <x:v>Agentic Context Engineering: Evolving Contexts for Self-Improving Language Models</x:v>
      </x:c>
      <x:c r="D148" s="9" t="n">
        <x:v>2025</x:v>
      </x:c>
      <x:c r="E148" s="8" t="str">
        <x:v>Stanford University; SambaNova Systems; University of California, Berkeley</x:v>
      </x:c>
      <x:c r="F148" s="10" t="str">
        <x:f>VLOOKUP(H148,'Taxonomy'!$A$6:$G$70,3,FALSE)</x:f>
        <x:v>优化：从工作经验到系统能力</x:v>
      </x:c>
      <x:c r="G148" s="10" t="str">
        <x:f>VLOOKUP(H148,'Taxonomy'!$A$6:$G$70,5,FALSE)</x:f>
        <x:v>运行框架优化</x:v>
      </x:c>
      <x:c r="H148" s="8" t="str">
        <x:v>5.3.3</x:v>
      </x:c>
      <x:c r="I148" s="10" t="str">
        <x:f>VLOOKUP(H148,'Taxonomy'!$A$6:$G$70,6,FALSE)</x:f>
        <x:v>记忆与技能优化</x:v>
      </x:c>
      <x:c r="J148" s="8" t="str">
        <x:v>经验记忆与技能优化;上下文与记忆管理</x:v>
      </x:c>
      <x:c r="K148" s="8" t="str">
        <x:v>推理与决策;执行与状态管理</x:v>
      </x:c>
      <x:c r="L148" s="8" t="str"/>
      <x:c r="M148" s="8" t="str">
        <x:v>记忆与技能优化</x:v>
      </x:c>
      <x:c r="N148" s="8" t="str">
        <x:v>Method;Framework</x:v>
      </x:c>
      <x:c r="O148" s="11" t="str">
        <x:v>https://arxiv.org/abs/2510.04618</x:v>
      </x:c>
      <x:c r="P148" s="8" t="str">
        <x:v>用生成、反思与策划模块增量更新结构化 playbook，缓解摘要偏好与反复重写造成的上下文坍缩。</x:v>
      </x:c>
      <x:c r="Q148" s="8" t="str"/>
      <x:c r="R148" s="8" t="str"/>
      <x:c r="S148" s="8" t="str"/>
      <x:c r="T148" s="12" t="str">
        <x:v>未分配</x:v>
      </x:c>
      <x:c r="U148" s="12" t="str"/>
      <x:c r="V148" s="12" t="str"/>
      <x:c r="W148" s="12" t="str"/>
      <x:c r="X148" s="8" t="str">
        <x:v>verified</x:v>
      </x:c>
      <x:c r="Y148" s="11" t="str">
        <x:v>https://github.com/ace-agent/ace</x:v>
      </x:c>
      <x:c r="Z148" s="11" t="str"/>
      <x:c r="AA148" s="11" t="str">
        <x:v>https://arxiv.org/html/2510.04618v3</x:v>
      </x:c>
      <x:c r="AB148" s="11" t="str">
        <x:v>https://arxiv.org/abs/2510.04618</x:v>
      </x:c>
      <x:c r="AC148" s="8" t="str"/>
      <x:c r="AD148" s="8" t="str"/>
      <x:c r="AE148" s="8" t="str"/>
      <x:c r="AF148" s="8" t="str">
        <x:v>用于“记忆与技能优化”：用生成、反思与策划模块增量更新结构化 playbook，缓解摘要偏好与反复重写造成的上下文坍缩。</x:v>
      </x:c>
      <x:c r="AG148" s="8" t="str">
        <x:v>harness</x:v>
      </x:c>
      <x:c r="AH148" s="8" t="str">
        <x:v>Incremental context playbook evolution</x:v>
      </x:c>
      <x:c r="AI148" s="8" t="str">
        <x:v>147</x:v>
      </x:c>
      <x:c r="AJ148" s="8" t="str">
        <x:v>survey bibliography</x:v>
      </x:c>
      <x:c r="AK148" s="13" t="d">
        <x:v>2026-10-16T00:00:00.000Z</x:v>
      </x:c>
      <x:c r="AL148" s="8" t="str">
        <x:v>首次预印本 2025。</x:v>
      </x:c>
      <x:c r="AM148" s="8" t="str">
        <x:v>5.3.3</x:v>
      </x:c>
    </x:row>
    <x:row r="149" ht="68" customHeight="1">
      <x:c r="A149" s="8" t="str">
        <x:v>WA-0148</x:v>
      </x:c>
      <x:c r="B149" s="8" t="str">
        <x:v>UI-Copilot</x:v>
      </x:c>
      <x:c r="C149" s="8" t="str">
        <x:v>UI-Copilot: Advancing Long-Horizon GUI Automation via Tool-Integrated Policy Optimization</x:v>
      </x:c>
      <x:c r="D149" s="9" t="n">
        <x:v>2026</x:v>
      </x:c>
      <x:c r="E149" s="8" t="str">
        <x:v>Zhejiang University; Apple; Tencent</x:v>
      </x:c>
      <x:c r="F149" s="10" t="str">
        <x:f>VLOOKUP(H149,'Taxonomy'!$A$6:$G$70,3,FALSE)</x:f>
        <x:v>优化：从工作经验到系统能力</x:v>
      </x:c>
      <x:c r="G149" s="10" t="str">
        <x:f>VLOOKUP(H149,'Taxonomy'!$A$6:$G$70,5,FALSE)</x:f>
        <x:v>模型—运行框架耦合优化</x:v>
      </x:c>
      <x:c r="H149" s="8" t="str">
        <x:v>5.4.1</x:v>
      </x:c>
      <x:c r="I149" s="10" t="str">
        <x:f>VLOOKUP(H149,'Taxonomy'!$A$6:$G$70,6,FALSE)</x:f>
        <x:v>运行框架感知训练</x:v>
      </x:c>
      <x:c r="J149" s="8" t="str">
        <x:v>模型与运行框架耦合;上下文与记忆管理</x:v>
      </x:c>
      <x:c r="K149" s="8" t="str">
        <x:v>推理与决策;执行与状态管理</x:v>
      </x:c>
      <x:c r="L149" s="8" t="str"/>
      <x:c r="M149" s="8" t="str">
        <x:v>模型与运行框架耦合优化</x:v>
      </x:c>
      <x:c r="N149" s="8" t="str">
        <x:v>Method</x:v>
      </x:c>
      <x:c r="O149" s="11" t="str">
        <x:v>https://arxiv.org/abs/2604.13822</x:v>
      </x:c>
      <x:c r="P149" s="8" t="str">
        <x:v>把持久观测与临时执行上下文分离，训练 GUI 策略按需调用检索与计算 copilot。</x:v>
      </x:c>
      <x:c r="Q149" s="8" t="str"/>
      <x:c r="R149" s="8" t="str"/>
      <x:c r="S149" s="8" t="str"/>
      <x:c r="T149" s="12" t="str">
        <x:v>未分配</x:v>
      </x:c>
      <x:c r="U149" s="12" t="str"/>
      <x:c r="V149" s="12" t="str"/>
      <x:c r="W149" s="12" t="str"/>
      <x:c r="X149" s="8" t="str">
        <x:v>verified</x:v>
      </x:c>
      <x:c r="Y149" s="11" t="str"/>
      <x:c r="Z149" s="11" t="str"/>
      <x:c r="AA149" s="11" t="str">
        <x:v>https://arxiv.org/html/2604.13822v1</x:v>
      </x:c>
      <x:c r="AB149" s="11" t="str">
        <x:v>https://arxiv.org/abs/2604.13822</x:v>
      </x:c>
      <x:c r="AC149" s="8" t="str"/>
      <x:c r="AD149" s="8" t="str"/>
      <x:c r="AE149" s="8" t="str"/>
      <x:c r="AF149" s="8" t="str">
        <x:v>用于“运行框架感知训练”：把持久观测与临时执行上下文分离，训练 GUI 策略按需调用检索与计算 copilot。</x:v>
      </x:c>
      <x:c r="AG149" s="8" t="str">
        <x:v>computer-use</x:v>
      </x:c>
      <x:c r="AH149" s="8" t="str">
        <x:v>Tool-integrated policy training with memory decoupling</x:v>
      </x:c>
      <x:c r="AI149" s="8" t="str">
        <x:v>148</x:v>
      </x:c>
      <x:c r="AJ149" s="8" t="str">
        <x:v>survey bibliography</x:v>
      </x:c>
      <x:c r="AK149" s="13" t="d">
        <x:v>2026-10-16T00:00:00.000Z</x:v>
      </x:c>
      <x:c r="AL149" s="8" t="str"/>
      <x:c r="AM149" s="8" t="str">
        <x:v>5.4.1</x:v>
      </x:c>
    </x:row>
    <x:row r="150" ht="68" customHeight="1">
      <x:c r="A150" s="8" t="str">
        <x:v>WA-0149</x:v>
      </x:c>
      <x:c r="B150" s="8" t="str">
        <x:v>JIT-Agent</x:v>
      </x:c>
      <x:c r="C150" s="8" t="str">
        <x:v>JIT-Agent: Scaling Harness Intelligence via Just-in-Time Harness Evolution</x:v>
      </x:c>
      <x:c r="D150" s="9" t="n">
        <x:v>2026</x:v>
      </x:c>
      <x:c r="E150" s="8" t="str">
        <x:v>National University of Singapore; EverMind AI; Nanyang Technological University</x:v>
      </x:c>
      <x:c r="F150" s="10" t="str">
        <x:f>VLOOKUP(H150,'Taxonomy'!$A$6:$G$70,3,FALSE)</x:f>
        <x:v>优化：从工作经验到系统能力</x:v>
      </x:c>
      <x:c r="G150" s="10" t="str">
        <x:f>VLOOKUP(H150,'Taxonomy'!$A$6:$G$70,5,FALSE)</x:f>
        <x:v>模型—运行框架耦合优化</x:v>
      </x:c>
      <x:c r="H150" s="8" t="str">
        <x:v>5.4.2</x:v>
      </x:c>
      <x:c r="I150" s="10" t="str">
        <x:f>VLOOKUP(H150,'Taxonomy'!$A$6:$G$70,6,FALSE)</x:f>
        <x:v>学习式运行框架设计</x:v>
      </x:c>
      <x:c r="J150" s="8" t="str">
        <x:v>模型与运行框架耦合;上下文与记忆管理</x:v>
      </x:c>
      <x:c r="K150" s="8" t="str">
        <x:v>规划与协调;执行与状态管理;验证、恢复与重新规划</x:v>
      </x:c>
      <x:c r="L150" s="8" t="str"/>
      <x:c r="M150" s="8" t="str">
        <x:v>模型与运行框架耦合优化</x:v>
      </x:c>
      <x:c r="N150" s="8" t="str">
        <x:v>Method;Framework</x:v>
      </x:c>
      <x:c r="O150" s="11" t="str">
        <x:v>https://arxiv.org/abs/2608.25593</x:v>
      </x:c>
      <x:c r="P150" s="8" t="str">
        <x:v>训练专用模型为当前任务即时生成、修复并演化包含记忆、规划、动作和能力模块的 harness。</x:v>
      </x:c>
      <x:c r="Q150" s="8" t="str"/>
      <x:c r="R150" s="8" t="str"/>
      <x:c r="S150" s="8" t="str"/>
      <x:c r="T150" s="12" t="str">
        <x:v>未分配</x:v>
      </x:c>
      <x:c r="U150" s="12" t="str"/>
      <x:c r="V150" s="12" t="str"/>
      <x:c r="W150" s="12" t="str"/>
      <x:c r="X150" s="8" t="str">
        <x:v>verified</x:v>
      </x:c>
      <x:c r="Y150" s="11" t="str">
        <x:v>https://github.com/bingreeky/JIT</x:v>
      </x:c>
      <x:c r="Z150" s="11" t="str"/>
      <x:c r="AA150" s="11" t="str">
        <x:v>https://arxiv.org/pdf/2608.25593</x:v>
      </x:c>
      <x:c r="AB150" s="11" t="str">
        <x:v>https://arxiv.org/abs/2608.25593</x:v>
      </x:c>
      <x:c r="AC150" s="8" t="str"/>
      <x:c r="AD150" s="8" t="str"/>
      <x:c r="AE150" s="8" t="str"/>
      <x:c r="AF150" s="8" t="str">
        <x:v>用于“学习式运行框架设计”：训练专用模型为当前任务即时生成、修复并演化包含记忆、规划、动作和能力模块的 harness。</x:v>
      </x:c>
      <x:c r="AG150" s="8" t="str">
        <x:v>harness</x:v>
      </x:c>
      <x:c r="AH150" s="8" t="str">
        <x:v>Learned just-in-time harness generation</x:v>
      </x:c>
      <x:c r="AI150" s="8" t="str">
        <x:v>149</x:v>
      </x:c>
      <x:c r="AJ150" s="8" t="str">
        <x:v>survey bibliography</x:v>
      </x:c>
      <x:c r="AK150" s="13" t="d">
        <x:v>2026-10-16T00:00:00.000Z</x:v>
      </x:c>
      <x:c r="AL150" s="8" t="str">
        <x:v>单位在 PDF 作者贡献/affiliations 段核实，首页仅署名 JIT-Agent Team。</x:v>
      </x:c>
      <x:c r="AM150" s="8" t="str">
        <x:v>5.4.2</x:v>
      </x:c>
    </x:row>
    <x:row r="151" ht="68" customHeight="1">
      <x:c r="A151" s="8" t="str">
        <x:v>WA-0150</x:v>
      </x:c>
      <x:c r="B151" s="8" t="str">
        <x:v>CODESKILL</x:v>
      </x:c>
      <x:c r="C151" s="8" t="str">
        <x:v>CODESKILL: Learning Self-Evolving Skills for Coding Agents</x:v>
      </x:c>
      <x:c r="D151" s="9" t="n">
        <x:v>2026</x:v>
      </x:c>
      <x:c r="E151" s="8" t="str">
        <x:v>Nanyang Technological University; Zhejiang University</x:v>
      </x:c>
      <x:c r="F151" s="10" t="str">
        <x:f>VLOOKUP(H151,'Taxonomy'!$A$6:$G$70,3,FALSE)</x:f>
        <x:v>优化：从工作经验到系统能力</x:v>
      </x:c>
      <x:c r="G151" s="10" t="str">
        <x:f>VLOOKUP(H151,'Taxonomy'!$A$6:$G$70,5,FALSE)</x:f>
        <x:v>模型—运行框架耦合优化</x:v>
      </x:c>
      <x:c r="H151" s="8" t="str">
        <x:v>5.4.2</x:v>
      </x:c>
      <x:c r="I151" s="10" t="str">
        <x:f>VLOOKUP(H151,'Taxonomy'!$A$6:$G$70,6,FALSE)</x:f>
        <x:v>学习式运行框架设计</x:v>
      </x:c>
      <x:c r="J151" s="8" t="str">
        <x:v>模型与运行框架耦合;上下文与记忆管理</x:v>
      </x:c>
      <x:c r="K151" s="8" t="str">
        <x:v>推理与决策;执行与状态管理</x:v>
      </x:c>
      <x:c r="L151" s="8" t="str"/>
      <x:c r="M151" s="8" t="str">
        <x:v>模型与运行框架耦合优化</x:v>
      </x:c>
      <x:c r="N151" s="8" t="str">
        <x:v>Method</x:v>
      </x:c>
      <x:c r="O151" s="11" t="str">
        <x:v>https://arxiv.org/abs/2605.25430</x:v>
      </x:c>
      <x:c r="P151" s="8" t="str">
        <x:v>把代码轨迹技能抽取和紧凑技能库维护建模为可学习的管理策略，支持多粒度经验复用。</x:v>
      </x:c>
      <x:c r="Q151" s="8" t="str"/>
      <x:c r="R151" s="8" t="str"/>
      <x:c r="S151" s="8" t="str"/>
      <x:c r="T151" s="12" t="str">
        <x:v>未分配</x:v>
      </x:c>
      <x:c r="U151" s="12" t="str"/>
      <x:c r="V151" s="12" t="str"/>
      <x:c r="W151" s="12" t="str"/>
      <x:c r="X151" s="8" t="str">
        <x:v>verified</x:v>
      </x:c>
      <x:c r="Y151" s="11" t="str"/>
      <x:c r="Z151" s="11" t="str"/>
      <x:c r="AA151" s="11" t="str">
        <x:v>https://arxiv.org/html/2605.25430v2</x:v>
      </x:c>
      <x:c r="AB151" s="11" t="str">
        <x:v>https://arxiv.org/abs/2605.25430</x:v>
      </x:c>
      <x:c r="AC151" s="8" t="str"/>
      <x:c r="AD151" s="8" t="str"/>
      <x:c r="AE151" s="8" t="str"/>
      <x:c r="AF151" s="8" t="str">
        <x:v>用于“学习式运行框架设计”：把代码轨迹技能抽取和紧凑技能库维护建模为可学习的管理策略，支持多粒度经验复用。</x:v>
      </x:c>
      <x:c r="AG151" s="8" t="str">
        <x:v>swe-science</x:v>
      </x:c>
      <x:c r="AH151" s="8" t="str">
        <x:v>Learned skill extraction and bank-management policy</x:v>
      </x:c>
      <x:c r="AI151" s="8" t="str">
        <x:v>150</x:v>
      </x:c>
      <x:c r="AJ151" s="8" t="str">
        <x:v>survey bibliography</x:v>
      </x:c>
      <x:c r="AK151" s="13" t="d">
        <x:v>2026-10-16T00:00:00.000Z</x:v>
      </x:c>
      <x:c r="AL151" s="8" t="str"/>
      <x:c r="AM151" s="8" t="str">
        <x:v>5.4.2</x:v>
      </x:c>
    </x:row>
    <x:row r="152" ht="68" customHeight="1">
      <x:c r="A152" s="8" t="str">
        <x:v>WA-0151</x:v>
      </x:c>
      <x:c r="B152" s="8" t="str">
        <x:v>DMRL</x:v>
      </x:c>
      <x:c r="C152" s="8" t="str">
        <x:v>DMRL: Document-Mediated Reinforcement Learning for Skill Optimization in Advertising Recommendation</x:v>
      </x:c>
      <x:c r="D152" s="9" t="n">
        <x:v>2026</x:v>
      </x:c>
      <x:c r="E152" s="8" t="str">
        <x:v>Shanghai Jiao Tong University; Kuaishou Technology</x:v>
      </x:c>
      <x:c r="F152" s="10" t="str">
        <x:f>VLOOKUP(H152,'Taxonomy'!$A$6:$G$70,3,FALSE)</x:f>
        <x:v>优化：从工作经验到系统能力</x:v>
      </x:c>
      <x:c r="G152" s="10" t="str">
        <x:f>VLOOKUP(H152,'Taxonomy'!$A$6:$G$70,5,FALSE)</x:f>
        <x:v>模型—运行框架耦合优化</x:v>
      </x:c>
      <x:c r="H152" s="8" t="str">
        <x:v>5.4.2</x:v>
      </x:c>
      <x:c r="I152" s="10" t="str">
        <x:f>VLOOKUP(H152,'Taxonomy'!$A$6:$G$70,6,FALSE)</x:f>
        <x:v>学习式运行框架设计</x:v>
      </x:c>
      <x:c r="J152" s="8" t="str">
        <x:v>模型与运行框架耦合</x:v>
      </x:c>
      <x:c r="K152" s="8" t="str">
        <x:v>推理与决策;执行与状态管理;验证、恢复与重新规划</x:v>
      </x:c>
      <x:c r="L152" s="8" t="str"/>
      <x:c r="M152" s="8" t="str">
        <x:v>模型与运行框架耦合优化</x:v>
      </x:c>
      <x:c r="N152" s="8" t="str">
        <x:v>Method</x:v>
      </x:c>
      <x:c r="O152" s="11" t="str">
        <x:v>https://arxiv.org/abs/2609.02170</x:v>
      </x:c>
      <x:c r="P152" s="8" t="str">
        <x:v>让上层 agent 执行结构化技能文档编辑，由冻结下层 agent 的广告推荐 A/B 结果提供优化信号。</x:v>
      </x:c>
      <x:c r="Q152" s="8" t="str"/>
      <x:c r="R152" s="8" t="str"/>
      <x:c r="S152" s="8" t="str"/>
      <x:c r="T152" s="12" t="str">
        <x:v>未分配</x:v>
      </x:c>
      <x:c r="U152" s="12" t="str"/>
      <x:c r="V152" s="12" t="str"/>
      <x:c r="W152" s="12" t="str"/>
      <x:c r="X152" s="8" t="str">
        <x:v>verified</x:v>
      </x:c>
      <x:c r="Y152" s="11" t="str"/>
      <x:c r="Z152" s="11" t="str"/>
      <x:c r="AA152" s="11" t="str">
        <x:v>https://arxiv.org/html/2609.02170v1</x:v>
      </x:c>
      <x:c r="AB152" s="11" t="str">
        <x:v>https://arxiv.org/abs/2609.02170</x:v>
      </x:c>
      <x:c r="AC152" s="8" t="str"/>
      <x:c r="AD152" s="8" t="str"/>
      <x:c r="AE152" s="8" t="str"/>
      <x:c r="AF152" s="8" t="str">
        <x:v>用于“学习式运行框架设计”：让上层 agent 执行结构化技能文档编辑，由冻结下层 agent 的广告推荐 A/B 结果提供优化信号。</x:v>
      </x:c>
      <x:c r="AG152" s="8" t="str">
        <x:v>tool-enterprise</x:v>
      </x:c>
      <x:c r="AH152" s="8" t="str">
        <x:v>Document-mediated skill-edit reinforcement learning</x:v>
      </x:c>
      <x:c r="AI152" s="8" t="str">
        <x:v>151</x:v>
      </x:c>
      <x:c r="AJ152" s="8" t="str">
        <x:v>survey bibliography</x:v>
      </x:c>
      <x:c r="AK152" s="13" t="d">
        <x:v>2026-10-16T00:00:00.000Z</x:v>
      </x:c>
      <x:c r="AL152" s="8" t="str"/>
      <x:c r="AM152" s="8" t="str">
        <x:v>5.4.2</x:v>
      </x:c>
    </x:row>
    <x:row r="153" ht="68" customHeight="1">
      <x:c r="A153" s="8" t="str">
        <x:v>WA-0152</x:v>
      </x:c>
      <x:c r="B153" s="8" t="str">
        <x:v>UI-Mem</x:v>
      </x:c>
      <x:c r="C153" s="8" t="str">
        <x:v>UI-Mem: Self-Evolving Experience Memory for Online Reinforcement Learning in Mobile GUI Agents</x:v>
      </x:c>
      <x:c r="D153" s="9" t="n">
        <x:v>2026</x:v>
      </x:c>
      <x:c r="E153" s="8" t="str">
        <x:v>The Chinese University of Hong Kong, MMLab; vivo AI Lab; Princeton University; Shenzhen Loop Area Institute; Shanghai AI Laboratory</x:v>
      </x:c>
      <x:c r="F153" s="10" t="str">
        <x:f>VLOOKUP(H153,'Taxonomy'!$A$6:$G$70,3,FALSE)</x:f>
        <x:v>优化：从工作经验到系统能力</x:v>
      </x:c>
      <x:c r="G153" s="10" t="str">
        <x:f>VLOOKUP(H153,'Taxonomy'!$A$6:$G$70,5,FALSE)</x:f>
        <x:v>模型—运行框架耦合优化</x:v>
      </x:c>
      <x:c r="H153" s="8" t="str">
        <x:v>5.4.3</x:v>
      </x:c>
      <x:c r="I153" s="10" t="str">
        <x:f>VLOOKUP(H153,'Taxonomy'!$A$6:$G$70,6,FALSE)</x:f>
        <x:v>模型与运行框架联合优化</x:v>
      </x:c>
      <x:c r="J153" s="8" t="str">
        <x:v>模型与运行框架耦合;上下文与记忆管理</x:v>
      </x:c>
      <x:c r="K153" s="8" t="str">
        <x:v>规划与协调;执行与状态管理</x:v>
      </x:c>
      <x:c r="L153" s="8" t="str"/>
      <x:c r="M153" s="8" t="str">
        <x:v>模型与运行框架耦合优化</x:v>
      </x:c>
      <x:c r="N153" s="8" t="str">
        <x:v>Method</x:v>
      </x:c>
      <x:c r="O153" s="11" t="str">
        <x:v>https://arxiv.org/abs/2602.05832</x:v>
      </x:c>
      <x:c r="P153" s="8" t="str">
        <x:v>把工作流、子任务技能和失败模式存成可参数化记忆，并以分层采样将经验指导接入在线 RL。</x:v>
      </x:c>
      <x:c r="Q153" s="8" t="str"/>
      <x:c r="R153" s="8" t="str"/>
      <x:c r="S153" s="8" t="str"/>
      <x:c r="T153" s="12" t="str">
        <x:v>未分配</x:v>
      </x:c>
      <x:c r="U153" s="12" t="str"/>
      <x:c r="V153" s="12" t="str"/>
      <x:c r="W153" s="12" t="str"/>
      <x:c r="X153" s="8" t="str">
        <x:v>verified</x:v>
      </x:c>
      <x:c r="Y153" s="11" t="str"/>
      <x:c r="Z153" s="11" t="str"/>
      <x:c r="AA153" s="11" t="str">
        <x:v>https://arxiv.org/html/2602.05832v1</x:v>
      </x:c>
      <x:c r="AB153" s="11" t="str">
        <x:v>https://arxiv.org/abs/2602.05832</x:v>
      </x:c>
      <x:c r="AC153" s="8" t="str"/>
      <x:c r="AD153" s="8" t="str"/>
      <x:c r="AE153" s="8" t="str"/>
      <x:c r="AF153" s="8" t="str">
        <x:v>用于“模型与运行框架联合优化”：把工作流、子任务技能和失败模式存成可参数化记忆，并以分层采样将经验指导接入在线 RL。</x:v>
      </x:c>
      <x:c r="AG153" s="8" t="str">
        <x:v>computer-use</x:v>
      </x:c>
      <x:c r="AH153" s="8" t="str">
        <x:v>Hierarchical experience memory coupled with online RL</x:v>
      </x:c>
      <x:c r="AI153" s="8" t="str">
        <x:v>152</x:v>
      </x:c>
      <x:c r="AJ153" s="8" t="str">
        <x:v>survey bibliography</x:v>
      </x:c>
      <x:c r="AK153" s="13" t="d">
        <x:v>2026-10-16T00:00:00.000Z</x:v>
      </x:c>
      <x:c r="AL153" s="8" t="str"/>
      <x:c r="AM153" s="8" t="str">
        <x:v>5.4.3</x:v>
      </x:c>
    </x:row>
    <x:row r="154" ht="82" customHeight="1">
      <x:c r="A154" s="8" t="str">
        <x:v>WA-0153</x:v>
      </x:c>
      <x:c r="B154" s="8" t="str">
        <x:v>SkillRL</x:v>
      </x:c>
      <x:c r="C154" s="8" t="str">
        <x:v>SkillRL: Evolving Agents via Recursive Skill-Augmented Reinforcement Learning</x:v>
      </x:c>
      <x:c r="D154" s="9" t="n">
        <x:v>2026</x:v>
      </x:c>
      <x:c r="E154" s="8" t="str">
        <x:v>University of North Carolina at Chapel Hill; University of Chicago; University of California, San Diego; NEC Laboratories America; University of California, Berkeley; University of California, Santa Cruz</x:v>
      </x:c>
      <x:c r="F154" s="10" t="str">
        <x:f>VLOOKUP(H154,'Taxonomy'!$A$6:$G$70,3,FALSE)</x:f>
        <x:v>优化：从工作经验到系统能力</x:v>
      </x:c>
      <x:c r="G154" s="10" t="str">
        <x:f>VLOOKUP(H154,'Taxonomy'!$A$6:$G$70,5,FALSE)</x:f>
        <x:v>模型—运行框架耦合优化</x:v>
      </x:c>
      <x:c r="H154" s="8" t="str">
        <x:v>5.4.3</x:v>
      </x:c>
      <x:c r="I154" s="10" t="str">
        <x:f>VLOOKUP(H154,'Taxonomy'!$A$6:$G$70,6,FALSE)</x:f>
        <x:v>模型与运行框架联合优化</x:v>
      </x:c>
      <x:c r="J154" s="8" t="str">
        <x:v>模型与运行框架耦合;上下文与记忆管理</x:v>
      </x:c>
      <x:c r="K154" s="8" t="str">
        <x:v>推理与决策;执行与状态管理</x:v>
      </x:c>
      <x:c r="L154" s="8" t="str"/>
      <x:c r="M154" s="8" t="str">
        <x:v>模型与运行框架耦合优化</x:v>
      </x:c>
      <x:c r="N154" s="8" t="str">
        <x:v>Method</x:v>
      </x:c>
      <x:c r="O154" s="11" t="str">
        <x:v>https://arxiv.org/abs/2602.08234</x:v>
      </x:c>
      <x:c r="P154" s="8" t="str">
        <x:v>从原始轨迹蒸馏分层 SkillBank，联合自适应检索与递归技能演化提升 RL agent。</x:v>
      </x:c>
      <x:c r="Q154" s="8" t="str"/>
      <x:c r="R154" s="8" t="str"/>
      <x:c r="S154" s="8" t="str"/>
      <x:c r="T154" s="12" t="str">
        <x:v>未分配</x:v>
      </x:c>
      <x:c r="U154" s="12" t="str"/>
      <x:c r="V154" s="12" t="str"/>
      <x:c r="W154" s="12" t="str"/>
      <x:c r="X154" s="8" t="str">
        <x:v>verified</x:v>
      </x:c>
      <x:c r="Y154" s="11" t="str">
        <x:v>https://github.com/aiming-lab/SkillRL</x:v>
      </x:c>
      <x:c r="Z154" s="11" t="str"/>
      <x:c r="AA154" s="11" t="str">
        <x:v>https://arxiv.org/html/2602.08234v2</x:v>
      </x:c>
      <x:c r="AB154" s="11" t="str">
        <x:v>https://arxiv.org/abs/2602.08234</x:v>
      </x:c>
      <x:c r="AC154" s="8" t="str"/>
      <x:c r="AD154" s="8" t="str"/>
      <x:c r="AE154" s="8" t="str"/>
      <x:c r="AF154" s="8" t="str">
        <x:v>用于“模型与运行框架联合优化”：从原始轨迹蒸馏分层 SkillBank，联合自适应检索与递归技能演化提升 RL agent。</x:v>
      </x:c>
      <x:c r="AG154" s="8" t="str">
        <x:v>harness</x:v>
      </x:c>
      <x:c r="AH154" s="8" t="str">
        <x:v>Recursive skill-bank and policy co-evolution</x:v>
      </x:c>
      <x:c r="AI154" s="8" t="str">
        <x:v>153</x:v>
      </x:c>
      <x:c r="AJ154" s="8" t="str">
        <x:v>survey bibliography</x:v>
      </x:c>
      <x:c r="AK154" s="13" t="d">
        <x:v>2026-10-16T00:00:00.000Z</x:v>
      </x:c>
      <x:c r="AL154" s="8" t="str"/>
      <x:c r="AM154" s="8" t="str">
        <x:v>5.4.3</x:v>
      </x:c>
    </x:row>
    <x:row r="155" ht="68" customHeight="1">
      <x:c r="A155" s="8" t="str">
        <x:v>WA-0154</x:v>
      </x:c>
      <x:c r="B155" s="8" t="str">
        <x:v>FST</x:v>
      </x:c>
      <x:c r="C155" s="8" t="str">
        <x:v>Learning, Fast and Slow: Towards LLMs That Adapt Continually</x:v>
      </x:c>
      <x:c r="D155" s="9" t="n">
        <x:v>2026</x:v>
      </x:c>
      <x:c r="E155" s="8" t="str">
        <x:v>University of California, Berkeley; Mila; University of Texas at Austin; Eragon; Periodic Labs; Mirendil</x:v>
      </x:c>
      <x:c r="F155" s="10" t="str">
        <x:f>VLOOKUP(H155,'Taxonomy'!$A$6:$G$70,3,FALSE)</x:f>
        <x:v>优化：从工作经验到系统能力</x:v>
      </x:c>
      <x:c r="G155" s="10" t="str">
        <x:f>VLOOKUP(H155,'Taxonomy'!$A$6:$G$70,5,FALSE)</x:f>
        <x:v>模型—运行框架耦合优化</x:v>
      </x:c>
      <x:c r="H155" s="8" t="str">
        <x:v>5.4.3</x:v>
      </x:c>
      <x:c r="I155" s="10" t="str">
        <x:f>VLOOKUP(H155,'Taxonomy'!$A$6:$G$70,6,FALSE)</x:f>
        <x:v>模型与运行框架联合优化</x:v>
      </x:c>
      <x:c r="J155" s="8" t="str">
        <x:v>模型与运行框架耦合;上下文与记忆管理;跨任务个性化与自演化</x:v>
      </x:c>
      <x:c r="K155" s="8" t="str">
        <x:v>推理与决策;执行与状态管理</x:v>
      </x:c>
      <x:c r="L155" s="8" t="str"/>
      <x:c r="M155" s="8" t="str">
        <x:v>模型与运行框架耦合优化</x:v>
      </x:c>
      <x:c r="N155" s="8" t="str">
        <x:v>Method</x:v>
      </x:c>
      <x:c r="O155" s="11" t="str">
        <x:v>https://arxiv.org/abs/2605.12484</x:v>
      </x:c>
      <x:c r="P155" s="8" t="str">
        <x:v>把优化上下文作为快速权重、模型参数作为慢速权重，协调文本反馈适应与 RL 更新以减少遗忘。</x:v>
      </x:c>
      <x:c r="Q155" s="8" t="str"/>
      <x:c r="R155" s="8" t="str"/>
      <x:c r="S155" s="8" t="str"/>
      <x:c r="T155" s="12" t="str">
        <x:v>未分配</x:v>
      </x:c>
      <x:c r="U155" s="12" t="str"/>
      <x:c r="V155" s="12" t="str"/>
      <x:c r="W155" s="12" t="str"/>
      <x:c r="X155" s="8" t="str">
        <x:v>verified</x:v>
      </x:c>
      <x:c r="Y155" s="11" t="str"/>
      <x:c r="Z155" s="11" t="str"/>
      <x:c r="AA155" s="11" t="str">
        <x:v>https://arxiv.org/html/2605.12484v3</x:v>
      </x:c>
      <x:c r="AB155" s="11" t="str">
        <x:v>https://arxiv.org/abs/2605.12484</x:v>
      </x:c>
      <x:c r="AC155" s="8" t="str"/>
      <x:c r="AD155" s="8" t="str"/>
      <x:c r="AE155" s="8" t="str"/>
      <x:c r="AF155" s="8" t="str">
        <x:v>用于“模型与运行框架联合优化”：把优化上下文作为快速权重、模型参数作为慢速权重，协调文本反馈适应与 RL 更新以减少遗忘。</x:v>
      </x:c>
      <x:c r="AG155" s="8" t="str">
        <x:v>harness</x:v>
      </x:c>
      <x:c r="AH155" s="8" t="str">
        <x:v>Fast context and slow weight continual adaptation</x:v>
      </x:c>
      <x:c r="AI155" s="8" t="str">
        <x:v>154</x:v>
      </x:c>
      <x:c r="AJ155" s="8" t="str">
        <x:v>survey bibliography</x:v>
      </x:c>
      <x:c r="AK155" s="13" t="d">
        <x:v>2026-10-16T00:00:00.000Z</x:v>
      </x:c>
      <x:c r="AL155" s="8" t="str"/>
      <x:c r="AM155" s="8" t="str">
        <x:v>5.4.3</x:v>
      </x:c>
    </x:row>
    <x:row r="156" ht="68" customHeight="1">
      <x:c r="A156" s="8" t="str">
        <x:v>WA-0155</x:v>
      </x:c>
      <x:c r="B156" s="8" t="str">
        <x:v>SIA</x:v>
      </x:c>
      <x:c r="C156" s="8" t="str">
        <x:v>SIA: Self Improving AI with Harness &amp; Weight Updates</x:v>
      </x:c>
      <x:c r="D156" s="9" t="n">
        <x:v>2026</x:v>
      </x:c>
      <x:c r="E156" s="8" t="str">
        <x:v>Hexo Labs (Palo Alto, Brussels, Toronto); University of Oxford</x:v>
      </x:c>
      <x:c r="F156" s="10" t="str">
        <x:f>VLOOKUP(H156,'Taxonomy'!$A$6:$G$70,3,FALSE)</x:f>
        <x:v>优化：从工作经验到系统能力</x:v>
      </x:c>
      <x:c r="G156" s="10" t="str">
        <x:f>VLOOKUP(H156,'Taxonomy'!$A$6:$G$70,5,FALSE)</x:f>
        <x:v>模型—运行框架耦合优化</x:v>
      </x:c>
      <x:c r="H156" s="8" t="str">
        <x:v>5.4.3</x:v>
      </x:c>
      <x:c r="I156" s="10" t="str">
        <x:f>VLOOKUP(H156,'Taxonomy'!$A$6:$G$70,6,FALSE)</x:f>
        <x:v>模型与运行框架联合优化</x:v>
      </x:c>
      <x:c r="J156" s="8" t="str">
        <x:v>模型与运行框架耦合;跨任务个性化与自演化</x:v>
      </x:c>
      <x:c r="K156" s="8" t="str">
        <x:v>推理与决策;执行与状态管理;验证、恢复与重新规划</x:v>
      </x:c>
      <x:c r="L156" s="8" t="str"/>
      <x:c r="M156" s="8" t="str">
        <x:v>模型与运行框架耦合优化</x:v>
      </x:c>
      <x:c r="N156" s="8" t="str">
        <x:v>Method</x:v>
      </x:c>
      <x:c r="O156" s="11" t="str">
        <x:v>https://arxiv.org/abs/2605.27276</x:v>
      </x:c>
      <x:c r="P156" s="8" t="str">
        <x:v>以 Feedback-Agent 同时修改任务 agent 的 harness 与权重，跨法律分类、GPU 优化和单细胞去噪验证。</x:v>
      </x:c>
      <x:c r="Q156" s="8" t="str"/>
      <x:c r="R156" s="8" t="str"/>
      <x:c r="S156" s="8" t="str"/>
      <x:c r="T156" s="12" t="str">
        <x:v>未分配</x:v>
      </x:c>
      <x:c r="U156" s="12" t="str"/>
      <x:c r="V156" s="12" t="str"/>
      <x:c r="W156" s="12" t="str"/>
      <x:c r="X156" s="8" t="str">
        <x:v>verified</x:v>
      </x:c>
      <x:c r="Y156" s="11" t="str"/>
      <x:c r="Z156" s="11" t="str"/>
      <x:c r="AA156" s="11" t="str">
        <x:v>https://arxiv.org/pdf/2605.27276</x:v>
      </x:c>
      <x:c r="AB156" s="11" t="str">
        <x:v>https://arxiv.org/abs/2605.27276</x:v>
      </x:c>
      <x:c r="AC156" s="8" t="str"/>
      <x:c r="AD156" s="8" t="str"/>
      <x:c r="AE156" s="8" t="str"/>
      <x:c r="AF156" s="8" t="str">
        <x:v>用于“模型与运行框架联合优化”：以 Feedback-Agent 同时修改任务 agent 的 harness 与权重，跨法律分类、GPU 优化和单细胞去噪验证。</x:v>
      </x:c>
      <x:c r="AG156" s="8" t="str">
        <x:v>harness</x:v>
      </x:c>
      <x:c r="AH156" s="8" t="str">
        <x:v>Joint self-improvement of harness and model weights</x:v>
      </x:c>
      <x:c r="AI156" s="8" t="str">
        <x:v>155</x:v>
      </x:c>
      <x:c r="AJ156" s="8" t="str">
        <x:v>survey bibliography</x:v>
      </x:c>
      <x:c r="AK156" s="13" t="d">
        <x:v>2026-10-16T00:00:00.000Z</x:v>
      </x:c>
      <x:c r="AL156" s="8" t="str">
        <x:v>机构从 PDF 首页核实；HTML 作者行未完整显示单位。</x:v>
      </x:c>
      <x:c r="AM156" s="8" t="str">
        <x:v>5.4.3</x:v>
      </x:c>
    </x:row>
    <x:row r="157" ht="68" customHeight="1">
      <x:c r="A157" s="8" t="str">
        <x:v>WA-0156</x:v>
      </x:c>
      <x:c r="B157" s="8" t="str">
        <x:v>SMITH</x:v>
      </x:c>
      <x:c r="C157" s="8" t="str">
        <x:v>Joint Optimization of Tool Creation and Use for Large Language Model Agents</x:v>
      </x:c>
      <x:c r="D157" s="9" t="n">
        <x:v>2026</x:v>
      </x:c>
      <x:c r="E157" s="8" t="str">
        <x:v>Appier AI Research; National Taiwan University</x:v>
      </x:c>
      <x:c r="F157" s="10" t="str">
        <x:f>VLOOKUP(H157,'Taxonomy'!$A$6:$G$70,3,FALSE)</x:f>
        <x:v>优化：从工作经验到系统能力</x:v>
      </x:c>
      <x:c r="G157" s="10" t="str">
        <x:f>VLOOKUP(H157,'Taxonomy'!$A$6:$G$70,5,FALSE)</x:f>
        <x:v>模型—运行框架耦合优化</x:v>
      </x:c>
      <x:c r="H157" s="8" t="str">
        <x:v>5.4.1</x:v>
      </x:c>
      <x:c r="I157" s="10" t="str">
        <x:f>VLOOKUP(H157,'Taxonomy'!$A$6:$G$70,6,FALSE)</x:f>
        <x:v>运行框架感知训练</x:v>
      </x:c>
      <x:c r="J157" s="8" t="str">
        <x:v>模型与运行框架耦合</x:v>
      </x:c>
      <x:c r="K157" s="8" t="str">
        <x:v>推理与决策;执行与状态管理;验证、恢复与重新规划</x:v>
      </x:c>
      <x:c r="L157" s="8" t="str"/>
      <x:c r="M157" s="8" t="str">
        <x:v>模型与运行框架耦合优化</x:v>
      </x:c>
      <x:c r="N157" s="8" t="str">
        <x:v>Method</x:v>
      </x:c>
      <x:c r="O157" s="11" t="str">
        <x:v>https://arxiv.org/abs/2608.24571</x:v>
      </x:c>
      <x:c r="P157" s="8" t="str">
        <x:v>在同一 RL 策略内交替训练工具构建与调用，以 schema、代码和结果三个奖励轴分别归因。</x:v>
      </x:c>
      <x:c r="Q157" s="8" t="str"/>
      <x:c r="R157" s="8" t="str"/>
      <x:c r="S157" s="8" t="str"/>
      <x:c r="T157" s="12" t="str">
        <x:v>未分配</x:v>
      </x:c>
      <x:c r="U157" s="12" t="str"/>
      <x:c r="V157" s="12" t="str"/>
      <x:c r="W157" s="12" t="str"/>
      <x:c r="X157" s="8" t="str">
        <x:v>verified</x:v>
      </x:c>
      <x:c r="Y157" s="11" t="str">
        <x:v>https://github.com/appier-research/smith</x:v>
      </x:c>
      <x:c r="Z157" s="11" t="str"/>
      <x:c r="AA157" s="11" t="str">
        <x:v>https://arxiv.org/html/2608.24571v1</x:v>
      </x:c>
      <x:c r="AB157" s="11" t="str">
        <x:v>https://arxiv.org/abs/2608.24571</x:v>
      </x:c>
      <x:c r="AC157" s="8" t="str"/>
      <x:c r="AD157" s="8" t="str"/>
      <x:c r="AE157" s="8" t="str"/>
      <x:c r="AF157" s="8" t="str">
        <x:v>用于“运行框架感知训练”：在同一 RL 策略内交替训练工具构建与调用，以 schema、代码和结果三个奖励轴分别归因。</x:v>
      </x:c>
      <x:c r="AG157" s="8" t="str">
        <x:v>harness</x:v>
      </x:c>
      <x:c r="AH157" s="8" t="str">
        <x:v>Joint tool creation and tool-use policy optimization</x:v>
      </x:c>
      <x:c r="AI157" s="8" t="str">
        <x:v>156</x:v>
      </x:c>
      <x:c r="AJ157" s="8" t="str">
        <x:v>survey bibliography</x:v>
      </x:c>
      <x:c r="AK157" s="13" t="d">
        <x:v>2026-10-16T00:00:00.000Z</x:v>
      </x:c>
      <x:c r="AL157" s="8" t="str"/>
      <x:c r="AM157" s="8" t="str">
        <x:v>5.4.1</x:v>
      </x:c>
    </x:row>
    <x:row r="158" ht="68" customHeight="1">
      <x:c r="A158" s="8" t="str">
        <x:v>WA-0157</x:v>
      </x:c>
      <x:c r="B158" s="8" t="str">
        <x:v>Skill-Alpha</x:v>
      </x:c>
      <x:c r="C158" s="8" t="str">
        <x:v>Progressive Agent Skill Generation via Reinforcement Learning</x:v>
      </x:c>
      <x:c r="D158" s="9" t="n">
        <x:v>2026</x:v>
      </x:c>
      <x:c r="E158" s="8" t="str">
        <x:v>The Chinese University of Hong Kong; LIGHTSPEED; Independent researcher</x:v>
      </x:c>
      <x:c r="F158" s="10" t="str">
        <x:f>VLOOKUP(H158,'Taxonomy'!$A$6:$G$70,3,FALSE)</x:f>
        <x:v>优化：从工作经验到系统能力</x:v>
      </x:c>
      <x:c r="G158" s="10" t="str">
        <x:f>VLOOKUP(H158,'Taxonomy'!$A$6:$G$70,5,FALSE)</x:f>
        <x:v>模型—运行框架耦合优化</x:v>
      </x:c>
      <x:c r="H158" s="8" t="str">
        <x:v>5.4.2</x:v>
      </x:c>
      <x:c r="I158" s="10" t="str">
        <x:f>VLOOKUP(H158,'Taxonomy'!$A$6:$G$70,6,FALSE)</x:f>
        <x:v>学习式运行框架设计</x:v>
      </x:c>
      <x:c r="J158" s="8" t="str">
        <x:v>模型与运行框架耦合;上下文与记忆管理</x:v>
      </x:c>
      <x:c r="K158" s="8" t="str">
        <x:v>推理与决策;执行与状态管理</x:v>
      </x:c>
      <x:c r="L158" s="8" t="str"/>
      <x:c r="M158" s="8" t="str">
        <x:v>模型与运行框架耦合优化</x:v>
      </x:c>
      <x:c r="N158" s="8" t="str">
        <x:v>Method</x:v>
      </x:c>
      <x:c r="O158" s="11" t="str">
        <x:v>https://arxiv.org/abs/2608.01678</x:v>
      </x:c>
      <x:c r="P158" s="8" t="str">
        <x:v>用下游任务收益监督技能生成，通过渐进强化学习从异质文档或经验学习可用技能。</x:v>
      </x:c>
      <x:c r="Q158" s="8" t="str"/>
      <x:c r="R158" s="8" t="str"/>
      <x:c r="S158" s="8" t="str"/>
      <x:c r="T158" s="12" t="str">
        <x:v>未分配</x:v>
      </x:c>
      <x:c r="U158" s="12" t="str"/>
      <x:c r="V158" s="12" t="str"/>
      <x:c r="W158" s="12" t="str"/>
      <x:c r="X158" s="8" t="str">
        <x:v>verified</x:v>
      </x:c>
      <x:c r="Y158" s="11" t="str">
        <x:v>https://github.com/ejhshen/skill-alpha</x:v>
      </x:c>
      <x:c r="Z158" s="11" t="str"/>
      <x:c r="AA158" s="11" t="str">
        <x:v>https://arxiv.org/html/2608.01678v3</x:v>
      </x:c>
      <x:c r="AB158" s="11" t="str">
        <x:v>https://arxiv.org/abs/2608.01678</x:v>
      </x:c>
      <x:c r="AC158" s="8" t="str"/>
      <x:c r="AD158" s="8" t="str"/>
      <x:c r="AE158" s="8" t="str"/>
      <x:c r="AF158" s="8" t="str">
        <x:v>用于“学习式运行框架设计”：用下游任务收益监督技能生成，通过渐进强化学习从异质文档或经验学习可用技能。</x:v>
      </x:c>
      <x:c r="AG158" s="8" t="str">
        <x:v>harness</x:v>
      </x:c>
      <x:c r="AH158" s="8" t="str">
        <x:v>Progressive reinforcement learning for skill generation</x:v>
      </x:c>
      <x:c r="AI158" s="8" t="str">
        <x:v>157</x:v>
      </x:c>
      <x:c r="AJ158" s="8" t="str">
        <x:v>survey bibliography</x:v>
      </x:c>
      <x:c r="AK158" s="13" t="d">
        <x:v>2026-10-16T00:00:00.000Z</x:v>
      </x:c>
      <x:c r="AL158" s="8" t="str">
        <x:v>当前 primary author list 包括 Chengzhi Piao，较 survey 原始引用更完整。</x:v>
      </x:c>
      <x:c r="AM158" s="8" t="str">
        <x:v>5.4.2</x:v>
      </x:c>
    </x:row>
    <x:row r="159" ht="68" customHeight="1">
      <x:c r="A159" s="8" t="str">
        <x:v>WA-0158</x:v>
      </x:c>
      <x:c r="B159" s="8" t="str">
        <x:v>Optimas</x:v>
      </x:c>
      <x:c r="C159" s="8" t="str">
        <x:v>Optimas: Optimizing Compound AI Systems with Globally Aligned Local Rewards</x:v>
      </x:c>
      <x:c r="D159" s="9" t="n">
        <x:v>2025</x:v>
      </x:c>
      <x:c r="E159" s="8" t="str">
        <x:v>Stanford University; Amazon; Jožef Stefan Institute; Rutgers University</x:v>
      </x:c>
      <x:c r="F159" s="10" t="str">
        <x:f>VLOOKUP(H159,'Taxonomy'!$A$6:$G$70,3,FALSE)</x:f>
        <x:v>优化：从工作经验到系统能力</x:v>
      </x:c>
      <x:c r="G159" s="10" t="str">
        <x:f>VLOOKUP(H159,'Taxonomy'!$A$6:$G$70,5,FALSE)</x:f>
        <x:v>模型—运行框架耦合优化</x:v>
      </x:c>
      <x:c r="H159" s="8" t="str">
        <x:v>5.4.3</x:v>
      </x:c>
      <x:c r="I159" s="10" t="str">
        <x:f>VLOOKUP(H159,'Taxonomy'!$A$6:$G$70,6,FALSE)</x:f>
        <x:v>模型与运行框架联合优化</x:v>
      </x:c>
      <x:c r="J159" s="8" t="str">
        <x:v>模型与运行框架耦合</x:v>
      </x:c>
      <x:c r="K159" s="8" t="str">
        <x:v>推理与决策;规划与协调;验证、恢复与重新规划</x:v>
      </x:c>
      <x:c r="L159" s="8" t="str"/>
      <x:c r="M159" s="8" t="str">
        <x:v>模型与运行框架耦合优化</x:v>
      </x:c>
      <x:c r="N159" s="8" t="str">
        <x:v>Method;Framework</x:v>
      </x:c>
      <x:c r="O159" s="11" t="str">
        <x:v>https://arxiv.org/abs/2507.03041</x:v>
      </x:c>
      <x:c r="P159" s="8" t="str">
        <x:v>为各组件维护与系统收益对齐的局部奖励，协调提示、超参数及模型权重等异质更新。</x:v>
      </x:c>
      <x:c r="Q159" s="8" t="str"/>
      <x:c r="R159" s="8" t="str"/>
      <x:c r="S159" s="8" t="str"/>
      <x:c r="T159" s="12" t="str">
        <x:v>未分配</x:v>
      </x:c>
      <x:c r="U159" s="12" t="str"/>
      <x:c r="V159" s="12" t="str"/>
      <x:c r="W159" s="12" t="str"/>
      <x:c r="X159" s="8" t="str">
        <x:v>verified</x:v>
      </x:c>
      <x:c r="Y159" s="11" t="str"/>
      <x:c r="Z159" s="11" t="str"/>
      <x:c r="AA159" s="11" t="str">
        <x:v>https://arxiv.org/html/2507.03041v4</x:v>
      </x:c>
      <x:c r="AB159" s="11" t="str">
        <x:v>https://arxiv.org/abs/2507.03041</x:v>
      </x:c>
      <x:c r="AC159" s="8" t="str"/>
      <x:c r="AD159" s="8" t="str"/>
      <x:c r="AE159" s="8" t="str"/>
      <x:c r="AF159" s="8" t="str">
        <x:v>用于“模型与运行框架联合优化”：为各组件维护与系统收益对齐的局部奖励，协调提示、超参数及模型权重等异质更新。</x:v>
      </x:c>
      <x:c r="AG159" s="8" t="str">
        <x:v>harness</x:v>
      </x:c>
      <x:c r="AH159" s="8" t="str">
        <x:v>Globally aligned local rewards for compound systems</x:v>
      </x:c>
      <x:c r="AI159" s="8" t="str">
        <x:v>158</x:v>
      </x:c>
      <x:c r="AJ159" s="8" t="str">
        <x:v>survey bibliography</x:v>
      </x:c>
      <x:c r="AK159" s="13" t="d">
        <x:v>2026-10-16T00:00:00.000Z</x:v>
      </x:c>
      <x:c r="AL159" s="8" t="str">
        <x:v>首次预印本 2025；未将项目网站链接误填为代码仓库。</x:v>
      </x:c>
      <x:c r="AM159" s="8" t="str">
        <x:v>5.4.3</x:v>
      </x:c>
    </x:row>
    <x:row r="160" ht="68" customHeight="1">
      <x:c r="A160" s="8" t="str">
        <x:v>WA-0159</x:v>
      </x:c>
      <x:c r="B160" s="8" t="str">
        <x:v>Component Routing</x:v>
      </x:c>
      <x:c r="C160" s="8" t="str">
        <x:v>Not All Experience Belongs in the Weights: Component Routing for Self-Improving GUI Agents</x:v>
      </x:c>
      <x:c r="D160" s="9" t="n">
        <x:v>2026</x:v>
      </x:c>
      <x:c r="E160" s="8" t="str">
        <x:v>South Dakota State University</x:v>
      </x:c>
      <x:c r="F160" s="10" t="str">
        <x:f>VLOOKUP(H160,'Taxonomy'!$A$6:$G$70,3,FALSE)</x:f>
        <x:v>优化：从工作经验到系统能力</x:v>
      </x:c>
      <x:c r="G160" s="10" t="str">
        <x:f>VLOOKUP(H160,'Taxonomy'!$A$6:$G$70,5,FALSE)</x:f>
        <x:v>模型—运行框架耦合优化</x:v>
      </x:c>
      <x:c r="H160" s="8" t="str">
        <x:v>5.4.3</x:v>
      </x:c>
      <x:c r="I160" s="10" t="str">
        <x:f>VLOOKUP(H160,'Taxonomy'!$A$6:$G$70,6,FALSE)</x:f>
        <x:v>模型与运行框架联合优化</x:v>
      </x:c>
      <x:c r="J160" s="8" t="str">
        <x:v>模型与运行框架耦合;上下文与记忆管理</x:v>
      </x:c>
      <x:c r="K160" s="8" t="str">
        <x:v>推理与决策;执行与状态管理</x:v>
      </x:c>
      <x:c r="L160" s="8" t="str"/>
      <x:c r="M160" s="8" t="str">
        <x:v>模型与运行框架耦合优化</x:v>
      </x:c>
      <x:c r="N160" s="8" t="str">
        <x:v>Method</x:v>
      </x:c>
      <x:c r="O160" s="11" t="str">
        <x:v>https://arxiv.org/abs/2610.01787</x:v>
      </x:c>
      <x:c r="P160" s="8" t="str">
        <x:v>把 GUI 经验拆为定位器、流程、状态事实和教训，并逐项比较进入上下文或权重的收益。</x:v>
      </x:c>
      <x:c r="Q160" s="8" t="str"/>
      <x:c r="R160" s="8" t="str"/>
      <x:c r="S160" s="8" t="str"/>
      <x:c r="T160" s="12" t="str">
        <x:v>未分配</x:v>
      </x:c>
      <x:c r="U160" s="12" t="str"/>
      <x:c r="V160" s="12" t="str"/>
      <x:c r="W160" s="12" t="str"/>
      <x:c r="X160" s="8" t="str">
        <x:v>verified</x:v>
      </x:c>
      <x:c r="Y160" s="11" t="str"/>
      <x:c r="Z160" s="11" t="str"/>
      <x:c r="AA160" s="11" t="str">
        <x:v>https://arxiv.org/html/2610.01787v1</x:v>
      </x:c>
      <x:c r="AB160" s="11" t="str">
        <x:v>https://arxiv.org/abs/2610.01787</x:v>
      </x:c>
      <x:c r="AC160" s="8" t="str"/>
      <x:c r="AD160" s="8" t="str"/>
      <x:c r="AE160" s="8" t="str"/>
      <x:c r="AF160" s="8" t="str">
        <x:v>用于“模型与运行框架联合优化”：把 GUI 经验拆为定位器、流程、状态事实和教训，并逐项比较进入上下文或权重的收益。</x:v>
      </x:c>
      <x:c r="AG160" s="8" t="str">
        <x:v>computer-use</x:v>
      </x:c>
      <x:c r="AH160" s="8" t="str">
        <x:v>Routing decomposed experience to context versus weights</x:v>
      </x:c>
      <x:c r="AI160" s="8" t="str">
        <x:v>159</x:v>
      </x:c>
      <x:c r="AJ160" s="8" t="str">
        <x:v>survey bibliography</x:v>
      </x:c>
      <x:c r="AK160" s="13" t="d">
        <x:v>2026-10-16T00:00:00.000Z</x:v>
      </x:c>
      <x:c r="AL160" s="8" t="str"/>
      <x:c r="AM160" s="8" t="str">
        <x:v>5.4.3</x:v>
      </x:c>
    </x:row>
    <x:row r="161" ht="68" customHeight="1">
      <x:c r="A161" s="8" t="str">
        <x:v>WA-0160</x:v>
      </x:c>
      <x:c r="B161" s="8" t="str">
        <x:v>GAIA</x:v>
      </x:c>
      <x:c r="C161" s="8" t="str">
        <x:v>GAIA: a benchmark for General AI Assistants</x:v>
      </x:c>
      <x:c r="D161" s="9" t="n">
        <x:v>2023</x:v>
      </x:c>
      <x:c r="E161" s="8" t="str">
        <x:v>Meta (FAIR; GenAI); Hugging Face; AutoGPT</x:v>
      </x:c>
      <x:c r="F161" s="10" t="str">
        <x:f>VLOOKUP(H161,'Taxonomy'!$A$6:$G$70,3,FALSE)</x:f>
        <x:v>评估与资源：如何检验工作完成</x:v>
      </x:c>
      <x:c r="G161" s="10" t="str">
        <x:f>VLOOKUP(H161,'Taxonomy'!$A$6:$G$70,5,FALSE)</x:f>
        <x:v>评估方法</x:v>
      </x:c>
      <x:c r="H161" s="8" t="str">
        <x:v>6.2.1</x:v>
      </x:c>
      <x:c r="I161" s="10" t="str">
        <x:f>VLOOKUP(H161,'Taxonomy'!$A$6:$G$70,6,FALSE)</x:f>
        <x:v>评估目标与可观察证据</x:v>
      </x:c>
      <x:c r="J161" s="8" t="str">
        <x:v>材料发现与证据定位;对象结构、模态与语义;答案、产物、状态与过程证据</x:v>
      </x:c>
      <x:c r="K161" s="8" t="str">
        <x:v>感知与理解;推理与决策;执行与状态管理</x:v>
      </x:c>
      <x:c r="L161" s="8" t="str">
        <x:v>6.1 基准与任务构造</x:v>
      </x:c>
      <x:c r="M161" s="8" t="str"/>
      <x:c r="N161" s="8" t="str">
        <x:v>Benchmark</x:v>
      </x:c>
      <x:c r="O161" s="11" t="str">
        <x:v>https://arxiv.org/abs/2311.12983</x:v>
      </x:c>
      <x:c r="P161" s="8" t="str">
        <x:v>以需要浏览、多模态理解与工具使用的真实问题评估通用助手；答案评测不等同于工作成果交付。</x:v>
      </x:c>
      <x:c r="Q161" s="8" t="str"/>
      <x:c r="R161" s="8" t="str"/>
      <x:c r="S161" s="8" t="str"/>
      <x:c r="T161" s="12" t="str">
        <x:v>未分配</x:v>
      </x:c>
      <x:c r="U161" s="12" t="str"/>
      <x:c r="V161" s="12" t="str"/>
      <x:c r="W161" s="12" t="str"/>
      <x:c r="X161" s="8" t="str">
        <x:v>verified</x:v>
      </x:c>
      <x:c r="Y161" s="11" t="str"/>
      <x:c r="Z161" s="11" t="str"/>
      <x:c r="AA161" s="11" t="str">
        <x:v>https://arxiv.org/html/2311.12983v1</x:v>
      </x:c>
      <x:c r="AB161" s="11" t="str">
        <x:v>https://arxiv.org/abs/2311.12983</x:v>
      </x:c>
      <x:c r="AC161" s="8" t="str"/>
      <x:c r="AD161" s="8" t="str"/>
      <x:c r="AE161" s="8" t="str"/>
      <x:c r="AF161" s="8" t="str">
        <x:v>用于“评估目标与可观察证据”：以需要浏览、多模态理解与工具使用的真实问题评估通用助手；答案评测不等同于工作成果交付。</x:v>
      </x:c>
      <x:c r="AG161" s="8" t="str">
        <x:v>workspace</x:v>
      </x:c>
      <x:c r="AH161" s="8" t="str">
        <x:v>General assistant tasks</x:v>
      </x:c>
      <x:c r="AI161" s="8" t="str">
        <x:v>160</x:v>
      </x:c>
      <x:c r="AJ161" s="8" t="str">
        <x:v>survey bibliography</x:v>
      </x:c>
      <x:c r="AK161" s="13" t="d">
        <x:v>2026-10-16T00:00:00.000Z</x:v>
      </x:c>
      <x:c r="AL161" s="8" t="str">
        <x:v>答案型通用助手基准；主类按跨资料工具任务归workspace，不能据此声称验证了工作产物。</x:v>
      </x:c>
      <x:c r="AM161" s="8" t="str">
        <x:v>6.1</x:v>
      </x:c>
    </x:row>
    <x:row r="162" ht="68" customHeight="1">
      <x:c r="A162" s="8" t="str">
        <x:v>WA-0161</x:v>
      </x:c>
      <x:c r="B162" s="8" t="str">
        <x:v>StartupBench</x:v>
      </x:c>
      <x:c r="C162" s="8" t="str">
        <x:v>StartupBench: Benchmarking General-Purpose Agents on Market-Validated End-to-End Workflows</x:v>
      </x:c>
      <x:c r="D162" s="9" t="n">
        <x:v>2026</x:v>
      </x:c>
      <x:c r="E162" s="8" t="str">
        <x:v>ByteDance Seed; Nanjing University; M-A-P; TokenWave.AI</x:v>
      </x:c>
      <x:c r="F162" s="10" t="str">
        <x:f>VLOOKUP(H162,'Taxonomy'!$A$6:$G$70,3,FALSE)</x:f>
        <x:v>评估与资源：如何检验工作完成</x:v>
      </x:c>
      <x:c r="G162" s="10" t="str">
        <x:f>VLOOKUP(H162,'Taxonomy'!$A$6:$G$70,5,FALSE)</x:f>
        <x:v>基准与任务构造</x:v>
      </x:c>
      <x:c r="H162" s="8" t="str">
        <x:v>6.1.1</x:v>
      </x:c>
      <x:c r="I162" s="10" t="str">
        <x:f>VLOOKUP(H162,'Taxonomy'!$A$6:$G$70,6,FALSE)</x:f>
        <x:v>任务构造策略</x:v>
      </x:c>
      <x:c r="J162" s="8" t="str">
        <x:v>任务、环境与扰动构造;任务覆盖与泛化边界;标准、量规与裁判</x:v>
      </x:c>
      <x:c r="K162" s="8" t="str">
        <x:v>推理与决策;规划与协调;执行与状态管理;验证、恢复与重新规划</x:v>
      </x:c>
      <x:c r="L162" s="8" t="str"/>
      <x:c r="M162" s="8" t="str"/>
      <x:c r="N162" s="8" t="str">
        <x:v>Benchmark</x:v>
      </x:c>
      <x:c r="O162" s="11" t="str">
        <x:v>https://arxiv.org/abs/2608.17800</x:v>
      </x:c>
      <x:c r="P162" s="8" t="str">
        <x:v>从已有市场需求的AI产品反推端到端工作任务，以细粒度rubric评价专业交付物。</x:v>
      </x:c>
      <x:c r="Q162" s="8" t="str"/>
      <x:c r="R162" s="8" t="str"/>
      <x:c r="S162" s="8" t="str"/>
      <x:c r="T162" s="12" t="str">
        <x:v>未分配</x:v>
      </x:c>
      <x:c r="U162" s="12" t="str"/>
      <x:c r="V162" s="12" t="str"/>
      <x:c r="W162" s="12" t="str"/>
      <x:c r="X162" s="8" t="str">
        <x:v>verified</x:v>
      </x:c>
      <x:c r="Y162" s="11" t="str"/>
      <x:c r="Z162" s="11" t="str"/>
      <x:c r="AA162" s="11" t="str">
        <x:v>https://arxiv.org/html/2608.17800v1</x:v>
      </x:c>
      <x:c r="AB162" s="11" t="str">
        <x:v>https://arxiv.org/abs/2608.17800</x:v>
      </x:c>
      <x:c r="AC162" s="8" t="str"/>
      <x:c r="AD162" s="8" t="str"/>
      <x:c r="AE162" s="8" t="str"/>
      <x:c r="AF162" s="8" t="str">
        <x:v>用于“任务构造策略”：从已有市场需求的AI产品反推端到端工作任务，以细粒度rubric评价专业交付物。</x:v>
      </x:c>
      <x:c r="AG162" s="8" t="str">
        <x:v>workspace</x:v>
      </x:c>
      <x:c r="AH162" s="8" t="str">
        <x:v>Market-validated professional workflows</x:v>
      </x:c>
      <x:c r="AI162" s="8" t="str">
        <x:v>161</x:v>
      </x:c>
      <x:c r="AJ162" s="8" t="str">
        <x:v>survey bibliography</x:v>
      </x:c>
      <x:c r="AK162" s="13" t="d">
        <x:v>2026-10-16T00:00:00.000Z</x:v>
      </x:c>
      <x:c r="AL162" s="8" t="str">
        <x:v>论文身份与摘要已核验；分类为维护者判断。</x:v>
      </x:c>
      <x:c r="AM162" s="8" t="str">
        <x:v>6.1</x:v>
      </x:c>
    </x:row>
    <x:row r="163" ht="68" customHeight="1">
      <x:c r="A163" s="8" t="str">
        <x:v>WA-0162</x:v>
      </x:c>
      <x:c r="B163" s="8" t="str">
        <x:v>FinanceBench</x:v>
      </x:c>
      <x:c r="C163" s="8" t="str">
        <x:v>FinanceBench: A New Benchmark for Financial Question Answering</x:v>
      </x:c>
      <x:c r="D163" s="9" t="n">
        <x:v>2023</x:v>
      </x:c>
      <x:c r="E163" s="8" t="str">
        <x:v>Patronus AI; Contextual AI; Stanford University</x:v>
      </x:c>
      <x:c r="F163" s="10" t="str">
        <x:f>VLOOKUP(H163,'Taxonomy'!$A$6:$G$70,3,FALSE)</x:f>
        <x:v>基础：定义、工作条件与核心能力</x:v>
      </x:c>
      <x:c r="G163" s="10" t="str">
        <x:f>VLOOKUP(H163,'Taxonomy'!$A$6:$G$70,5,FALSE)</x:f>
        <x:v>五项核心能力</x:v>
      </x:c>
      <x:c r="H163" s="8" t="str">
        <x:v>2.3.2</x:v>
      </x:c>
      <x:c r="I163" s="10" t="str">
        <x:f>VLOOKUP(H163,'Taxonomy'!$A$6:$G$70,6,FALSE)</x:f>
        <x:v>推理与决策</x:v>
      </x:c>
      <x:c r="J163" s="8" t="str">
        <x:v>职业知识与专业判断;证据整合与推理;工作形态与验收组织</x:v>
      </x:c>
      <x:c r="K163" s="8" t="str">
        <x:v>感知与理解;推理与决策</x:v>
      </x:c>
      <x:c r="L163" s="8" t="str">
        <x:v>6.1 基准与任务构造</x:v>
      </x:c>
      <x:c r="M163" s="8" t="str"/>
      <x:c r="N163" s="8" t="str">
        <x:v>Benchmark</x:v>
      </x:c>
      <x:c r="O163" s="11" t="str">
        <x:v>https://arxiv.org/abs/2311.11944</x:v>
      </x:c>
      <x:c r="P163" s="8" t="str">
        <x:v>围绕上市公司财务资料构建金融问答，适合作为文档推理背景而非状态修改基准。</x:v>
      </x:c>
      <x:c r="Q163" s="8" t="str"/>
      <x:c r="R163" s="8" t="str"/>
      <x:c r="S163" s="8" t="str"/>
      <x:c r="T163" s="12" t="str">
        <x:v>未分配</x:v>
      </x:c>
      <x:c r="U163" s="12" t="str"/>
      <x:c r="V163" s="12" t="str"/>
      <x:c r="W163" s="12" t="str"/>
      <x:c r="X163" s="8" t="str">
        <x:v>verified</x:v>
      </x:c>
      <x:c r="Y163" s="11" t="str">
        <x:v>https://github.com/patronus-ai/financebench</x:v>
      </x:c>
      <x:c r="Z163" s="11" t="str"/>
      <x:c r="AA163" s="11" t="str">
        <x:v>https://arxiv.org/html/2311.11944v1</x:v>
      </x:c>
      <x:c r="AB163" s="11" t="str">
        <x:v>https://arxiv.org/abs/2311.11944</x:v>
      </x:c>
      <x:c r="AC163" s="8" t="str"/>
      <x:c r="AD163" s="8" t="str"/>
      <x:c r="AE163" s="8" t="str"/>
      <x:c r="AF163" s="8" t="str">
        <x:v>用于“推理与决策”：围绕上市公司财务资料构建金融问答，适合作为文档推理背景而非状态修改基准。</x:v>
      </x:c>
      <x:c r="AG163" s="8" t="str">
        <x:v>related</x:v>
      </x:c>
      <x:c r="AH163" s="8" t="str">
        <x:v>Financial document question answering</x:v>
      </x:c>
      <x:c r="AI163" s="8" t="str">
        <x:v>162</x:v>
      </x:c>
      <x:c r="AJ163" s="8" t="str">
        <x:v>survey bibliography</x:v>
      </x:c>
      <x:c r="AK163" s="13" t="d">
        <x:v>2026-10-16T00:00:00.000Z</x:v>
      </x:c>
      <x:c r="AL163" s="8" t="str">
        <x:v>论文身份与摘要已核验；分类为维护者判断。</x:v>
      </x:c>
      <x:c r="AM163" s="8" t="str">
        <x:v>6.1</x:v>
      </x:c>
    </x:row>
    <x:row r="164" ht="68" customHeight="1">
      <x:c r="A164" s="8" t="str">
        <x:v>WA-0163</x:v>
      </x:c>
      <x:c r="B164" s="8" t="str">
        <x:v>DS-1000</x:v>
      </x:c>
      <x:c r="C164" s="8" t="str">
        <x:v>DS-1000: A Natural and Reliable Benchmark for Data Science Code Generation</x:v>
      </x:c>
      <x:c r="D164" s="9" t="n">
        <x:v>2022</x:v>
      </x:c>
      <x:c r="E164" s="8" t="str">
        <x:v>The University of Hong Kong; Peking University; Stanford University; UC Berkeley; University of Washington; Meta AI; Carnegie Mellon University</x:v>
      </x:c>
      <x:c r="F164" s="10" t="str">
        <x:f>VLOOKUP(H164,'Taxonomy'!$A$6:$G$70,3,FALSE)</x:f>
        <x:v>评估与资源：如何检验工作完成</x:v>
      </x:c>
      <x:c r="G164" s="10" t="str">
        <x:f>VLOOKUP(H164,'Taxonomy'!$A$6:$G$70,5,FALSE)</x:f>
        <x:v>评估方法</x:v>
      </x:c>
      <x:c r="H164" s="8" t="str">
        <x:v>6.2.1</x:v>
      </x:c>
      <x:c r="I164" s="10" t="str">
        <x:f>VLOOKUP(H164,'Taxonomy'!$A$6:$G$70,6,FALSE)</x:f>
        <x:v>评估目标与可观察证据</x:v>
      </x:c>
      <x:c r="J164" s="8" t="str">
        <x:v>工具、界面与应用执行;成果与实际状态核验;答案、产物、状态与过程证据</x:v>
      </x:c>
      <x:c r="K164" s="8" t="str">
        <x:v>推理与决策;执行与状态管理;验证、恢复与重新规划</x:v>
      </x:c>
      <x:c r="L164" s="8" t="str">
        <x:v>6.1 基准与任务构造</x:v>
      </x:c>
      <x:c r="M164" s="8" t="str"/>
      <x:c r="N164" s="8" t="str">
        <x:v>Benchmark</x:v>
      </x:c>
      <x:c r="O164" s="11" t="str">
        <x:v>https://arxiv.org/abs/2211.11501</x:v>
      </x:c>
      <x:c r="P164" s="8" t="str">
        <x:v>从真实数据科学问题构造代码补全与插入任务，用功能性与约束检查评估代码。</x:v>
      </x:c>
      <x:c r="Q164" s="8" t="str"/>
      <x:c r="R164" s="8" t="str"/>
      <x:c r="S164" s="8" t="str"/>
      <x:c r="T164" s="12" t="str">
        <x:v>未分配</x:v>
      </x:c>
      <x:c r="U164" s="12" t="str"/>
      <x:c r="V164" s="12" t="str"/>
      <x:c r="W164" s="12" t="str"/>
      <x:c r="X164" s="8" t="str">
        <x:v>verified</x:v>
      </x:c>
      <x:c r="Y164" s="11" t="str"/>
      <x:c r="Z164" s="11" t="str"/>
      <x:c r="AA164" s="11" t="str">
        <x:v>https://arxiv.org/html/2211.11501v1</x:v>
      </x:c>
      <x:c r="AB164" s="11" t="str">
        <x:v>https://arxiv.org/abs/2211.11501</x:v>
      </x:c>
      <x:c r="AC164" s="8" t="str"/>
      <x:c r="AD164" s="8" t="str"/>
      <x:c r="AE164" s="8" t="str"/>
      <x:c r="AF164" s="8" t="str">
        <x:v>用于“评估目标与可观察证据”：从真实数据科学问题构造代码补全与插入任务，用功能性与约束检查评估代码。</x:v>
      </x:c>
      <x:c r="AG164" s="8" t="str">
        <x:v>swe-science</x:v>
      </x:c>
      <x:c r="AH164" s="8" t="str">
        <x:v>Data science code generation</x:v>
      </x:c>
      <x:c r="AI164" s="8" t="str">
        <x:v>163</x:v>
      </x:c>
      <x:c r="AJ164" s="8" t="str">
        <x:v>survey bibliography</x:v>
      </x:c>
      <x:c r="AK164" s="13" t="d">
        <x:v>2026-10-16T00:00:00.000Z</x:v>
      </x:c>
      <x:c r="AL164" s="8" t="str">
        <x:v>论文身份与摘要已核验；分类为维护者判断。</x:v>
      </x:c>
      <x:c r="AM164" s="8" t="str">
        <x:v>6.1</x:v>
      </x:c>
    </x:row>
    <x:row r="165" ht="68" customHeight="1">
      <x:c r="A165" s="8" t="str">
        <x:v>WA-0164</x:v>
      </x:c>
      <x:c r="B165" s="8" t="str">
        <x:v>PaperBench</x:v>
      </x:c>
      <x:c r="C165" s="8" t="str">
        <x:v>PaperBench: Evaluating AI's Ability to Replicate AI Research</x:v>
      </x:c>
      <x:c r="D165" s="9" t="n">
        <x:v>2025</x:v>
      </x:c>
      <x:c r="E165" s="8" t="str">
        <x:v>OpenAI</x:v>
      </x:c>
      <x:c r="F165" s="10" t="str">
        <x:f>VLOOKUP(H165,'Taxonomy'!$A$6:$G$70,3,FALSE)</x:f>
        <x:v>基础：定义、工作条件与核心能力</x:v>
      </x:c>
      <x:c r="G165" s="10" t="str">
        <x:f>VLOOKUP(H165,'Taxonomy'!$A$6:$G$70,5,FALSE)</x:f>
        <x:v>定义与系统视角</x:v>
      </x:c>
      <x:c r="H165" s="8" t="str">
        <x:v>2.1.2</x:v>
      </x:c>
      <x:c r="I165" s="10" t="str">
        <x:f>VLOOKUP(H165,'Taxonomy'!$A$6:$G$70,6,FALSE)</x:f>
        <x:v>工作过程六要素</x:v>
      </x:c>
      <x:c r="J165" s="8" t="str">
        <x:v>定义、系统职责与工作循环;职业知识与专业判断;成果与实际状态核验</x:v>
      </x:c>
      <x:c r="K165" s="8" t="str">
        <x:v>规划与协调;执行与状态管理;验证、恢复与重新规划</x:v>
      </x:c>
      <x:c r="L165" s="8" t="str">
        <x:v>6.1 基准与任务构造;6.3 结果对齐指标;2.3.2 推理与决策;2.3.5 验证、恢复与重新规划;6.2.2 评判程序</x:v>
      </x:c>
      <x:c r="M165" s="8" t="str"/>
      <x:c r="N165" s="8" t="str">
        <x:v>Benchmark</x:v>
      </x:c>
      <x:c r="O165" s="11" t="str">
        <x:v>https://arxiv.org/abs/2504.01848</x:v>
      </x:c>
      <x:c r="P165" s="8" t="str">
        <x:v>理解论文、开发代码、执行实验，并通过与论文作者协作制定的分层rubric评估复现。</x:v>
      </x:c>
      <x:c r="Q165" s="8" t="str">
        <x:v>展示工作目标如何拆成可检验成果，以及专业理解、执行和验证如何结合。</x:v>
      </x:c>
      <x:c r="R165" s="8" t="str">
        <x:v>复现不是新发现；部分rubric分数不能等同全部关键实验已完成。</x:v>
      </x:c>
      <x:c r="S165" s="8" t="str">
        <x:v>补充</x:v>
      </x:c>
      <x:c r="T165" s="12" t="str">
        <x:v>未分配</x:v>
      </x:c>
      <x:c r="U165" s="12" t="str"/>
      <x:c r="V165" s="12" t="str"/>
      <x:c r="W165" s="12" t="str"/>
      <x:c r="X165" s="8" t="str">
        <x:v>verified</x:v>
      </x:c>
      <x:c r="Y165" s="11" t="str">
        <x:v>https://github.com/openai/preparedness</x:v>
      </x:c>
      <x:c r="Z165" s="11" t="str"/>
      <x:c r="AA165" s="11" t="str">
        <x:v>https://arxiv.org/html/2504.01848v1</x:v>
      </x:c>
      <x:c r="AB165" s="11" t="str">
        <x:v>https://arxiv.org/abs/2504.01848</x:v>
      </x:c>
      <x:c r="AC165" s="8" t="str">
        <x:v>L079</x:v>
      </x:c>
      <x:c r="AD165" s="8" t="str">
        <x:v>文献库已有，2／4未引；官方摘要。</x:v>
      </x:c>
      <x:c r="AE165" s="8" t="str">
        <x:v>2.1 结果/验证；2.3 能力组合。</x:v>
      </x:c>
      <x:c r="AF165" s="8" t="str">
        <x:v>按补充清单 L079 的论证用途归入“工作过程六要素”：展示工作目标如何拆成可检验成果，以及专业理解、执行和验证如何结合。</x:v>
      </x:c>
      <x:c r="AG165" s="8" t="str">
        <x:v>swe-science</x:v>
      </x:c>
      <x:c r="AH165" s="8" t="str">
        <x:v>Research reproduction</x:v>
      </x:c>
      <x:c r="AI165" s="8" t="str">
        <x:v>164</x:v>
      </x:c>
      <x:c r="AJ165" s="8" t="str">
        <x:v>survey bibliography;2026-10-16 chapter 2 / former chapter 4 supplement</x:v>
      </x:c>
      <x:c r="AK165" s="13" t="d">
        <x:v>2026-10-16T00:00:00.000Z</x:v>
      </x:c>
      <x:c r="AL165" s="8" t="str">
        <x:v>论文身份与摘要已核验；分类为维护者判断。  附件版本说明：现bib题名：PaperBench: Evaluating AI\textquotesingle s Ability to Replicate AI Research；请按引用版本统一，不自动改写现bib。</x:v>
      </x:c>
      <x:c r="AM165" s="8" t="str">
        <x:v>6.1;6.3</x:v>
      </x:c>
    </x:row>
    <x:row r="166" ht="68" customHeight="1">
      <x:c r="A166" s="8" t="str">
        <x:v>WA-0165</x:v>
      </x:c>
      <x:c r="B166" s="8" t="str">
        <x:v>EnterpriseOps-Gym</x:v>
      </x:c>
      <x:c r="C166" s="8" t="str">
        <x:v>EnterpriseOps-Gym: Environments and Evaluations for Stateful Agentic Planning and Tool Use in Enterprise Settings</x:v>
      </x:c>
      <x:c r="D166" s="9" t="n">
        <x:v>2026</x:v>
      </x:c>
      <x:c r="E166" s="8" t="str">
        <x:v>ServiceNow Research; Mila; Université de Montréal</x:v>
      </x:c>
      <x:c r="F166" s="10" t="str">
        <x:f>VLOOKUP(H166,'Taxonomy'!$A$6:$G$70,3,FALSE)</x:f>
        <x:v>基础：定义、工作条件与核心能力</x:v>
      </x:c>
      <x:c r="G166" s="10" t="str">
        <x:f>VLOOKUP(H166,'Taxonomy'!$A$6:$G$70,5,FALSE)</x:f>
        <x:v>五项核心能力</x:v>
      </x:c>
      <x:c r="H166" s="8" t="str">
        <x:v>2.3.2</x:v>
      </x:c>
      <x:c r="I166" s="10" t="str">
        <x:f>VLOOKUP(H166,'Taxonomy'!$A$6:$G$70,6,FALSE)</x:f>
        <x:v>推理与决策</x:v>
      </x:c>
      <x:c r="J166" s="8" t="str">
        <x:v>职业知识与专业判断;证据与规则约束下的决策;委托、责任与权限</x:v>
      </x:c>
      <x:c r="K166" s="8" t="str">
        <x:v>推理与决策;规划与协调;执行与状态管理;验证、恢复与重新规划</x:v>
      </x:c>
      <x:c r="L166" s="8" t="str">
        <x:v>6.4 开放框架与执行环境;2.3.3 规划与协调;6.1.2 领域覆盖与工作要求</x:v>
      </x:c>
      <x:c r="M166" s="8" t="str"/>
      <x:c r="N166" s="8" t="str">
        <x:v>Benchmark;Framework</x:v>
      </x:c>
      <x:c r="O166" s="11" t="str">
        <x:v>https://arxiv.org/abs/2603.13594</x:v>
      </x:c>
      <x:c r="P166" s="8" t="str">
        <x:v>企业沙箱用持久数据库与大量工具考查计划、访问协议和状态变化，包括不可行任务。</x:v>
      </x:c>
      <x:c r="Q166" s="8" t="str">
        <x:v>使职业约束具体化：对象状态、权限、副作用及是否应执行都是决策的一部分。</x:v>
      </x:c>
      <x:c r="R166" s="8" t="str">
        <x:v>oracle-plan改善不证明所有企业错误仅由规划导致；本轮未逐项审核全部checker。</x:v>
      </x:c>
      <x:c r="S166" s="8" t="str">
        <x:v>补充</x:v>
      </x:c>
      <x:c r="T166" s="12" t="str">
        <x:v>未分配</x:v>
      </x:c>
      <x:c r="U166" s="12" t="str"/>
      <x:c r="V166" s="12" t="str"/>
      <x:c r="W166" s="12" t="str"/>
      <x:c r="X166" s="8" t="str">
        <x:v>verified</x:v>
      </x:c>
      <x:c r="Y166" s="11" t="str"/>
      <x:c r="Z166" s="11" t="str"/>
      <x:c r="AA166" s="11" t="str">
        <x:v>https://arxiv.org/html/2603.13594v1</x:v>
      </x:c>
      <x:c r="AB166" s="11" t="str">
        <x:v>https://arxiv.org/abs/2603.13594</x:v>
      </x:c>
      <x:c r="AC166" s="8" t="str">
        <x:v>L069</x:v>
      </x:c>
      <x:c r="AD166" s="8" t="str">
        <x:v>文献库已有，2／4未引；官方摘要。</x:v>
      </x:c>
      <x:c r="AE166" s="8" t="str">
        <x:v>2.2 环境；2.3 规划决策。</x:v>
      </x:c>
      <x:c r="AF166" s="8" t="str">
        <x:v>按补充清单 L069 的论证用途归入“推理与决策”：使职业约束具体化：对象状态、权限、副作用及是否应执行都是决策的一部分。</x:v>
      </x:c>
      <x:c r="AG166" s="8" t="str">
        <x:v>tool-enterprise</x:v>
      </x:c>
      <x:c r="AH166" s="8" t="str">
        <x:v>Stateful enterprise planning</x:v>
      </x:c>
      <x:c r="AI166" s="8" t="str">
        <x:v>165</x:v>
      </x:c>
      <x:c r="AJ166" s="8" t="str">
        <x:v>survey bibliography;2026-10-16 chapter 2 / former chapter 4 supplement</x:v>
      </x:c>
      <x:c r="AK166" s="13" t="d">
        <x:v>2026-10-16T00:00:00.000Z</x:v>
      </x:c>
      <x:c r="AL166" s="8" t="str">
        <x:v>README原标2025；原始预印本实际为2026年3月。</x:v>
      </x:c>
      <x:c r="AM166" s="8" t="str">
        <x:v>6.1;6.4</x:v>
      </x:c>
    </x:row>
    <x:row r="167" ht="68" customHeight="1">
      <x:c r="A167" s="8" t="str">
        <x:v>WA-0166</x:v>
      </x:c>
      <x:c r="B167" s="8" t="str">
        <x:v>ToolLLM / ToolBench</x:v>
      </x:c>
      <x:c r="C167" s="8" t="str">
        <x:v>ToolLLM: Facilitating Large Language Models to Master 16000+ Real-world APIs</x:v>
      </x:c>
      <x:c r="D167" s="9" t="n">
        <x:v>2023</x:v>
      </x:c>
      <x:c r="E167" s="8" t="str">
        <x:v>Tsinghua University; ModelBest; Renmin University of China; Yale University; WeChat AI, Tencent; Zhihu</x:v>
      </x:c>
      <x:c r="F167" s="10" t="str">
        <x:f>VLOOKUP(H167,'Taxonomy'!$A$6:$G$70,3,FALSE)</x:f>
        <x:v>优化：从工作经验到系统能力</x:v>
      </x:c>
      <x:c r="G167" s="10" t="str">
        <x:f>VLOOKUP(H167,'Taxonomy'!$A$6:$G$70,5,FALSE)</x:f>
        <x:v>模型优化</x:v>
      </x:c>
      <x:c r="H167" s="8" t="str">
        <x:v>5.2.1</x:v>
      </x:c>
      <x:c r="I167" s="10" t="str">
        <x:f>VLOOKUP(H167,'Taxonomy'!$A$6:$G$70,6,FALSE)</x:f>
        <x:v>中期训练与监督微调</x:v>
      </x:c>
      <x:c r="J167" s="8" t="str">
        <x:v>模型参数学习;轨迹采集与策划;工具、界面与应用执行</x:v>
      </x:c>
      <x:c r="K167" s="8" t="str">
        <x:v>规划与协调;执行与状态管理</x:v>
      </x:c>
      <x:c r="L167" s="8" t="str">
        <x:v>2.3.4 执行与状态管理;5.1 训练环境、数据与奖励;6.1 基准与任务构造</x:v>
      </x:c>
      <x:c r="M167" s="8" t="str"/>
      <x:c r="N167" s="8" t="str">
        <x:v>Method;Benchmark</x:v>
      </x:c>
      <x:c r="O167" s="11" t="str">
        <x:v>https://arxiv.org/abs/2307.16789</x:v>
      </x:c>
      <x:c r="P167" s="8" t="str">
        <x:v>以大规模真实API构造指令与调用轨迹，并训练工具检索与执行模型。</x:v>
      </x:c>
      <x:c r="Q167" s="8" t="str"/>
      <x:c r="R167" s="8" t="str"/>
      <x:c r="S167" s="8" t="str"/>
      <x:c r="T167" s="12" t="str">
        <x:v>未分配</x:v>
      </x:c>
      <x:c r="U167" s="12" t="str"/>
      <x:c r="V167" s="12" t="str"/>
      <x:c r="W167" s="12" t="str"/>
      <x:c r="X167" s="8" t="str">
        <x:v>verified</x:v>
      </x:c>
      <x:c r="Y167" s="11" t="str">
        <x:v>https://github.com/OpenBMB/ToolBench</x:v>
      </x:c>
      <x:c r="Z167" s="11" t="str"/>
      <x:c r="AA167" s="11" t="str">
        <x:v>https://arxiv.org/html/2307.16789v1</x:v>
      </x:c>
      <x:c r="AB167" s="11" t="str">
        <x:v>https://arxiv.org/abs/2307.16789</x:v>
      </x:c>
      <x:c r="AC167" s="8" t="str">
        <x:v>AIO-199</x:v>
      </x:c>
      <x:c r="AD167" s="8" t="str"/>
      <x:c r="AE167" s="8" t="str"/>
      <x:c r="AF167" s="8" t="str">
        <x:v>用于“中期训练与监督微调”：以大规模真实API构造指令与调用轨迹，并训练工具检索与执行模型。</x:v>
      </x:c>
      <x:c r="AG167" s="8" t="str">
        <x:v>tool-enterprise</x:v>
      </x:c>
      <x:c r="AH167" s="8" t="str">
        <x:v>API selection and tool learning</x:v>
      </x:c>
      <x:c r="AI167" s="8" t="str">
        <x:v>166</x:v>
      </x:c>
      <x:c r="AJ167" s="8" t="str">
        <x:v>survey bibliography;2026-10-16 AI Office survey bibliography</x:v>
      </x:c>
      <x:c r="AK167" s="13" t="d">
        <x:v>2026-10-16T00:00:00.000Z</x:v>
      </x:c>
      <x:c r="AL167" s="8" t="str">
        <x:v>论文身份与摘要已核验；分类为维护者判断。</x:v>
      </x:c>
      <x:c r="AM167" s="8" t="str">
        <x:v>4.4;5.1;6.1</x:v>
      </x:c>
    </x:row>
    <x:row r="168" ht="68" customHeight="1">
      <x:c r="A168" s="8" t="str">
        <x:v>WA-0167</x:v>
      </x:c>
      <x:c r="B168" s="8" t="str">
        <x:v>MT-Bench / Chatbot Arena</x:v>
      </x:c>
      <x:c r="C168" s="8" t="str">
        <x:v>Judging LLM-as-a-Judge with MT-Bench and Chatbot Arena</x:v>
      </x:c>
      <x:c r="D168" s="9" t="n">
        <x:v>2023</x:v>
      </x:c>
      <x:c r="E168" s="8" t="str">
        <x:v>UC Berkeley; UC San Diego; Carnegie Mellon University; Stanford University; MBZUAI</x:v>
      </x:c>
      <x:c r="F168" s="10" t="str">
        <x:f>VLOOKUP(H168,'Taxonomy'!$A$6:$G$70,3,FALSE)</x:f>
        <x:v>评估与资源：如何检验工作完成</x:v>
      </x:c>
      <x:c r="G168" s="10" t="str">
        <x:f>VLOOKUP(H168,'Taxonomy'!$A$6:$G$70,5,FALSE)</x:f>
        <x:v>评估方法</x:v>
      </x:c>
      <x:c r="H168" s="8" t="str">
        <x:v>6.2.2</x:v>
      </x:c>
      <x:c r="I168" s="10" t="str">
        <x:f>VLOOKUP(H168,'Taxonomy'!$A$6:$G$70,6,FALSE)</x:f>
        <x:v>评判程序</x:v>
      </x:c>
      <x:c r="J168" s="8" t="str">
        <x:v>标准、量规与裁判;验证证据的有效性</x:v>
      </x:c>
      <x:c r="K168" s="8" t="str">
        <x:v>验证、恢复与重新规划</x:v>
      </x:c>
      <x:c r="L168" s="8" t="str">
        <x:v>6.3 结果对齐指标;7.3 从专业质量到使用价值</x:v>
      </x:c>
      <x:c r="M168" s="8" t="str"/>
      <x:c r="N168" s="8" t="str">
        <x:v>Benchmark;Method</x:v>
      </x:c>
      <x:c r="O168" s="11" t="str">
        <x:v>https://arxiv.org/abs/2306.05685</x:v>
      </x:c>
      <x:c r="P168" s="8" t="str">
        <x:v>研究模型裁判与人类偏好的一致性及位置、冗长度等偏差，提供MT-Bench和Arena。</x:v>
      </x:c>
      <x:c r="Q168" s="8" t="str"/>
      <x:c r="R168" s="8" t="str"/>
      <x:c r="S168" s="8" t="str"/>
      <x:c r="T168" s="12" t="str">
        <x:v>未分配</x:v>
      </x:c>
      <x:c r="U168" s="12" t="str"/>
      <x:c r="V168" s="12" t="str"/>
      <x:c r="W168" s="12" t="str"/>
      <x:c r="X168" s="8" t="str">
        <x:v>verified</x:v>
      </x:c>
      <x:c r="Y168" s="11" t="str">
        <x:v>https://github.com/lm-sys/FastChat/tree/main/llm-judge</x:v>
      </x:c>
      <x:c r="Z168" s="11" t="str"/>
      <x:c r="AA168" s="11" t="str">
        <x:v>https://arxiv.org/html/2306.05685v1</x:v>
      </x:c>
      <x:c r="AB168" s="11" t="str">
        <x:v>https://arxiv.org/abs/2306.05685</x:v>
      </x:c>
      <x:c r="AC168" s="8" t="str">
        <x:v>AIO-287</x:v>
      </x:c>
      <x:c r="AD168" s="8" t="str"/>
      <x:c r="AE168" s="8" t="str"/>
      <x:c r="AF168" s="8" t="str">
        <x:v>用于“评判程序”：研究模型裁判与人类偏好的一致性及位置、冗长度等偏差，提供MT-Bench和Arena。</x:v>
      </x:c>
      <x:c r="AG168" s="8" t="str">
        <x:v>verification</x:v>
      </x:c>
      <x:c r="AH168" s="8" t="str">
        <x:v>LLM judging methodology</x:v>
      </x:c>
      <x:c r="AI168" s="8" t="str">
        <x:v>167</x:v>
      </x:c>
      <x:c r="AJ168" s="8" t="str">
        <x:v>survey bibliography;2026-10-16 AI Office survey bibliography</x:v>
      </x:c>
      <x:c r="AK168" s="13" t="d">
        <x:v>2026-10-16T00:00:00.000Z</x:v>
      </x:c>
      <x:c r="AL168" s="8" t="str">
        <x:v>论文身份与摘要已核验；分类为维护者判断。</x:v>
      </x:c>
      <x:c r="AM168" s="8" t="str">
        <x:v>6.3;7.3</x:v>
      </x:c>
    </x:row>
    <x:row r="169" ht="68" customHeight="1">
      <x:c r="A169" s="8" t="str">
        <x:v>WA-0168</x:v>
      </x:c>
      <x:c r="B169" s="8" t="str">
        <x:v>Agent-as-a-Judge</x:v>
      </x:c>
      <x:c r="C169" s="8" t="str">
        <x:v>Agent-as-a-Judge: Evaluate Agents with Agents</x:v>
      </x:c>
      <x:c r="D169" s="9" t="n">
        <x:v>2024</x:v>
      </x:c>
      <x:c r="E169" s="8" t="str">
        <x:v>Meta AI; KAUST</x:v>
      </x:c>
      <x:c r="F169" s="10" t="str">
        <x:f>VLOOKUP(H169,'Taxonomy'!$A$6:$G$70,3,FALSE)</x:f>
        <x:v>评估与资源：如何检验工作完成</x:v>
      </x:c>
      <x:c r="G169" s="10" t="str">
        <x:f>VLOOKUP(H169,'Taxonomy'!$A$6:$G$70,5,FALSE)</x:f>
        <x:v>评估方法</x:v>
      </x:c>
      <x:c r="H169" s="8" t="str">
        <x:v>6.2.2</x:v>
      </x:c>
      <x:c r="I169" s="10" t="str">
        <x:f>VLOOKUP(H169,'Taxonomy'!$A$6:$G$70,6,FALSE)</x:f>
        <x:v>评判程序</x:v>
      </x:c>
      <x:c r="J169" s="8" t="str">
        <x:v>标准、量规与裁判;成果与实际状态核验;答案、产物、状态与过程证据</x:v>
      </x:c>
      <x:c r="K169" s="8" t="str">
        <x:v>执行与状态管理;验证、恢复与重新规划</x:v>
      </x:c>
      <x:c r="L169" s="8" t="str">
        <x:v>2.3.5 验证、恢复与重新规划;6.3 结果对齐指标</x:v>
      </x:c>
      <x:c r="M169" s="8" t="str"/>
      <x:c r="N169" s="8" t="str">
        <x:v>Method;Benchmark</x:v>
      </x:c>
      <x:c r="O169" s="11" t="str">
        <x:v>https://arxiv.org/abs/2410.10934</x:v>
      </x:c>
      <x:c r="P169" s="8" t="str">
        <x:v>让裁判智能体检查文件和执行证据，面向生成式开发任务逐项核验要求。</x:v>
      </x:c>
      <x:c r="Q169" s="8" t="str">
        <x:v>将验证解释为证据收集与要求对应，而不只是模型对答案的主观打分。</x:v>
      </x:c>
      <x:c r="R169" s="8" t="str">
        <x:v>主要在AI开发任务验证；不能直接推断所有职业专家评审均可被替代。</x:v>
      </x:c>
      <x:c r="S169" s="8" t="str">
        <x:v>核心</x:v>
      </x:c>
      <x:c r="T169" s="12" t="str">
        <x:v>未分配</x:v>
      </x:c>
      <x:c r="U169" s="12" t="str"/>
      <x:c r="V169" s="12" t="str"/>
      <x:c r="W169" s="12" t="str"/>
      <x:c r="X169" s="8" t="str">
        <x:v>verified</x:v>
      </x:c>
      <x:c r="Y169" s="11" t="str"/>
      <x:c r="Z169" s="11" t="str"/>
      <x:c r="AA169" s="11" t="str">
        <x:v>https://arxiv.org/html/2410.10934v1</x:v>
      </x:c>
      <x:c r="AB169" s="11" t="str">
        <x:v>https://arxiv.org/abs/2410.10934</x:v>
      </x:c>
      <x:c r="AC169" s="8" t="str">
        <x:v>L045;AIO-291</x:v>
      </x:c>
      <x:c r="AD169" s="8" t="str">
        <x:v>文献库已有，2／4未引；官方摘要。</x:v>
      </x:c>
      <x:c r="AE169" s="8" t="str">
        <x:v>2.3验证；6智能体评估器。</x:v>
      </x:c>
      <x:c r="AF169" s="8" t="str">
        <x:v>按补充清单 L045 的论证用途归入“评判程序”：将验证解释为证据收集与要求对应，而不只是模型对答案的主观打分。</x:v>
      </x:c>
      <x:c r="AG169" s="8" t="str">
        <x:v>verification</x:v>
      </x:c>
      <x:c r="AH169" s="8" t="str">
        <x:v>Agentic artifact evaluation</x:v>
      </x:c>
      <x:c r="AI169" s="8" t="str">
        <x:v>168</x:v>
      </x:c>
      <x:c r="AJ169" s="8" t="str">
        <x:v>survey bibliography;2026-10-16 chapter 2 / former chapter 4 supplement;2026-10-16 AI Office survey bibliography</x:v>
      </x:c>
      <x:c r="AK169" s="13" t="d">
        <x:v>2026-10-16T00:00:00.000Z</x:v>
      </x:c>
      <x:c r="AL169" s="8" t="str">
        <x:v>论文身份与摘要已核验；分类为维护者判断。</x:v>
      </x:c>
      <x:c r="AM169" s="8" t="str">
        <x:v>4.5;6.3</x:v>
      </x:c>
    </x:row>
    <x:row r="170" ht="68" customHeight="1">
      <x:c r="A170" s="8" t="str">
        <x:v>WA-0169</x:v>
      </x:c>
      <x:c r="B170" s="8" t="str">
        <x:v>BrowserGym</x:v>
      </x:c>
      <x:c r="C170" s="8" t="str">
        <x:v>The BrowserGym Ecosystem for Web Agent Research</x:v>
      </x:c>
      <x:c r="D170" s="9" t="n">
        <x:v>2024</x:v>
      </x:c>
      <x:c r="E170" s="8" t="str">
        <x:v>ServiceNow Research; Mila; Polytechnique Montréal; Carnegie Mellon University; McGill University; Tel Aviv University; Université de Montréal; iMean AI</x:v>
      </x:c>
      <x:c r="F170" s="10" t="str">
        <x:f>VLOOKUP(H170,'Taxonomy'!$A$6:$G$70,3,FALSE)</x:f>
        <x:v>评估与资源：如何检验工作完成</x:v>
      </x:c>
      <x:c r="G170" s="10" t="str">
        <x:f>VLOOKUP(H170,'Taxonomy'!$A$6:$G$70,5,FALSE)</x:f>
        <x:v>开放框架与执行环境</x:v>
      </x:c>
      <x:c r="H170" s="8" t="str">
        <x:v>6.4</x:v>
      </x:c>
      <x:c r="I170" s="10" t="str">
        <x:f>VLOOKUP(H170,'Taxonomy'!$A$6:$G$70,6,FALSE)</x:f>
        <x:v>开放框架与执行环境</x:v>
      </x:c>
      <x:c r="J170" s="8" t="str">
        <x:v>执行平台、隔离与规模化;工具、界面与应用执行;任务、环境与扰动构造</x:v>
      </x:c>
      <x:c r="K170" s="8" t="str">
        <x:v>感知与理解;执行与状态管理</x:v>
      </x:c>
      <x:c r="L170" s="8" t="str"/>
      <x:c r="M170" s="8" t="str"/>
      <x:c r="N170" s="8" t="str">
        <x:v>Framework</x:v>
      </x:c>
      <x:c r="O170" s="11" t="str">
        <x:v>https://arxiv.org/abs/2412.05467</x:v>
      </x:c>
      <x:c r="P170" s="8" t="str">
        <x:v>统一多种网页任务的观察、动作和执行接口，并提供复现实验工具链。</x:v>
      </x:c>
      <x:c r="Q170" s="8" t="str"/>
      <x:c r="R170" s="8" t="str"/>
      <x:c r="S170" s="8" t="str"/>
      <x:c r="T170" s="12" t="str">
        <x:v>未分配</x:v>
      </x:c>
      <x:c r="U170" s="12" t="str"/>
      <x:c r="V170" s="12" t="str"/>
      <x:c r="W170" s="12" t="str"/>
      <x:c r="X170" s="8" t="str">
        <x:v>verified</x:v>
      </x:c>
      <x:c r="Y170" s="11" t="str">
        <x:v>https://github.com/ServiceNow/BrowserGym</x:v>
      </x:c>
      <x:c r="Z170" s="11" t="str"/>
      <x:c r="AA170" s="11" t="str">
        <x:v>https://arxiv.org/html/2412.05467v1</x:v>
      </x:c>
      <x:c r="AB170" s="11" t="str">
        <x:v>https://arxiv.org/abs/2412.05467</x:v>
      </x:c>
      <x:c r="AC170" s="8" t="str"/>
      <x:c r="AD170" s="8" t="str"/>
      <x:c r="AE170" s="8" t="str"/>
      <x:c r="AF170" s="8" t="str">
        <x:v>用于“开放框架与执行环境”：统一多种网页任务的观察、动作和执行接口，并提供复现实验工具链。</x:v>
      </x:c>
      <x:c r="AG170" s="8" t="str">
        <x:v>harness</x:v>
      </x:c>
      <x:c r="AH170" s="8" t="str">
        <x:v>Unified web environments</x:v>
      </x:c>
      <x:c r="AI170" s="8" t="str">
        <x:v>169</x:v>
      </x:c>
      <x:c r="AJ170" s="8" t="str">
        <x:v>survey bibliography</x:v>
      </x:c>
      <x:c r="AK170" s="13" t="d">
        <x:v>2026-10-16T00:00:00.000Z</x:v>
      </x:c>
      <x:c r="AL170" s="8" t="str">
        <x:v>论文身份与摘要已核验；分类为维护者判断。</x:v>
      </x:c>
      <x:c r="AM170" s="8" t="str">
        <x:v>6.4</x:v>
      </x:c>
    </x:row>
    <x:row r="171" ht="68" customHeight="1">
      <x:c r="A171" s="8" t="str">
        <x:v>WA-0174</x:v>
      </x:c>
      <x:c r="B171" s="8" t="str">
        <x:v>Remote Labor Index</x:v>
      </x:c>
      <x:c r="C171" s="8" t="str">
        <x:v>Remote Labor Index: Measuring AI Automation of Remote Work</x:v>
      </x:c>
      <x:c r="D171" s="9" t="n">
        <x:v>2025</x:v>
      </x:c>
      <x:c r="E171" s="8" t="str">
        <x:v>Center for AI Safety; Scale AI</x:v>
      </x:c>
      <x:c r="F171" s="10" t="str">
        <x:f>VLOOKUP(H171,'Taxonomy'!$A$6:$G$70,3,FALSE)</x:f>
        <x:v>评估与资源：如何检验工作完成</x:v>
      </x:c>
      <x:c r="G171" s="10" t="str">
        <x:f>VLOOKUP(H171,'Taxonomy'!$A$6:$G$70,5,FALSE)</x:f>
        <x:v>基准与任务构造</x:v>
      </x:c>
      <x:c r="H171" s="8" t="str">
        <x:v>6.1.2</x:v>
      </x:c>
      <x:c r="I171" s="10" t="str">
        <x:f>VLOOKUP(H171,'Taxonomy'!$A$6:$G$70,6,FALSE)</x:f>
        <x:v>领域覆盖与工作要求</x:v>
      </x:c>
      <x:c r="J171" s="8" t="str">
        <x:v>任务覆盖与泛化边界;标准、量规与裁判;质量、时间成本与使用价值</x:v>
      </x:c>
      <x:c r="K171" s="8" t="str">
        <x:v>推理与决策;规划与协调;执行与状态管理;验证、恢复与重新规划</x:v>
      </x:c>
      <x:c r="L171" s="8" t="str">
        <x:v>7.3 从专业质量到使用价值;2.1.1 定义与范围;6.3.1 任务成功与成果质量</x:v>
      </x:c>
      <x:c r="M171" s="8" t="str"/>
      <x:c r="N171" s="8" t="str">
        <x:v>Benchmark</x:v>
      </x:c>
      <x:c r="O171" s="11" t="str">
        <x:v>https://arxiv.org/abs/2510.26787</x:v>
      </x:c>
      <x:c r="P171" s="8" t="str">
        <x:v>跨设计、开发、分析和多媒体的远程真实项目测试端到端交付。</x:v>
      </x:c>
      <x:c r="Q171" s="8" t="str">
        <x:v>支撑working的跨职业对象范围，避免从一般推理分数直接推断真实交付能力。</x:v>
      </x:c>
      <x:c r="R171" s="8" t="str">
        <x:v>项目集automation rate不是整个职业/市场自动化比例，也不是实际雇佣收益。</x:v>
      </x:c>
      <x:c r="S171" s="8" t="str">
        <x:v>补充</x:v>
      </x:c>
      <x:c r="T171" s="12" t="str">
        <x:v>未分配</x:v>
      </x:c>
      <x:c r="U171" s="12" t="str"/>
      <x:c r="V171" s="12" t="str"/>
      <x:c r="W171" s="12" t="str"/>
      <x:c r="X171" s="8" t="str">
        <x:v>verified</x:v>
      </x:c>
      <x:c r="Y171" s="11" t="str"/>
      <x:c r="Z171" s="11" t="str"/>
      <x:c r="AA171" s="11" t="str">
        <x:v>https://arxiv.org/html/2510.26787v1</x:v>
      </x:c>
      <x:c r="AB171" s="11" t="str">
        <x:v>https://arxiv.org/abs/2510.26787</x:v>
      </x:c>
      <x:c r="AC171" s="8" t="str">
        <x:v>L081</x:v>
      </x:c>
      <x:c r="AD171" s="8" t="str">
        <x:v>文献库已有，2／4未引；官方项目。</x:v>
      </x:c>
      <x:c r="AE171" s="8" t="str">
        <x:v>2.1 范围；第六章成果评估。</x:v>
      </x:c>
      <x:c r="AF171" s="8" t="str">
        <x:v>按补充清单 L081 的论证用途归入“领域覆盖与工作要求”：支撑working的跨职业对象范围，避免从一般推理分数直接推断真实交付能力。</x:v>
      </x:c>
      <x:c r="AG171" s="8" t="str">
        <x:v>workspace</x:v>
      </x:c>
      <x:c r="AH171" s="8" t="str">
        <x:v>Paid remote-work deliverables</x:v>
      </x:c>
      <x:c r="AI171" s="8" t="str">
        <x:v>174</x:v>
      </x:c>
      <x:c r="AJ171" s="8" t="str">
        <x:v>survey bibliography;2026-10-16 chapter 2 / former chapter 4 supplement</x:v>
      </x:c>
      <x:c r="AK171" s="13" t="d">
        <x:v>2026-10-16T00:00:00.000Z</x:v>
      </x:c>
      <x:c r="AL171" s="8" t="str">
        <x:v>论文身份与摘要已核验；分类为维护者判断。  附件补充一手来源：[作者项目的任务类型与正式Citation。](https://www.remotelabor.ai/)。</x:v>
      </x:c>
      <x:c r="AM171" s="8" t="str">
        <x:v>6.1;7.3</x:v>
      </x:c>
    </x:row>
    <x:row r="172" ht="68" customHeight="1">
      <x:c r="A172" s="8" t="str">
        <x:v>WA-0175</x:v>
      </x:c>
      <x:c r="B172" s="8" t="str">
        <x:v>Future of Work with AI Agents</x:v>
      </x:c>
      <x:c r="C172" s="8" t="str">
        <x:v>Future of Work with AI Agents: Auditing Automation and Augmentation Potential across the U.S. Workforce</x:v>
      </x:c>
      <x:c r="D172" s="9" t="n">
        <x:v>2025</x:v>
      </x:c>
      <x:c r="E172" s="8" t="str">
        <x:v>Stanford University</x:v>
      </x:c>
      <x:c r="F172" s="10" t="str">
        <x:f>VLOOKUP(H172,'Taxonomy'!$A$6:$G$70,3,FALSE)</x:f>
        <x:v>前沿：下一代 Working Agents</x:v>
      </x:c>
      <x:c r="G172" s="10" t="str">
        <x:f>VLOOKUP(H172,'Taxonomy'!$A$6:$G$70,5,FALSE)</x:f>
        <x:v>以工作为中心的系统</x:v>
      </x:c>
      <x:c r="H172" s="8" t="str">
        <x:v>7.4.3</x:v>
      </x:c>
      <x:c r="I172" s="10" t="str">
        <x:f>VLOOKUP(H172,'Taxonomy'!$A$6:$G$70,6,FALSE)</x:f>
        <x:v>组织集成与经济价值</x:v>
      </x:c>
      <x:c r="J172" s="8" t="str">
        <x:v>组织协作与真实生产率;委托、责任与权限;任务覆盖与泛化边界</x:v>
      </x:c>
      <x:c r="K172" s="8" t="str"/>
      <x:c r="L172" s="8" t="str">
        <x:v>7.3 从专业质量到使用价值</x:v>
      </x:c>
      <x:c r="M172" s="8" t="str"/>
      <x:c r="N172" s="8" t="str">
        <x:v>Background</x:v>
      </x:c>
      <x:c r="O172" s="11" t="str">
        <x:v>https://arxiv.org/abs/2506.06576</x:v>
      </x:c>
      <x:c r="P172" s="8" t="str">
        <x:v>结合劳动者需求与专家判断审计职业活动的自动化和增强潜力。</x:v>
      </x:c>
      <x:c r="Q172" s="8" t="str"/>
      <x:c r="R172" s="8" t="str"/>
      <x:c r="S172" s="8" t="str"/>
      <x:c r="T172" s="12" t="str">
        <x:v>未分配</x:v>
      </x:c>
      <x:c r="U172" s="12" t="str"/>
      <x:c r="V172" s="12" t="str"/>
      <x:c r="W172" s="12" t="str"/>
      <x:c r="X172" s="8" t="str">
        <x:v>verified</x:v>
      </x:c>
      <x:c r="Y172" s="11" t="str"/>
      <x:c r="Z172" s="11" t="str"/>
      <x:c r="AA172" s="11" t="str">
        <x:v>https://arxiv.org/html/2506.06576v1</x:v>
      </x:c>
      <x:c r="AB172" s="11" t="str">
        <x:v>https://arxiv.org/abs/2506.06576</x:v>
      </x:c>
      <x:c r="AC172" s="8" t="str"/>
      <x:c r="AD172" s="8" t="str"/>
      <x:c r="AE172" s="8" t="str"/>
      <x:c r="AF172" s="8" t="str">
        <x:v>用于“组织集成与经济价值”：结合劳动者需求与专家判断审计职业活动的自动化和增强潜力。</x:v>
      </x:c>
      <x:c r="AG172" s="8" t="str">
        <x:v>related</x:v>
      </x:c>
      <x:c r="AH172" s="8" t="str">
        <x:v>Workforce automation and augmentation</x:v>
      </x:c>
      <x:c r="AI172" s="8" t="str">
        <x:v>175</x:v>
      </x:c>
      <x:c r="AJ172" s="8" t="str">
        <x:v>survey bibliography</x:v>
      </x:c>
      <x:c r="AK172" s="13" t="d">
        <x:v>2026-10-16T00:00:00.000Z</x:v>
      </x:c>
      <x:c r="AL172" s="8" t="str">
        <x:v>论文身份与摘要已核验；分类为维护者判断。</x:v>
      </x:c>
      <x:c r="AM172" s="8" t="str">
        <x:v>7.3;7.4</x:v>
      </x:c>
    </x:row>
    <x:row r="173" ht="68" customHeight="1">
      <x:c r="A173" s="8" t="str">
        <x:v>WA-0176</x:v>
      </x:c>
      <x:c r="B173" s="8" t="str">
        <x:v>SWE-Gym</x:v>
      </x:c>
      <x:c r="C173" s="8" t="str">
        <x:v>Training Software Engineering Agents and Verifiers with SWE-Gym</x:v>
      </x:c>
      <x:c r="D173" s="9" t="n">
        <x:v>2024</x:v>
      </x:c>
      <x:c r="E173" s="8" t="str">
        <x:v>UC Berkeley; University of Illinois Urbana-Champaign; Carnegie Mellon University; Apple</x:v>
      </x:c>
      <x:c r="F173" s="10" t="str">
        <x:f>VLOOKUP(H173,'Taxonomy'!$A$6:$G$70,3,FALSE)</x:f>
        <x:v>优化：从工作经验到系统能力</x:v>
      </x:c>
      <x:c r="G173" s="10" t="str">
        <x:f>VLOOKUP(H173,'Taxonomy'!$A$6:$G$70,5,FALSE)</x:f>
        <x:v>训练环境、数据与奖励</x:v>
      </x:c>
      <x:c r="H173" s="8" t="str">
        <x:v>5.1.1</x:v>
      </x:c>
      <x:c r="I173" s="10" t="str">
        <x:f>VLOOKUP(H173,'Taxonomy'!$A$6:$G$70,6,FALSE)</x:f>
        <x:v>任务与环境合成</x:v>
      </x:c>
      <x:c r="J173" s="8" t="str">
        <x:v>任务与环境合成;模型参数学习;成果与实际状态核验</x:v>
      </x:c>
      <x:c r="K173" s="8" t="str">
        <x:v>执行与状态管理;验证、恢复与重新规划</x:v>
      </x:c>
      <x:c r="L173" s="8" t="str">
        <x:v>6.4 开放框架与执行环境</x:v>
      </x:c>
      <x:c r="M173" s="8" t="str">
        <x:v>任务与环境合成</x:v>
      </x:c>
      <x:c r="N173" s="8" t="str">
        <x:v>Framework;Method</x:v>
      </x:c>
      <x:c r="O173" s="11" t="str">
        <x:v>https://arxiv.org/abs/2412.21139</x:v>
      </x:c>
      <x:c r="P173" s="8" t="str">
        <x:v>把软件仓库问题变成可执行训练环境，并训练工程代理与验证器。</x:v>
      </x:c>
      <x:c r="Q173" s="8" t="str"/>
      <x:c r="R173" s="8" t="str"/>
      <x:c r="S173" s="8" t="str"/>
      <x:c r="T173" s="12" t="str">
        <x:v>未分配</x:v>
      </x:c>
      <x:c r="U173" s="12" t="str"/>
      <x:c r="V173" s="12" t="str"/>
      <x:c r="W173" s="12" t="str"/>
      <x:c r="X173" s="8" t="str">
        <x:v>verified</x:v>
      </x:c>
      <x:c r="Y173" s="11" t="str">
        <x:v>https://github.com/SWE-Gym/SWE-Gym</x:v>
      </x:c>
      <x:c r="Z173" s="11" t="str"/>
      <x:c r="AA173" s="11" t="str">
        <x:v>https://arxiv.org/html/2412.21139v1</x:v>
      </x:c>
      <x:c r="AB173" s="11" t="str">
        <x:v>https://arxiv.org/abs/2412.21139</x:v>
      </x:c>
      <x:c r="AC173" s="8" t="str"/>
      <x:c r="AD173" s="8" t="str"/>
      <x:c r="AE173" s="8" t="str"/>
      <x:c r="AF173" s="8" t="str">
        <x:v>用于“任务与环境合成”：把软件仓库问题变成可执行训练环境，并训练工程代理与验证器。</x:v>
      </x:c>
      <x:c r="AG173" s="8" t="str">
        <x:v>swe-science</x:v>
      </x:c>
      <x:c r="AH173" s="8" t="str">
        <x:v>Executable SWE training</x:v>
      </x:c>
      <x:c r="AI173" s="8" t="str">
        <x:v>176</x:v>
      </x:c>
      <x:c r="AJ173" s="8" t="str">
        <x:v>survey bibliography</x:v>
      </x:c>
      <x:c r="AK173" s="13" t="d">
        <x:v>2026-10-16T00:00:00.000Z</x:v>
      </x:c>
      <x:c r="AL173" s="8" t="str">
        <x:v>论文身份与摘要已核验；分类为维护者判断。</x:v>
      </x:c>
      <x:c r="AM173" s="8" t="str">
        <x:v>5.1;6.4</x:v>
      </x:c>
    </x:row>
    <x:row r="174" ht="68" customHeight="1">
      <x:c r="A174" s="8" t="str">
        <x:v>WA-0177</x:v>
      </x:c>
      <x:c r="B174" s="8" t="str">
        <x:v>R2E-Gym</x:v>
      </x:c>
      <x:c r="C174" s="8" t="str">
        <x:v>R2E-Gym: Procedural Environments and Hybrid Verifiers for Scaling Open-Weights SWE Agents</x:v>
      </x:c>
      <x:c r="D174" s="9" t="n">
        <x:v>2025</x:v>
      </x:c>
      <x:c r="E174" s="8" t="str">
        <x:v>UC Berkeley; Australian National University</x:v>
      </x:c>
      <x:c r="F174" s="10" t="str">
        <x:f>VLOOKUP(H174,'Taxonomy'!$A$6:$G$70,3,FALSE)</x:f>
        <x:v>优化：从工作经验到系统能力</x:v>
      </x:c>
      <x:c r="G174" s="10" t="str">
        <x:f>VLOOKUP(H174,'Taxonomy'!$A$6:$G$70,5,FALSE)</x:f>
        <x:v>训练环境、数据与奖励</x:v>
      </x:c>
      <x:c r="H174" s="8" t="str">
        <x:v>5.1.1</x:v>
      </x:c>
      <x:c r="I174" s="10" t="str">
        <x:f>VLOOKUP(H174,'Taxonomy'!$A$6:$G$70,6,FALSE)</x:f>
        <x:v>任务与环境合成</x:v>
      </x:c>
      <x:c r="J174" s="8" t="str">
        <x:v>任务与环境合成;训练奖励与可验证信号;模型参数学习</x:v>
      </x:c>
      <x:c r="K174" s="8" t="str">
        <x:v>执行与状态管理;验证、恢复与重新规划</x:v>
      </x:c>
      <x:c r="L174" s="8" t="str">
        <x:v>6.4 开放框架与执行环境</x:v>
      </x:c>
      <x:c r="M174" s="8" t="str">
        <x:v>任务与环境合成;奖励与验证信号</x:v>
      </x:c>
      <x:c r="N174" s="8" t="str">
        <x:v>Framework;Method</x:v>
      </x:c>
      <x:c r="O174" s="11" t="str">
        <x:v>https://arxiv.org/abs/2504.07164</x:v>
      </x:c>
      <x:c r="P174" s="8" t="str">
        <x:v>程序化构建可运行的软件工程环境，以混合验证器扩大开放模型代理训练。</x:v>
      </x:c>
      <x:c r="Q174" s="8" t="str"/>
      <x:c r="R174" s="8" t="str"/>
      <x:c r="S174" s="8" t="str"/>
      <x:c r="T174" s="12" t="str">
        <x:v>未分配</x:v>
      </x:c>
      <x:c r="U174" s="12" t="str"/>
      <x:c r="V174" s="12" t="str"/>
      <x:c r="W174" s="12" t="str"/>
      <x:c r="X174" s="8" t="str">
        <x:v>verified</x:v>
      </x:c>
      <x:c r="Y174" s="11" t="str"/>
      <x:c r="Z174" s="11" t="str"/>
      <x:c r="AA174" s="11" t="str">
        <x:v>https://arxiv.org/html/2504.07164v1</x:v>
      </x:c>
      <x:c r="AB174" s="11" t="str">
        <x:v>https://arxiv.org/abs/2504.07164</x:v>
      </x:c>
      <x:c r="AC174" s="8" t="str"/>
      <x:c r="AD174" s="8" t="str"/>
      <x:c r="AE174" s="8" t="str"/>
      <x:c r="AF174" s="8" t="str">
        <x:v>用于“任务与环境合成”：程序化构建可运行的软件工程环境，以混合验证器扩大开放模型代理训练。</x:v>
      </x:c>
      <x:c r="AG174" s="8" t="str">
        <x:v>swe-science</x:v>
      </x:c>
      <x:c r="AH174" s="8" t="str">
        <x:v>Procedural environments and verifiers</x:v>
      </x:c>
      <x:c r="AI174" s="8" t="str">
        <x:v>177</x:v>
      </x:c>
      <x:c r="AJ174" s="8" t="str">
        <x:v>survey bibliography</x:v>
      </x:c>
      <x:c r="AK174" s="13" t="d">
        <x:v>2026-10-16T00:00:00.000Z</x:v>
      </x:c>
      <x:c r="AL174" s="8" t="str">
        <x:v>论文身份与摘要已核验；分类为维护者判断。</x:v>
      </x:c>
      <x:c r="AM174" s="8" t="str">
        <x:v>5.1;6.4</x:v>
      </x:c>
    </x:row>
    <x:row r="175" ht="68" customHeight="1">
      <x:c r="A175" s="8" t="str">
        <x:v>WA-0178</x:v>
      </x:c>
      <x:c r="B175" s="8" t="str">
        <x:v>Collaborative Gym</x:v>
      </x:c>
      <x:c r="C175" s="8" t="str">
        <x:v>Collaborative Gym: A Framework for Enabling and Evaluating Human-Agent Collaboration</x:v>
      </x:c>
      <x:c r="D175" s="9" t="n">
        <x:v>2024</x:v>
      </x:c>
      <x:c r="E175" s="8" t="str">
        <x:v>Stanford University; Carnegie Mellon University</x:v>
      </x:c>
      <x:c r="F175" s="10" t="str">
        <x:f>VLOOKUP(H175,'Taxonomy'!$A$6:$G$70,3,FALSE)</x:f>
        <x:v>基础：定义、工作条件与核心能力</x:v>
      </x:c>
      <x:c r="G175" s="10" t="str">
        <x:f>VLOOKUP(H175,'Taxonomy'!$A$6:$G$70,5,FALSE)</x:f>
        <x:v>五项核心能力</x:v>
      </x:c>
      <x:c r="H175" s="8" t="str">
        <x:v>2.3.3</x:v>
      </x:c>
      <x:c r="I175" s="10" t="str">
        <x:f>VLOOKUP(H175,'Taxonomy'!$A$6:$G$70,6,FALSE)</x:f>
        <x:v>规划与协调</x:v>
      </x:c>
      <x:c r="J175" s="8" t="str">
        <x:v>分布信息、澄清与协调;任务、环境与扰动构造</x:v>
      </x:c>
      <x:c r="K175" s="8" t="str">
        <x:v>规划与协调;执行与状态管理</x:v>
      </x:c>
      <x:c r="L175" s="8" t="str">
        <x:v>6.4 开放框架与执行环境;7.4.3 组织集成与经济价值</x:v>
      </x:c>
      <x:c r="M175" s="8" t="str"/>
      <x:c r="N175" s="8" t="str">
        <x:v>Framework;Benchmark</x:v>
      </x:c>
      <x:c r="O175" s="11" t="str">
        <x:v>https://arxiv.org/abs/2412.15701</x:v>
      </x:c>
      <x:c r="P175" s="8" t="str">
        <x:v>为人类与代理共同处理真实任务提供协作环境、交互接口与评估框架。</x:v>
      </x:c>
      <x:c r="Q175" s="8" t="str"/>
      <x:c r="R175" s="8" t="str"/>
      <x:c r="S175" s="8" t="str"/>
      <x:c r="T175" s="12" t="str">
        <x:v>未分配</x:v>
      </x:c>
      <x:c r="U175" s="12" t="str"/>
      <x:c r="V175" s="12" t="str"/>
      <x:c r="W175" s="12" t="str"/>
      <x:c r="X175" s="8" t="str">
        <x:v>verified</x:v>
      </x:c>
      <x:c r="Y175" s="11" t="str">
        <x:v>https://github.com/SALT-NLP/collaborative-gym</x:v>
      </x:c>
      <x:c r="Z175" s="11" t="str"/>
      <x:c r="AA175" s="11" t="str">
        <x:v>https://arxiv.org/html/2412.15701v1</x:v>
      </x:c>
      <x:c r="AB175" s="11" t="str">
        <x:v>https://arxiv.org/abs/2412.15701</x:v>
      </x:c>
      <x:c r="AC175" s="8" t="str"/>
      <x:c r="AD175" s="8" t="str"/>
      <x:c r="AE175" s="8" t="str"/>
      <x:c r="AF175" s="8" t="str">
        <x:v>用于“规划与协调”：为人类与代理共同处理真实任务提供协作环境、交互接口与评估框架。</x:v>
      </x:c>
      <x:c r="AG175" s="8" t="str">
        <x:v>workspace</x:v>
      </x:c>
      <x:c r="AH175" s="8" t="str">
        <x:v>Human-agent collaboration</x:v>
      </x:c>
      <x:c r="AI175" s="8" t="str">
        <x:v>178</x:v>
      </x:c>
      <x:c r="AJ175" s="8" t="str">
        <x:v>survey bibliography</x:v>
      </x:c>
      <x:c r="AK175" s="13" t="d">
        <x:v>2026-10-16T00:00:00.000Z</x:v>
      </x:c>
      <x:c r="AL175" s="8" t="str">
        <x:v>论文身份与摘要已核验；分类为维护者判断。</x:v>
      </x:c>
      <x:c r="AM175" s="8" t="str">
        <x:v>4.3;6.4;7.4</x:v>
      </x:c>
    </x:row>
    <x:row r="176" ht="68" customHeight="1">
      <x:c r="A176" s="8" t="str">
        <x:v>WA-0179</x:v>
      </x:c>
      <x:c r="B176" s="8" t="str">
        <x:v>Sim2Real User Simulation</x:v>
      </x:c>
      <x:c r="C176" s="8" t="str">
        <x:v>Mind the Sim2Real Gap in User Simulation for Agentic Tasks</x:v>
      </x:c>
      <x:c r="D176" s="9" t="n">
        <x:v>2026</x:v>
      </x:c>
      <x:c r="E176" s="8" t="str">
        <x:v>Carnegie Mellon University</x:v>
      </x:c>
      <x:c r="F176" s="10" t="str">
        <x:f>VLOOKUP(H176,'Taxonomy'!$A$6:$G$70,3,FALSE)</x:f>
        <x:v>前沿：下一代 Working Agents</x:v>
      </x:c>
      <x:c r="G176" s="10" t="str">
        <x:f>VLOOKUP(H176,'Taxonomy'!$A$6:$G$70,5,FALSE)</x:f>
        <x:v>环境扩展</x:v>
      </x:c>
      <x:c r="H176" s="8" t="str">
        <x:v>7.1.2</x:v>
      </x:c>
      <x:c r="I176" s="10" t="str">
        <x:f>VLOOKUP(H176,'Taxonomy'!$A$6:$G$70,6,FALSE)</x:f>
        <x:v>环境保真与泛化</x:v>
      </x:c>
      <x:c r="J176" s="8" t="str">
        <x:v>验证证据的有效性;任务、环境与扰动构造;分布信息、澄清与协调</x:v>
      </x:c>
      <x:c r="K176" s="8" t="str">
        <x:v>规划与协调;验证、恢复与重新规划</x:v>
      </x:c>
      <x:c r="L176" s="8" t="str">
        <x:v>6.3 结果对齐指标</x:v>
      </x:c>
      <x:c r="M176" s="8" t="str"/>
      <x:c r="N176" s="8" t="str">
        <x:v>Background</x:v>
      </x:c>
      <x:c r="O176" s="11" t="str">
        <x:v>https://arxiv.org/abs/2603.11245</x:v>
      </x:c>
      <x:c r="P176" s="8" t="str">
        <x:v>比较模拟用户与真实用户的交互差异，检验代理评测中用户仿真的外部有效性。</x:v>
      </x:c>
      <x:c r="Q176" s="8" t="str"/>
      <x:c r="R176" s="8" t="str"/>
      <x:c r="S176" s="8" t="str"/>
      <x:c r="T176" s="12" t="str">
        <x:v>未分配</x:v>
      </x:c>
      <x:c r="U176" s="12" t="str"/>
      <x:c r="V176" s="12" t="str"/>
      <x:c r="W176" s="12" t="str"/>
      <x:c r="X176" s="8" t="str">
        <x:v>verified</x:v>
      </x:c>
      <x:c r="Y176" s="11" t="str"/>
      <x:c r="Z176" s="11" t="str"/>
      <x:c r="AA176" s="11" t="str">
        <x:v>https://arxiv.org/html/2603.11245v1</x:v>
      </x:c>
      <x:c r="AB176" s="11" t="str">
        <x:v>https://arxiv.org/abs/2603.11245</x:v>
      </x:c>
      <x:c r="AC176" s="8" t="str"/>
      <x:c r="AD176" s="8" t="str"/>
      <x:c r="AE176" s="8" t="str"/>
      <x:c r="AF176" s="8" t="str">
        <x:v>用于“环境保真与泛化”：比较模拟用户与真实用户的交互差异，检验代理评测中用户仿真的外部有效性。</x:v>
      </x:c>
      <x:c r="AG176" s="8" t="str">
        <x:v>verification</x:v>
      </x:c>
      <x:c r="AH176" s="8" t="str">
        <x:v>User simulator validity</x:v>
      </x:c>
      <x:c r="AI176" s="8" t="str">
        <x:v>179</x:v>
      </x:c>
      <x:c r="AJ176" s="8" t="str">
        <x:v>survey bibliography</x:v>
      </x:c>
      <x:c r="AK176" s="13" t="d">
        <x:v>2026-10-16T00:00:00.000Z</x:v>
      </x:c>
      <x:c r="AL176" s="8" t="str">
        <x:v>论文身份与摘要已核验；分类为维护者判断。</x:v>
      </x:c>
      <x:c r="AM176" s="8" t="str">
        <x:v>6.3;7.1</x:v>
      </x:c>
    </x:row>
    <x:row r="177" ht="68" customHeight="1">
      <x:c r="A177" s="8" t="str">
        <x:v>WA-0180</x:v>
      </x:c>
      <x:c r="B177" s="8" t="str">
        <x:v>DSec</x:v>
      </x:c>
      <x:c r="C177" s="8" t="str">
        <x:v>DeepSeek Elastic Compute (DSec): A Sandbox Infrastructure for Effective Agentic Training at Scale</x:v>
      </x:c>
      <x:c r="D177" s="9" t="n">
        <x:v>2026</x:v>
      </x:c>
      <x:c r="E177" s="8" t="str">
        <x:v>DeepSeek-AI; Tsinghua University</x:v>
      </x:c>
      <x:c r="F177" s="10" t="str">
        <x:f>VLOOKUP(H177,'Taxonomy'!$A$6:$G$70,3,FALSE)</x:f>
        <x:v>前沿：下一代 Working Agents</x:v>
      </x:c>
      <x:c r="G177" s="10" t="str">
        <x:f>VLOOKUP(H177,'Taxonomy'!$A$6:$G$70,5,FALSE)</x:f>
        <x:v>环境扩展</x:v>
      </x:c>
      <x:c r="H177" s="8" t="str">
        <x:v>7.1.3</x:v>
      </x:c>
      <x:c r="I177" s="10" t="str">
        <x:f>VLOOKUP(H177,'Taxonomy'!$A$6:$G$70,6,FALSE)</x:f>
        <x:v>可扩展执行基础设施</x:v>
      </x:c>
      <x:c r="J177" s="8" t="str">
        <x:v>执行平台、隔离与规模化</x:v>
      </x:c>
      <x:c r="K177" s="8" t="str">
        <x:v>执行与状态管理</x:v>
      </x:c>
      <x:c r="L177" s="8" t="str">
        <x:v>6.4 开放框架与执行环境</x:v>
      </x:c>
      <x:c r="M177" s="8" t="str"/>
      <x:c r="N177" s="8" t="str">
        <x:v>Framework</x:v>
      </x:c>
      <x:c r="O177" s="11" t="str">
        <x:v>https://arxiv.org/abs/2609.22978</x:v>
      </x:c>
      <x:c r="P177" s="8" t="str">
        <x:v>用统一SDK管理多种隔离后端与沙箱生命周期，为大规模有状态代理训练提供弹性执行环境。</x:v>
      </x:c>
      <x:c r="Q177" s="8" t="str"/>
      <x:c r="R177" s="8" t="str"/>
      <x:c r="S177" s="8" t="str"/>
      <x:c r="T177" s="12" t="str">
        <x:v>未分配</x:v>
      </x:c>
      <x:c r="U177" s="12" t="str"/>
      <x:c r="V177" s="12" t="str"/>
      <x:c r="W177" s="12" t="str"/>
      <x:c r="X177" s="8" t="str">
        <x:v>verified</x:v>
      </x:c>
      <x:c r="Y177" s="11" t="str"/>
      <x:c r="Z177" s="11" t="str"/>
      <x:c r="AA177" s="11" t="str">
        <x:v>https://arxiv.org/html/2609.22978v1</x:v>
      </x:c>
      <x:c r="AB177" s="11" t="str">
        <x:v>https://arxiv.org/abs/2609.22978</x:v>
      </x:c>
      <x:c r="AC177" s="8" t="str"/>
      <x:c r="AD177" s="8" t="str"/>
      <x:c r="AE177" s="8" t="str"/>
      <x:c r="AF177" s="8" t="str">
        <x:v>用于“可扩展执行基础设施”：用统一SDK管理多种隔离后端与沙箱生命周期，为大规模有状态代理训练提供弹性执行环境。</x:v>
      </x:c>
      <x:c r="AG177" s="8" t="str">
        <x:v>harness</x:v>
      </x:c>
      <x:c r="AH177" s="8" t="str">
        <x:v>Scalable sandbox infrastructure</x:v>
      </x:c>
      <x:c r="AI177" s="8" t="str">
        <x:v>180</x:v>
      </x:c>
      <x:c r="AJ177" s="8" t="str">
        <x:v>survey bibliography</x:v>
      </x:c>
      <x:c r="AK177" s="13" t="d">
        <x:v>2026-10-16T00:00:00.000Z</x:v>
      </x:c>
      <x:c r="AL177" s="8" t="str">
        <x:v>论文身份与摘要已核验；分类为维护者判断。</x:v>
      </x:c>
      <x:c r="AM177" s="8" t="str">
        <x:v>6.4;7.1</x:v>
      </x:c>
    </x:row>
    <x:row r="178" ht="68" customHeight="1">
      <x:c r="A178" s="8" t="str">
        <x:v>WA-0181</x:v>
      </x:c>
      <x:c r="B178" s="8" t="str">
        <x:v>Zep</x:v>
      </x:c>
      <x:c r="C178" s="8" t="str">
        <x:v>Zep: A Temporal Knowledge Graph Architecture for Agent Memory</x:v>
      </x:c>
      <x:c r="D178" s="9" t="n">
        <x:v>2025</x:v>
      </x:c>
      <x:c r="E178" s="8" t="str">
        <x:v>Zep AI</x:v>
      </x:c>
      <x:c r="F178" s="10" t="str">
        <x:f>VLOOKUP(H178,'Taxonomy'!$A$6:$G$70,3,FALSE)</x:f>
        <x:v>前沿：下一代 Working Agents</x:v>
      </x:c>
      <x:c r="G178" s="10" t="str">
        <x:f>VLOOKUP(H178,'Taxonomy'!$A$6:$G$70,5,FALSE)</x:f>
        <x:v>从被动执行到持续责任</x:v>
      </x:c>
      <x:c r="H178" s="8" t="str">
        <x:v>7.2.1</x:v>
      </x:c>
      <x:c r="I178" s="10" t="str">
        <x:f>VLOOKUP(H178,'Taxonomy'!$A$6:$G$70,6,FALSE)</x:f>
        <x:v>持久用户记忆与工作状态</x:v>
      </x:c>
      <x:c r="J178" s="8" t="str">
        <x:v>上下文与记忆管理;对象关系、来源与依赖;当前状态与版本有效性</x:v>
      </x:c>
      <x:c r="K178" s="8" t="str">
        <x:v>执行与状态管理</x:v>
      </x:c>
      <x:c r="L178" s="8" t="str">
        <x:v>2.3.4 执行与状态管理</x:v>
      </x:c>
      <x:c r="M178" s="8" t="str"/>
      <x:c r="N178" s="8" t="str">
        <x:v>Method;Framework</x:v>
      </x:c>
      <x:c r="O178" s="11" t="str">
        <x:v>https://arxiv.org/abs/2501.13956</x:v>
      </x:c>
      <x:c r="P178" s="8" t="str">
        <x:v>用时间知识图谱组织跨会话事实与关系，支持随时间演化的代理记忆检索。</x:v>
      </x:c>
      <x:c r="Q178" s="8" t="str"/>
      <x:c r="R178" s="8" t="str"/>
      <x:c r="S178" s="8" t="str"/>
      <x:c r="T178" s="12" t="str">
        <x:v>未分配</x:v>
      </x:c>
      <x:c r="U178" s="12" t="str"/>
      <x:c r="V178" s="12" t="str"/>
      <x:c r="W178" s="12" t="str"/>
      <x:c r="X178" s="8" t="str">
        <x:v>verified</x:v>
      </x:c>
      <x:c r="Y178" s="11" t="str">
        <x:v>https://github.com/getzep/graphiti</x:v>
      </x:c>
      <x:c r="Z178" s="11" t="str"/>
      <x:c r="AA178" s="11" t="str">
        <x:v>https://arxiv.org/html/2501.13956v1</x:v>
      </x:c>
      <x:c r="AB178" s="11" t="str">
        <x:v>https://arxiv.org/abs/2501.13956</x:v>
      </x:c>
      <x:c r="AC178" s="8" t="str"/>
      <x:c r="AD178" s="8" t="str"/>
      <x:c r="AE178" s="8" t="str"/>
      <x:c r="AF178" s="8" t="str">
        <x:v>用于“持久用户记忆与工作状态”：用时间知识图谱组织跨会话事实与关系，支持随时间演化的代理记忆检索。</x:v>
      </x:c>
      <x:c r="AG178" s="8" t="str">
        <x:v>persistent</x:v>
      </x:c>
      <x:c r="AH178" s="8" t="str">
        <x:v>Temporal graph memory</x:v>
      </x:c>
      <x:c r="AI178" s="8" t="str">
        <x:v>181</x:v>
      </x:c>
      <x:c r="AJ178" s="8" t="str">
        <x:v>survey bibliography</x:v>
      </x:c>
      <x:c r="AK178" s="13" t="d">
        <x:v>2026-10-16T00:00:00.000Z</x:v>
      </x:c>
      <x:c r="AL178" s="8" t="str">
        <x:v>论文身份与摘要已核验；分类为维护者判断。</x:v>
      </x:c>
      <x:c r="AM178" s="8" t="str">
        <x:v>4.4;7.2</x:v>
      </x:c>
    </x:row>
    <x:row r="179" ht="68" customHeight="1">
      <x:c r="A179" s="8" t="str">
        <x:v>WA-0182</x:v>
      </x:c>
      <x:c r="B179" s="8" t="str">
        <x:v>ChronoMem</x:v>
      </x:c>
      <x:c r="C179" s="8" t="str">
        <x:v>ChronoMem: Version Control and Semantic Rollback for Large Language Model Agent Memory</x:v>
      </x:c>
      <x:c r="D179" s="9" t="n">
        <x:v>2026</x:v>
      </x:c>
      <x:c r="E179" s="8" t="str">
        <x:v>Purdue University; Rutgers University</x:v>
      </x:c>
      <x:c r="F179" s="10" t="str">
        <x:f>VLOOKUP(H179,'Taxonomy'!$A$6:$G$70,3,FALSE)</x:f>
        <x:v>前沿：下一代 Working Agents</x:v>
      </x:c>
      <x:c r="G179" s="10" t="str">
        <x:f>VLOOKUP(H179,'Taxonomy'!$A$6:$G$70,5,FALSE)</x:f>
        <x:v>从被动执行到持续责任</x:v>
      </x:c>
      <x:c r="H179" s="8" t="str">
        <x:v>7.2.1</x:v>
      </x:c>
      <x:c r="I179" s="10" t="str">
        <x:f>VLOOKUP(H179,'Taxonomy'!$A$6:$G$70,6,FALSE)</x:f>
        <x:v>持久用户记忆与工作状态</x:v>
      </x:c>
      <x:c r="J179" s="8" t="str">
        <x:v>上下文与记忆管理;当前状态与版本有效性;回滚、补偿与路径调整</x:v>
      </x:c>
      <x:c r="K179" s="8" t="str">
        <x:v>执行与状态管理;验证、恢复与重新规划</x:v>
      </x:c>
      <x:c r="L179" s="8" t="str">
        <x:v>2.3.4 执行与状态管理;2.3.5 验证、恢复与重新规划</x:v>
      </x:c>
      <x:c r="M179" s="8" t="str"/>
      <x:c r="N179" s="8" t="str">
        <x:v>Method</x:v>
      </x:c>
      <x:c r="O179" s="11" t="str">
        <x:v>https://arxiv.org/abs/2607.27773</x:v>
      </x:c>
      <x:c r="P179" s="8" t="str">
        <x:v>为代理记忆增加版本控制与语义回滚，支持纠错及旧状态恢复。</x:v>
      </x:c>
      <x:c r="Q179" s="8" t="str"/>
      <x:c r="R179" s="8" t="str"/>
      <x:c r="S179" s="8" t="str"/>
      <x:c r="T179" s="12" t="str">
        <x:v>未分配</x:v>
      </x:c>
      <x:c r="U179" s="12" t="str"/>
      <x:c r="V179" s="12" t="str"/>
      <x:c r="W179" s="12" t="str"/>
      <x:c r="X179" s="8" t="str">
        <x:v>verified</x:v>
      </x:c>
      <x:c r="Y179" s="11" t="str"/>
      <x:c r="Z179" s="11" t="str"/>
      <x:c r="AA179" s="11" t="str">
        <x:v>https://arxiv.org/html/2607.27773v1</x:v>
      </x:c>
      <x:c r="AB179" s="11" t="str">
        <x:v>https://arxiv.org/abs/2607.27773</x:v>
      </x:c>
      <x:c r="AC179" s="8" t="str"/>
      <x:c r="AD179" s="8" t="str"/>
      <x:c r="AE179" s="8" t="str"/>
      <x:c r="AF179" s="8" t="str">
        <x:v>用于“持久用户记忆与工作状态”：为代理记忆增加版本控制与语义回滚，支持纠错及旧状态恢复。</x:v>
      </x:c>
      <x:c r="AG179" s="8" t="str">
        <x:v>persistent</x:v>
      </x:c>
      <x:c r="AH179" s="8" t="str">
        <x:v>Versioned memory and rollback</x:v>
      </x:c>
      <x:c r="AI179" s="8" t="str">
        <x:v>182</x:v>
      </x:c>
      <x:c r="AJ179" s="8" t="str">
        <x:v>survey bibliography</x:v>
      </x:c>
      <x:c r="AK179" s="13" t="d">
        <x:v>2026-10-16T00:00:00.000Z</x:v>
      </x:c>
      <x:c r="AL179" s="8" t="str">
        <x:v>论文身份与摘要已核验；分类为维护者判断。</x:v>
      </x:c>
      <x:c r="AM179" s="8" t="str">
        <x:v>7.2</x:v>
      </x:c>
    </x:row>
    <x:row r="180" ht="68" customHeight="1">
      <x:c r="A180" s="8" t="str">
        <x:v>WA-0183</x:v>
      </x:c>
      <x:c r="B180" s="8" t="str">
        <x:v>StreamMemBench</x:v>
      </x:c>
      <x:c r="C180" s="8" t="str">
        <x:v>StreamMemBench: Streaming Evaluation of Agent Memory for Future-Oriented Assistance</x:v>
      </x:c>
      <x:c r="D180" s="9" t="n">
        <x:v>2026</x:v>
      </x:c>
      <x:c r="E180" s="8" t="str">
        <x:v>Fudan University; Amazon</x:v>
      </x:c>
      <x:c r="F180" s="10" t="str">
        <x:f>VLOOKUP(H180,'Taxonomy'!$A$6:$G$70,3,FALSE)</x:f>
        <x:v>前沿：下一代 Working Agents</x:v>
      </x:c>
      <x:c r="G180" s="10" t="str">
        <x:f>VLOOKUP(H180,'Taxonomy'!$A$6:$G$70,5,FALSE)</x:f>
        <x:v>从被动执行到持续责任</x:v>
      </x:c>
      <x:c r="H180" s="8" t="str">
        <x:v>7.2.1</x:v>
      </x:c>
      <x:c r="I180" s="10" t="str">
        <x:f>VLOOKUP(H180,'Taxonomy'!$A$6:$G$70,6,FALSE)</x:f>
        <x:v>持久用户记忆与工作状态</x:v>
      </x:c>
      <x:c r="J180" s="8" t="str">
        <x:v>上下文与记忆管理;跨请求工作连续性;答案、产物、状态与过程证据</x:v>
      </x:c>
      <x:c r="K180" s="8" t="str">
        <x:v>推理与决策;执行与状态管理</x:v>
      </x:c>
      <x:c r="L180" s="8" t="str">
        <x:v>6.1 基准与任务构造;6.2.1 评估目标与可观察证据</x:v>
      </x:c>
      <x:c r="M180" s="8" t="str"/>
      <x:c r="N180" s="8" t="str">
        <x:v>Benchmark</x:v>
      </x:c>
      <x:c r="O180" s="11" t="str">
        <x:v>https://arxiv.org/abs/2606.14571</x:v>
      </x:c>
      <x:c r="P180" s="8" t="str">
        <x:v>以连续信息流评估记忆能否支撑未来任务，而非只回答静态历史问题。</x:v>
      </x:c>
      <x:c r="Q180" s="8" t="str"/>
      <x:c r="R180" s="8" t="str"/>
      <x:c r="S180" s="8" t="str"/>
      <x:c r="T180" s="12" t="str">
        <x:v>未分配</x:v>
      </x:c>
      <x:c r="U180" s="12" t="str"/>
      <x:c r="V180" s="12" t="str"/>
      <x:c r="W180" s="12" t="str"/>
      <x:c r="X180" s="8" t="str">
        <x:v>verified</x:v>
      </x:c>
      <x:c r="Y180" s="11" t="str">
        <x:v>https://github.com/landian60/StreamMemBench</x:v>
      </x:c>
      <x:c r="Z180" s="11" t="str"/>
      <x:c r="AA180" s="11" t="str">
        <x:v>https://arxiv.org/html/2606.14571v1</x:v>
      </x:c>
      <x:c r="AB180" s="11" t="str">
        <x:v>https://arxiv.org/abs/2606.14571</x:v>
      </x:c>
      <x:c r="AC180" s="8" t="str"/>
      <x:c r="AD180" s="8" t="str"/>
      <x:c r="AE180" s="8" t="str"/>
      <x:c r="AF180" s="8" t="str">
        <x:v>用于“持久用户记忆与工作状态”：以连续信息流评估记忆能否支撑未来任务，而非只回答静态历史问题。</x:v>
      </x:c>
      <x:c r="AG180" s="8" t="str">
        <x:v>persistent</x:v>
      </x:c>
      <x:c r="AH180" s="8" t="str">
        <x:v>Streaming future-oriented memory</x:v>
      </x:c>
      <x:c r="AI180" s="8" t="str">
        <x:v>183</x:v>
      </x:c>
      <x:c r="AJ180" s="8" t="str">
        <x:v>survey bibliography</x:v>
      </x:c>
      <x:c r="AK180" s="13" t="d">
        <x:v>2026-10-16T00:00:00.000Z</x:v>
      </x:c>
      <x:c r="AL180" s="8" t="str">
        <x:v>论文身份与摘要已核验；分类为维护者判断。</x:v>
      </x:c>
      <x:c r="AM180" s="8" t="str">
        <x:v>6.1;7.2</x:v>
      </x:c>
    </x:row>
    <x:row r="181" ht="68" customHeight="1">
      <x:c r="A181" s="8" t="str">
        <x:v>WA-0184</x:v>
      </x:c>
      <x:c r="B181" s="8" t="str">
        <x:v>Verified Tool Calls</x:v>
      </x:c>
      <x:c r="C181" s="8" t="str">
        <x:v>Verified Tool Calls Improve LLM Agent Reliability Under Non-Atomic Failures</x:v>
      </x:c>
      <x:c r="D181" s="9" t="n">
        <x:v>2026</x:v>
      </x:c>
      <x:c r="E181" s="8" t="str">
        <x:v>Old Dominion University; Christopher Newport University</x:v>
      </x:c>
      <x:c r="F181" s="10" t="str">
        <x:f>VLOOKUP(H181,'Taxonomy'!$A$6:$G$70,3,FALSE)</x:f>
        <x:v>基础：定义、工作条件与核心能力</x:v>
      </x:c>
      <x:c r="G181" s="10" t="str">
        <x:f>VLOOKUP(H181,'Taxonomy'!$A$6:$G$70,5,FALSE)</x:f>
        <x:v>五项核心能力</x:v>
      </x:c>
      <x:c r="H181" s="8" t="str">
        <x:v>2.3.5</x:v>
      </x:c>
      <x:c r="I181" s="10" t="str">
        <x:f>VLOOKUP(H181,'Taxonomy'!$A$6:$G$70,6,FALSE)</x:f>
        <x:v>验证、恢复与重新规划</x:v>
      </x:c>
      <x:c r="J181" s="8" t="str">
        <x:v>提交、幂等与副作用;成果与实际状态核验;回滚、补偿与路径调整</x:v>
      </x:c>
      <x:c r="K181" s="8" t="str">
        <x:v>执行与状态管理;验证、恢复与重新规划</x:v>
      </x:c>
      <x:c r="L181" s="8" t="str">
        <x:v>7.2 从被动执行到持续责任;2.3.4 执行与状态管理</x:v>
      </x:c>
      <x:c r="M181" s="8" t="str"/>
      <x:c r="N181" s="8" t="str">
        <x:v>Method</x:v>
      </x:c>
      <x:c r="O181" s="11" t="str">
        <x:v>https://arxiv.org/abs/2608.02645</x:v>
      </x:c>
      <x:c r="P181" s="8" t="str">
        <x:v>对工具调用结果和副作用做验证，降低非原子失败后误判成功或重复执行的风险。</x:v>
      </x:c>
      <x:c r="Q181" s="8" t="str"/>
      <x:c r="R181" s="8" t="str"/>
      <x:c r="S181" s="8" t="str"/>
      <x:c r="T181" s="12" t="str">
        <x:v>未分配</x:v>
      </x:c>
      <x:c r="U181" s="12" t="str"/>
      <x:c r="V181" s="12" t="str"/>
      <x:c r="W181" s="12" t="str"/>
      <x:c r="X181" s="8" t="str">
        <x:v>verified</x:v>
      </x:c>
      <x:c r="Y181" s="11" t="str"/>
      <x:c r="Z181" s="11" t="str"/>
      <x:c r="AA181" s="11" t="str">
        <x:v>https://arxiv.org/html/2608.02645v1</x:v>
      </x:c>
      <x:c r="AB181" s="11" t="str">
        <x:v>https://arxiv.org/abs/2608.02645</x:v>
      </x:c>
      <x:c r="AC181" s="8" t="str"/>
      <x:c r="AD181" s="8" t="str"/>
      <x:c r="AE181" s="8" t="str"/>
      <x:c r="AF181" s="8" t="str">
        <x:v>用于“验证、恢复与重新规划”：对工具调用结果和副作用做验证，降低非原子失败后误判成功或重复执行的风险。</x:v>
      </x:c>
      <x:c r="AG181" s="8" t="str">
        <x:v>verification</x:v>
      </x:c>
      <x:c r="AH181" s="8" t="str">
        <x:v>Non-atomic tool failures</x:v>
      </x:c>
      <x:c r="AI181" s="8" t="str">
        <x:v>184</x:v>
      </x:c>
      <x:c r="AJ181" s="8" t="str">
        <x:v>survey bibliography</x:v>
      </x:c>
      <x:c r="AK181" s="13" t="d">
        <x:v>2026-10-16T00:00:00.000Z</x:v>
      </x:c>
      <x:c r="AL181" s="8" t="str">
        <x:v>论文身份与摘要已核验；分类为维护者判断。</x:v>
      </x:c>
      <x:c r="AM181" s="8" t="str">
        <x:v>4.5;7.2</x:v>
      </x:c>
    </x:row>
    <x:row r="182" ht="68" customHeight="1">
      <x:c r="A182" s="8" t="str">
        <x:v>WA-0185</x:v>
      </x:c>
      <x:c r="B182" s="8" t="str">
        <x:v>Life Beyond Distributed Transactions</x:v>
      </x:c>
      <x:c r="C182" s="8" t="str">
        <x:v>Life Beyond Distributed Transactions</x:v>
      </x:c>
      <x:c r="D182" s="9" t="n">
        <x:v>2007</x:v>
      </x:c>
      <x:c r="E182" s="8" t="str">
        <x:v>Salesforce</x:v>
      </x:c>
      <x:c r="F182" s="10" t="str">
        <x:f>VLOOKUP(H182,'Taxonomy'!$A$6:$G$70,3,FALSE)</x:f>
        <x:v>基础：定义、工作条件与核心能力</x:v>
      </x:c>
      <x:c r="G182" s="10" t="str">
        <x:f>VLOOKUP(H182,'Taxonomy'!$A$6:$G$70,5,FALSE)</x:f>
        <x:v>五项核心能力</x:v>
      </x:c>
      <x:c r="H182" s="8" t="str">
        <x:v>2.3.4</x:v>
      </x:c>
      <x:c r="I182" s="10" t="str">
        <x:f>VLOOKUP(H182,'Taxonomy'!$A$6:$G$70,6,FALSE)</x:f>
        <x:v>执行与状态管理</x:v>
      </x:c>
      <x:c r="J182" s="8" t="str">
        <x:v>提交、幂等与副作用;当前状态与版本有效性</x:v>
      </x:c>
      <x:c r="K182" s="8" t="str">
        <x:v>执行与状态管理;验证、恢复与重新规划</x:v>
      </x:c>
      <x:c r="L182" s="8" t="str">
        <x:v>7.2 从被动执行到持续责任;2.3.5 验证、恢复与重新规划</x:v>
      </x:c>
      <x:c r="M182" s="8" t="str"/>
      <x:c r="N182" s="8" t="str">
        <x:v>Background</x:v>
      </x:c>
      <x:c r="O182" s="11" t="str">
        <x:v>https://doi.org/10.1145/3012426.3025012</x:v>
      </x:c>
      <x:c r="P182" s="8" t="str">
        <x:v>讨论跨分布式事务边界的消息、业务实体与一致性，为代理副作用管理提供系统背景。</x:v>
      </x:c>
      <x:c r="Q182" s="8" t="str"/>
      <x:c r="R182" s="8" t="str"/>
      <x:c r="S182" s="8" t="str"/>
      <x:c r="T182" s="12" t="str">
        <x:v>未分配</x:v>
      </x:c>
      <x:c r="U182" s="12" t="str"/>
      <x:c r="V182" s="12" t="str"/>
      <x:c r="W182" s="12" t="str"/>
      <x:c r="X182" s="8" t="str">
        <x:v>verified</x:v>
      </x:c>
      <x:c r="Y182" s="11" t="str"/>
      <x:c r="Z182" s="11" t="str"/>
      <x:c r="AA182" s="11" t="str">
        <x:v>https://api.crossref.org/works/10.1145/3012426.3025012</x:v>
      </x:c>
      <x:c r="AB182" s="11" t="str">
        <x:v>https://doi.org/10.1145/3012426.3025012</x:v>
      </x:c>
      <x:c r="AC182" s="8" t="str"/>
      <x:c r="AD182" s="8" t="str"/>
      <x:c r="AE182" s="8" t="str"/>
      <x:c r="AF182" s="8" t="str">
        <x:v>用于“执行与状态管理”：讨论跨分布式事务边界的消息、业务实体与一致性，为代理副作用管理提供系统背景。</x:v>
      </x:c>
      <x:c r="AG182" s="8" t="str">
        <x:v>related</x:v>
      </x:c>
      <x:c r="AH182" s="8" t="str">
        <x:v>Distributed transactions</x:v>
      </x:c>
      <x:c r="AI182" s="8" t="str">
        <x:v>185</x:v>
      </x:c>
      <x:c r="AJ182" s="8" t="str">
        <x:v>survey bibliography</x:v>
      </x:c>
      <x:c r="AK182" s="13" t="d">
        <x:v>2026-10-16T00:00:00.000Z</x:v>
      </x:c>
      <x:c r="AL182" s="8" t="str">
        <x:v>本条对应 ACM Queue 2016 更新重刊；Salesforce 由出版社提交的 Crossref 作者单位字段核验。原始 CIDR 2007 版本首页列 Amazon.com（https://www.cidrdb.org/cidr2007/papers/cidr07p15.pdf），不与 2016 版本单位混用。 年份列采用已确认的最早公开工作论文年份；单位证据对应所链接的正式/更新版本。</x:v>
      </x:c>
      <x:c r="AM182" s="8" t="str">
        <x:v>7.2</x:v>
      </x:c>
    </x:row>
    <x:row r="183" ht="68" customHeight="1">
      <x:c r="A183" s="8" t="str">
        <x:v>WA-0186</x:v>
      </x:c>
      <x:c r="B183" s="8" t="str">
        <x:v>Provenance in Databases</x:v>
      </x:c>
      <x:c r="C183" s="8" t="str">
        <x:v>Provenance in Databases: Why, How, and Where</x:v>
      </x:c>
      <x:c r="D183" s="9" t="n">
        <x:v>2009</x:v>
      </x:c>
      <x:c r="E183" s="8" t="str">
        <x:v>University of Edinburgh; IBM Almaden Research Center; University of California, Santa Cruz</x:v>
      </x:c>
      <x:c r="F183" s="10" t="str">
        <x:f>VLOOKUP(H183,'Taxonomy'!$A$6:$G$70,3,FALSE)</x:f>
        <x:v>基础：定义、工作条件与核心能力</x:v>
      </x:c>
      <x:c r="G183" s="10" t="str">
        <x:f>VLOOKUP(H183,'Taxonomy'!$A$6:$G$70,5,FALSE)</x:f>
        <x:v>五项核心能力</x:v>
      </x:c>
      <x:c r="H183" s="8" t="str">
        <x:v>2.3.1</x:v>
      </x:c>
      <x:c r="I183" s="10" t="str">
        <x:f>VLOOKUP(H183,'Taxonomy'!$A$6:$G$70,6,FALSE)</x:f>
        <x:v>感知与理解</x:v>
      </x:c>
      <x:c r="J183" s="8" t="str">
        <x:v>对象关系、来源与依赖;当前状态与版本有效性</x:v>
      </x:c>
      <x:c r="K183" s="8" t="str">
        <x:v>感知与理解;执行与状态管理;验证、恢复与重新规划</x:v>
      </x:c>
      <x:c r="L183" s="8" t="str">
        <x:v>7.2 从被动执行到持续责任;2.3.4 执行与状态管理</x:v>
      </x:c>
      <x:c r="M183" s="8" t="str"/>
      <x:c r="N183" s="8" t="str">
        <x:v>Survey;Background</x:v>
      </x:c>
      <x:c r="O183" s="11" t="str">
        <x:v>https://doi.org/10.1561/1900000006</x:v>
      </x:c>
      <x:c r="P183" s="8" t="str">
        <x:v>梳理数据来源及推导关系，为跨文件证据、依赖与结果可追溯性提供基础。</x:v>
      </x:c>
      <x:c r="Q183" s="8" t="str"/>
      <x:c r="R183" s="8" t="str"/>
      <x:c r="S183" s="8" t="str"/>
      <x:c r="T183" s="12" t="str">
        <x:v>未分配</x:v>
      </x:c>
      <x:c r="U183" s="12" t="str"/>
      <x:c r="V183" s="12" t="str"/>
      <x:c r="W183" s="12" t="str"/>
      <x:c r="X183" s="8" t="str">
        <x:v>verified</x:v>
      </x:c>
      <x:c r="Y183" s="11" t="str"/>
      <x:c r="Z183" s="11" t="str"/>
      <x:c r="AA183" s="11" t="str">
        <x:v>https://homepages.inf.ed.ac.uk/jcheney/publications/provdbsurvey.pdf</x:v>
      </x:c>
      <x:c r="AB183" s="11" t="str">
        <x:v>https://doi.org/10.1561/1900000006</x:v>
      </x:c>
      <x:c r="AC183" s="8" t="str"/>
      <x:c r="AD183" s="8" t="str"/>
      <x:c r="AE183" s="8" t="str"/>
      <x:c r="AF183" s="8" t="str">
        <x:v>用于“感知与理解”：梳理数据来源及推导关系，为跨文件证据、依赖与结果可追溯性提供基础。</x:v>
      </x:c>
      <x:c r="AG183" s="8" t="str">
        <x:v>related</x:v>
      </x:c>
      <x:c r="AH183" s="8" t="str">
        <x:v>Data lineage and provenance</x:v>
      </x:c>
      <x:c r="AI183" s="8" t="str">
        <x:v>186</x:v>
      </x:c>
      <x:c r="AJ183" s="8" t="str">
        <x:v>survey bibliography</x:v>
      </x:c>
      <x:c r="AK183" s="13" t="d">
        <x:v>2026-10-16T00:00:00.000Z</x:v>
      </x:c>
      <x:c r="AL183" s="8" t="str">
        <x:v>单位按作者在爱丁堡大学主页保存的论文标题页核验。PDF 卷面为 Vol. 1 No. 4 (2007)，版权与学校正式出版记录为 2009；此处保留正式出版年 2009。</x:v>
      </x:c>
      <x:c r="AM183" s="8" t="str">
        <x:v>7.2</x:v>
      </x:c>
    </x:row>
    <x:row r="184" ht="68" customHeight="1">
      <x:c r="A184" s="8" t="str">
        <x:v>WA-0187</x:v>
      </x:c>
      <x:c r="B184" s="8" t="str">
        <x:v>Sagas</x:v>
      </x:c>
      <x:c r="C184" s="8" t="str">
        <x:v>Sagas</x:v>
      </x:c>
      <x:c r="D184" s="9" t="n">
        <x:v>1987</x:v>
      </x:c>
      <x:c r="E184" s="8" t="str">
        <x:v>Princeton University</x:v>
      </x:c>
      <x:c r="F184" s="10" t="str">
        <x:f>VLOOKUP(H184,'Taxonomy'!$A$6:$G$70,3,FALSE)</x:f>
        <x:v>基础：定义、工作条件与核心能力</x:v>
      </x:c>
      <x:c r="G184" s="10" t="str">
        <x:f>VLOOKUP(H184,'Taxonomy'!$A$6:$G$70,5,FALSE)</x:f>
        <x:v>五项核心能力</x:v>
      </x:c>
      <x:c r="H184" s="8" t="str">
        <x:v>2.3.5</x:v>
      </x:c>
      <x:c r="I184" s="10" t="str">
        <x:f>VLOOKUP(H184,'Taxonomy'!$A$6:$G$70,6,FALSE)</x:f>
        <x:v>验证、恢复与重新规划</x:v>
      </x:c>
      <x:c r="J184" s="8" t="str">
        <x:v>提交、幂等与副作用;回滚、补偿与路径调整</x:v>
      </x:c>
      <x:c r="K184" s="8" t="str">
        <x:v>执行与状态管理;验证、恢复与重新规划</x:v>
      </x:c>
      <x:c r="L184" s="8" t="str">
        <x:v>7.2 从被动执行到持续责任;2.3.4 执行与状态管理</x:v>
      </x:c>
      <x:c r="M184" s="8" t="str"/>
      <x:c r="N184" s="8" t="str">
        <x:v>Background</x:v>
      </x:c>
      <x:c r="O184" s="11" t="str">
        <x:v>https://doi.org/10.1145/38713.38742</x:v>
      </x:c>
      <x:c r="P184" s="8" t="str">
        <x:v>以子事务及补偿操作处理长事务失败，是代理恢复与副作用回退的经典基础。</x:v>
      </x:c>
      <x:c r="Q184" s="8" t="str"/>
      <x:c r="R184" s="8" t="str"/>
      <x:c r="S184" s="8" t="str"/>
      <x:c r="T184" s="12" t="str">
        <x:v>未分配</x:v>
      </x:c>
      <x:c r="U184" s="12" t="str"/>
      <x:c r="V184" s="12" t="str"/>
      <x:c r="W184" s="12" t="str"/>
      <x:c r="X184" s="8" t="str">
        <x:v>verified</x:v>
      </x:c>
      <x:c r="Y184" s="11" t="str"/>
      <x:c r="Z184" s="11" t="str"/>
      <x:c r="AA184" s="11" t="str">
        <x:v>https://www.cs.princeton.edu/techreports/1987/070.pdf</x:v>
      </x:c>
      <x:c r="AB184" s="11" t="str">
        <x:v>https://doi.org/10.1145/38713.38742</x:v>
      </x:c>
      <x:c r="AC184" s="8" t="str"/>
      <x:c r="AD184" s="8" t="str"/>
      <x:c r="AE184" s="8" t="str"/>
      <x:c r="AF184" s="8" t="str">
        <x:v>用于“验证、恢复与重新规划”：以子事务及补偿操作处理长事务失败，是代理恢复与副作用回退的经典基础。</x:v>
      </x:c>
      <x:c r="AG184" s="8" t="str">
        <x:v>related</x:v>
      </x:c>
      <x:c r="AH184" s="8" t="str">
        <x:v>Compensating transactions</x:v>
      </x:c>
      <x:c r="AI184" s="8" t="str">
        <x:v>187</x:v>
      </x:c>
      <x:c r="AJ184" s="8" t="str">
        <x:v>survey bibliography</x:v>
      </x:c>
      <x:c r="AK184" s="13" t="d">
        <x:v>2026-10-16T00:00:00.000Z</x:v>
      </x:c>
      <x:c r="AL184" s="8" t="str">
        <x:v>普林斯顿大学保存的 1987-01-07 原始技术报告首页明确列 Department of Computer Science, Princeton University；未采用作者后续任职。</x:v>
      </x:c>
      <x:c r="AM184" s="8" t="str">
        <x:v>7.2</x:v>
      </x:c>
    </x:row>
    <x:row r="185" ht="68" customHeight="1">
      <x:c r="A185" s="8" t="str">
        <x:v>WA-0188</x:v>
      </x:c>
      <x:c r="B185" s="8" t="str">
        <x:v>SagaLLM</x:v>
      </x:c>
      <x:c r="C185" s="8" t="str">
        <x:v>SagaLLM: Context Management, Validation, and Transaction Guarantees for Multi-Agent LLM Planning</x:v>
      </x:c>
      <x:c r="D185" s="9" t="n">
        <x:v>2025</x:v>
      </x:c>
      <x:c r="E185" s="8" t="str">
        <x:v>Stanford University</x:v>
      </x:c>
      <x:c r="F185" s="10" t="str">
        <x:f>VLOOKUP(H185,'Taxonomy'!$A$6:$G$70,3,FALSE)</x:f>
        <x:v>基础：定义、工作条件与核心能力</x:v>
      </x:c>
      <x:c r="G185" s="10" t="str">
        <x:f>VLOOKUP(H185,'Taxonomy'!$A$6:$G$70,5,FALSE)</x:f>
        <x:v>五项核心能力</x:v>
      </x:c>
      <x:c r="H185" s="8" t="str">
        <x:v>2.3.5</x:v>
      </x:c>
      <x:c r="I185" s="10" t="str">
        <x:f>VLOOKUP(H185,'Taxonomy'!$A$6:$G$70,6,FALSE)</x:f>
        <x:v>验证、恢复与重新规划</x:v>
      </x:c>
      <x:c r="J185" s="8" t="str">
        <x:v>任务分解与行动依赖;提交、幂等与副作用;回滚、补偿与路径调整</x:v>
      </x:c>
      <x:c r="K185" s="8" t="str">
        <x:v>规划与协调;执行与状态管理;验证、恢复与重新规划</x:v>
      </x:c>
      <x:c r="L185" s="8" t="str">
        <x:v>2.3.3 规划与协调;7.2 从被动执行到持续责任;2.3.4 执行与状态管理</x:v>
      </x:c>
      <x:c r="M185" s="8" t="str"/>
      <x:c r="N185" s="8" t="str">
        <x:v>Method;Framework</x:v>
      </x:c>
      <x:c r="O185" s="11" t="str">
        <x:v>https://arxiv.org/abs/2503.11951</x:v>
      </x:c>
      <x:c r="P185" s="8" t="str">
        <x:v>把上下文管理、验证和事务保障引入多代理规划，处理长流程一致性与恢复。</x:v>
      </x:c>
      <x:c r="Q185" s="8" t="str"/>
      <x:c r="R185" s="8" t="str"/>
      <x:c r="S185" s="8" t="str"/>
      <x:c r="T185" s="12" t="str">
        <x:v>未分配</x:v>
      </x:c>
      <x:c r="U185" s="12" t="str"/>
      <x:c r="V185" s="12" t="str"/>
      <x:c r="W185" s="12" t="str"/>
      <x:c r="X185" s="8" t="str">
        <x:v>verified</x:v>
      </x:c>
      <x:c r="Y185" s="11" t="str"/>
      <x:c r="Z185" s="11" t="str"/>
      <x:c r="AA185" s="11" t="str">
        <x:v>https://arxiv.org/html/2503.11951v1</x:v>
      </x:c>
      <x:c r="AB185" s="11" t="str">
        <x:v>https://arxiv.org/abs/2503.11951</x:v>
      </x:c>
      <x:c r="AC185" s="8" t="str"/>
      <x:c r="AD185" s="8" t="str"/>
      <x:c r="AE185" s="8" t="str"/>
      <x:c r="AF185" s="8" t="str">
        <x:v>用于“验证、恢复与重新规划”：把上下文管理、验证和事务保障引入多代理规划，处理长流程一致性与恢复。</x:v>
      </x:c>
      <x:c r="AG185" s="8" t="str">
        <x:v>persistent</x:v>
      </x:c>
      <x:c r="AH185" s="8" t="str">
        <x:v>Transactional multi-agent planning</x:v>
      </x:c>
      <x:c r="AI185" s="8" t="str">
        <x:v>188</x:v>
      </x:c>
      <x:c r="AJ185" s="8" t="str">
        <x:v>survey bibliography</x:v>
      </x:c>
      <x:c r="AK185" s="13" t="d">
        <x:v>2026-10-16T00:00:00.000Z</x:v>
      </x:c>
      <x:c r="AL185" s="8" t="str">
        <x:v>当前摘要与HTML版本的作者列表可能与PDF参考文献不同，采用arXiv当前元数据。</x:v>
      </x:c>
      <x:c r="AM185" s="8" t="str">
        <x:v>4.3;4.5;7.2</x:v>
      </x:c>
    </x:row>
    <x:row r="186" ht="68" customHeight="1">
      <x:c r="A186" s="8" t="str">
        <x:v>WA-0189</x:v>
      </x:c>
      <x:c r="B186" s="8" t="str">
        <x:v>Proactive Agent</x:v>
      </x:c>
      <x:c r="C186" s="8" t="str">
        <x:v>Proactive Agent: Shifting LLM Agents from Reactive Responses to Active Assistance</x:v>
      </x:c>
      <x:c r="D186" s="9" t="n">
        <x:v>2024</x:v>
      </x:c>
      <x:c r="E186" s="8" t="str">
        <x:v>Tsinghua University; Renmin University of China; Huawei Noah’s Ark Lab; Peng Cheng Laboratory</x:v>
      </x:c>
      <x:c r="F186" s="10" t="str">
        <x:f>VLOOKUP(H186,'Taxonomy'!$A$6:$G$70,3,FALSE)</x:f>
        <x:v>前沿：下一代 Working Agents</x:v>
      </x:c>
      <x:c r="G186" s="10" t="str">
        <x:f>VLOOKUP(H186,'Taxonomy'!$A$6:$G$70,5,FALSE)</x:f>
        <x:v>从被动执行到持续责任</x:v>
      </x:c>
      <x:c r="H186" s="8" t="str">
        <x:v>7.2.2</x:v>
      </x:c>
      <x:c r="I186" s="10" t="str">
        <x:f>VLOOKUP(H186,'Taxonomy'!$A$6:$G$70,6,FALSE)</x:f>
        <x:v>主动与事件驱动工作</x:v>
      </x:c>
      <x:c r="J186" s="8" t="str">
        <x:v>主动触发与时机选择;开放与变化条件</x:v>
      </x:c>
      <x:c r="K186" s="8" t="str">
        <x:v>感知与理解;规划与协调;执行与状态管理</x:v>
      </x:c>
      <x:c r="L186" s="8" t="str">
        <x:v>2.2.1 工作持久性</x:v>
      </x:c>
      <x:c r="M186" s="8" t="str"/>
      <x:c r="N186" s="8" t="str">
        <x:v>Method</x:v>
      </x:c>
      <x:c r="O186" s="11" t="str">
        <x:v>https://arxiv.org/abs/2410.12361</x:v>
      </x:c>
      <x:c r="P186" s="8" t="str">
        <x:v>利用活动信号判断何时主动提供帮助，并评价用户接受情况。</x:v>
      </x:c>
      <x:c r="Q186" s="8" t="str">
        <x:v>给主动触发提供具体机制参照，有助于解释收到提示后的长任务与无新提示的主动协助。</x:v>
      </x:c>
      <x:c r="R186" s="8" t="str">
        <x:v>主动提出建议不等于承担长期工作责任；首发2024、ICLR2025。</x:v>
      </x:c>
      <x:c r="S186" s="8" t="str">
        <x:v>补充</x:v>
      </x:c>
      <x:c r="T186" s="12" t="str">
        <x:v>未分配</x:v>
      </x:c>
      <x:c r="U186" s="12" t="str"/>
      <x:c r="V186" s="12" t="str"/>
      <x:c r="W186" s="12" t="str"/>
      <x:c r="X186" s="8" t="str">
        <x:v>verified</x:v>
      </x:c>
      <x:c r="Y186" s="11" t="str">
        <x:v>https://github.com/thunlp/ProactiveAgent</x:v>
      </x:c>
      <x:c r="Z186" s="11" t="str"/>
      <x:c r="AA186" s="11" t="str">
        <x:v>https://arxiv.org/html/2410.12361v1</x:v>
      </x:c>
      <x:c r="AB186" s="11" t="str">
        <x:v>https://arxiv.org/abs/2410.12361</x:v>
      </x:c>
      <x:c r="AC186" s="8" t="str">
        <x:v>L092</x:v>
      </x:c>
      <x:c r="AD186" s="8" t="str">
        <x:v>文献库已有，2／4未引；官方摘要。</x:v>
      </x:c>
      <x:c r="AE186" s="8" t="str">
        <x:v>2.2持久性边界；第七章主动性。</x:v>
      </x:c>
      <x:c r="AF186" s="8" t="str">
        <x:v>按补充清单 L092 的论证用途归入“主动与事件驱动工作”：给主动触发提供具体机制参照，有助于解释收到提示后的长任务与无新提示的主动协助。</x:v>
      </x:c>
      <x:c r="AG186" s="8" t="str">
        <x:v>persistent</x:v>
      </x:c>
      <x:c r="AH186" s="8" t="str">
        <x:v>Proactive assistance</x:v>
      </x:c>
      <x:c r="AI186" s="8" t="str">
        <x:v>189</x:v>
      </x:c>
      <x:c r="AJ186" s="8" t="str">
        <x:v>survey bibliography;2026-10-16 chapter 2 / former chapter 4 supplement</x:v>
      </x:c>
      <x:c r="AK186" s="13" t="d">
        <x:v>2026-10-16T00:00:00.000Z</x:v>
      </x:c>
      <x:c r="AL186" s="8" t="str">
        <x:v>论文身份与摘要已核验；分类为维护者判断。  附件版本说明：现bib proactiveagent 年份为2025，本条所列版本年份为2024；先区分首发与正式出版，不能直接判定旧年份错误。</x:v>
      </x:c>
      <x:c r="AM186" s="8" t="str">
        <x:v>7.2</x:v>
      </x:c>
    </x:row>
    <x:row r="187" ht="68" customHeight="1">
      <x:c r="A187" s="8" t="str">
        <x:v>WA-0190</x:v>
      </x:c>
      <x:c r="B187" s="8" t="str">
        <x:v>Proactivity-Gym</x:v>
      </x:c>
      <x:c r="C187" s="8" t="str">
        <x:v>Foundations of Proactive Agents: Principles, Technical Layers, and Proactivity-Gym</x:v>
      </x:c>
      <x:c r="D187" s="9" t="n">
        <x:v>2026</x:v>
      </x:c>
      <x:c r="E187" s="8" t="str">
        <x:v>KAIST; University of Minnesota</x:v>
      </x:c>
      <x:c r="F187" s="10" t="str">
        <x:f>VLOOKUP(H187,'Taxonomy'!$A$6:$G$70,3,FALSE)</x:f>
        <x:v>前沿：下一代 Working Agents</x:v>
      </x:c>
      <x:c r="G187" s="10" t="str">
        <x:f>VLOOKUP(H187,'Taxonomy'!$A$6:$G$70,5,FALSE)</x:f>
        <x:v>从被动执行到持续责任</x:v>
      </x:c>
      <x:c r="H187" s="8" t="str">
        <x:v>7.2.2</x:v>
      </x:c>
      <x:c r="I187" s="10" t="str">
        <x:f>VLOOKUP(H187,'Taxonomy'!$A$6:$G$70,6,FALSE)</x:f>
        <x:v>主动与事件驱动工作</x:v>
      </x:c>
      <x:c r="J187" s="8" t="str">
        <x:v>主动触发与时机选择;任务、环境与扰动构造</x:v>
      </x:c>
      <x:c r="K187" s="8" t="str">
        <x:v>感知与理解;规划与协调;执行与状态管理</x:v>
      </x:c>
      <x:c r="L187" s="8" t="str">
        <x:v>6.1.2 领域覆盖与工作要求</x:v>
      </x:c>
      <x:c r="M187" s="8" t="str"/>
      <x:c r="N187" s="8" t="str">
        <x:v>Framework;Benchmark;Survey</x:v>
      </x:c>
      <x:c r="O187" s="11" t="str">
        <x:v>https://arxiv.org/abs/2609.37267</x:v>
      </x:c>
      <x:c r="P187" s="8" t="str">
        <x:v>给出主动代理的原则与技术分层，并提供用于评估主动行为的环境。</x:v>
      </x:c>
      <x:c r="Q187" s="8" t="str"/>
      <x:c r="R187" s="8" t="str"/>
      <x:c r="S187" s="8" t="str"/>
      <x:c r="T187" s="12" t="str">
        <x:v>未分配</x:v>
      </x:c>
      <x:c r="U187" s="12" t="str"/>
      <x:c r="V187" s="12" t="str"/>
      <x:c r="W187" s="12" t="str"/>
      <x:c r="X187" s="8" t="str">
        <x:v>verified</x:v>
      </x:c>
      <x:c r="Y187" s="11" t="str"/>
      <x:c r="Z187" s="11" t="str"/>
      <x:c r="AA187" s="11" t="str">
        <x:v>https://arxiv.org/html/2609.37267v1</x:v>
      </x:c>
      <x:c r="AB187" s="11" t="str">
        <x:v>https://arxiv.org/abs/2609.37267</x:v>
      </x:c>
      <x:c r="AC187" s="8" t="str"/>
      <x:c r="AD187" s="8" t="str"/>
      <x:c r="AE187" s="8" t="str"/>
      <x:c r="AF187" s="8" t="str">
        <x:v>用于“主动与事件驱动工作”：给出主动代理的原则与技术分层，并提供用于评估主动行为的环境。</x:v>
      </x:c>
      <x:c r="AG187" s="8" t="str">
        <x:v>persistent</x:v>
      </x:c>
      <x:c r="AH187" s="8" t="str">
        <x:v>Proactivity principles and evaluation</x:v>
      </x:c>
      <x:c r="AI187" s="8" t="str">
        <x:v>190</x:v>
      </x:c>
      <x:c r="AJ187" s="8" t="str">
        <x:v>survey bibliography</x:v>
      </x:c>
      <x:c r="AK187" s="13" t="d">
        <x:v>2026-10-16T00:00:00.000Z</x:v>
      </x:c>
      <x:c r="AL187" s="8" t="str">
        <x:v>论文身份与摘要已核验；分类为维护者判断。</x:v>
      </x:c>
      <x:c r="AM187" s="8" t="str">
        <x:v>7.2</x:v>
      </x:c>
    </x:row>
    <x:row r="188" ht="68" customHeight="1">
      <x:c r="A188" s="8" t="str">
        <x:v>WA-0191</x:v>
      </x:c>
      <x:c r="B188" s="8" t="str">
        <x:v>VibeLifeBench</x:v>
      </x:c>
      <x:c r="C188" s="8" t="str">
        <x:v>VibeLifeBench: Can Your Life Agent Be Proactive and Persistent in a Living World?</x:v>
      </x:c>
      <x:c r="D188" s="9" t="n">
        <x:v>2026</x:v>
      </x:c>
      <x:c r="E188" s="8" t="str">
        <x:v>Xiaohongshu Dots Studio; Evolvent AI</x:v>
      </x:c>
      <x:c r="F188" s="10" t="str">
        <x:f>VLOOKUP(H188,'Taxonomy'!$A$6:$G$70,3,FALSE)</x:f>
        <x:v>基础：定义、工作条件与核心能力</x:v>
      </x:c>
      <x:c r="G188" s="10" t="str">
        <x:f>VLOOKUP(H188,'Taxonomy'!$A$6:$G$70,5,FALSE)</x:f>
        <x:v>工作条件</x:v>
      </x:c>
      <x:c r="H188" s="8" t="str">
        <x:v>2.2.1</x:v>
      </x:c>
      <x:c r="I188" s="10" t="str">
        <x:f>VLOOKUP(H188,'Taxonomy'!$A$6:$G$70,6,FALSE)</x:f>
        <x:v>工作持久性</x:v>
      </x:c>
      <x:c r="J188" s="8" t="str">
        <x:v>跨请求工作连续性;主动触发与时机选择;上下文与记忆管理</x:v>
      </x:c>
      <x:c r="K188" s="8" t="str">
        <x:v>规划与协调;执行与状态管理</x:v>
      </x:c>
      <x:c r="L188" s="8" t="str">
        <x:v>7.2.2 主动与事件驱动工作;6.1.2 领域覆盖与工作要求</x:v>
      </x:c>
      <x:c r="M188" s="8" t="str"/>
      <x:c r="N188" s="8" t="str">
        <x:v>Benchmark</x:v>
      </x:c>
      <x:c r="O188" s="11" t="str">
        <x:v>https://arxiv.org/abs/2608.10875</x:v>
      </x:c>
      <x:c r="P188" s="8" t="str">
        <x:v>在持续演化的生活环境中评估主动性、长期记忆和持续责任。</x:v>
      </x:c>
      <x:c r="Q188" s="8" t="str">
        <x:v>比单次多步任务更直接支持无需新提示仍需维持计划和及时行动的责任。</x:v>
      </x:c>
      <x:c r="R188" s="8" t="str">
        <x:v>脚本时间线与mock services不是实际长期生活部署。</x:v>
      </x:c>
      <x:c r="S188" s="8" t="str">
        <x:v>核心</x:v>
      </x:c>
      <x:c r="T188" s="12" t="str">
        <x:v>未分配</x:v>
      </x:c>
      <x:c r="U188" s="12" t="str"/>
      <x:c r="V188" s="12" t="str"/>
      <x:c r="W188" s="12" t="str"/>
      <x:c r="X188" s="8" t="str">
        <x:v>verified</x:v>
      </x:c>
      <x:c r="Y188" s="11" t="str"/>
      <x:c r="Z188" s="11" t="str"/>
      <x:c r="AA188" s="11" t="str">
        <x:v>https://arxiv.org/html/2608.10875v1</x:v>
      </x:c>
      <x:c r="AB188" s="11" t="str">
        <x:v>https://arxiv.org/abs/2608.10875</x:v>
      </x:c>
      <x:c r="AC188" s="8" t="str">
        <x:v>L023</x:v>
      </x:c>
      <x:c r="AD188" s="8" t="str">
        <x:v>文献库已有，2／4未引；官方摘要。</x:v>
      </x:c>
      <x:c r="AE188" s="8" t="str">
        <x:v>2.2 persistence直接例子。</x:v>
      </x:c>
      <x:c r="AF188" s="8" t="str">
        <x:v>按补充清单 L023 的论证用途归入“工作持久性”：比单次多步任务更直接支持无需新提示仍需维持计划和及时行动的责任。</x:v>
      </x:c>
      <x:c r="AG188" s="8" t="str">
        <x:v>persistent</x:v>
      </x:c>
      <x:c r="AH188" s="8" t="str">
        <x:v>Persistent life assistance</x:v>
      </x:c>
      <x:c r="AI188" s="8" t="str">
        <x:v>191</x:v>
      </x:c>
      <x:c r="AJ188" s="8" t="str">
        <x:v>survey bibliography;2026-10-16 chapter 2 / former chapter 4 supplement</x:v>
      </x:c>
      <x:c r="AK188" s="13" t="d">
        <x:v>2026-10-16T00:00:00.000Z</x:v>
      </x:c>
      <x:c r="AL188" s="8" t="str">
        <x:v>原README年份2025不符；预印本首发2026年8月。</x:v>
      </x:c>
      <x:c r="AM188" s="8" t="str">
        <x:v>6.1;7.2</x:v>
      </x:c>
    </x:row>
    <x:row r="189" ht="68" customHeight="1">
      <x:c r="A189" s="8" t="str">
        <x:v>WA-0192</x:v>
      </x:c>
      <x:c r="B189" s="8" t="str">
        <x:v>TimeArena</x:v>
      </x:c>
      <x:c r="C189" s="8" t="str">
        <x:v>TimeArena: Shaping Efficient Multitasking Language Agents in a Time-Aware Simulation</x:v>
      </x:c>
      <x:c r="D189" s="9" t="n">
        <x:v>2024</x:v>
      </x:c>
      <x:c r="E189" s="8" t="str">
        <x:v>Fudan University; Allen Institute for AI</x:v>
      </x:c>
      <x:c r="F189" s="10" t="str">
        <x:f>VLOOKUP(H189,'Taxonomy'!$A$6:$G$70,3,FALSE)</x:f>
        <x:v>基础：定义、工作条件与核心能力</x:v>
      </x:c>
      <x:c r="G189" s="10" t="str">
        <x:f>VLOOKUP(H189,'Taxonomy'!$A$6:$G$70,5,FALSE)</x:f>
        <x:v>五项核心能力</x:v>
      </x:c>
      <x:c r="H189" s="8" t="str">
        <x:v>2.3.3</x:v>
      </x:c>
      <x:c r="I189" s="10" t="str">
        <x:f>VLOOKUP(H189,'Taxonomy'!$A$6:$G$70,6,FALSE)</x:f>
        <x:v>规划与协调</x:v>
      </x:c>
      <x:c r="J189" s="8" t="str">
        <x:v>任务分解与行动依赖;异步与并行执行;质量、时间成本与使用价值</x:v>
      </x:c>
      <x:c r="K189" s="8" t="str">
        <x:v>规划与协调;执行与状态管理</x:v>
      </x:c>
      <x:c r="L189" s="8" t="str">
        <x:v>7.2 从被动执行到持续责任;6.3.1 任务成功与成果质量</x:v>
      </x:c>
      <x:c r="M189" s="8" t="str"/>
      <x:c r="N189" s="8" t="str">
        <x:v>Benchmark</x:v>
      </x:c>
      <x:c r="O189" s="11" t="str">
        <x:v>https://arxiv.org/abs/2402.05733</x:v>
      </x:c>
      <x:c r="P189" s="8" t="str">
        <x:v>用带耗时和时间依赖的仿真环境评估代理多任务调度与执行效率。</x:v>
      </x:c>
      <x:c r="Q189" s="8" t="str"/>
      <x:c r="R189" s="8" t="str"/>
      <x:c r="S189" s="8" t="str"/>
      <x:c r="T189" s="12" t="str">
        <x:v>未分配</x:v>
      </x:c>
      <x:c r="U189" s="12" t="str"/>
      <x:c r="V189" s="12" t="str"/>
      <x:c r="W189" s="12" t="str"/>
      <x:c r="X189" s="8" t="str">
        <x:v>verified</x:v>
      </x:c>
      <x:c r="Y189" s="11" t="str"/>
      <x:c r="Z189" s="11" t="str"/>
      <x:c r="AA189" s="11" t="str">
        <x:v>https://arxiv.org/html/2402.05733v1</x:v>
      </x:c>
      <x:c r="AB189" s="11" t="str">
        <x:v>https://arxiv.org/abs/2402.05733</x:v>
      </x:c>
      <x:c r="AC189" s="8" t="str"/>
      <x:c r="AD189" s="8" t="str"/>
      <x:c r="AE189" s="8" t="str"/>
      <x:c r="AF189" s="8" t="str">
        <x:v>用于“规划与协调”：用带耗时和时间依赖的仿真环境评估代理多任务调度与执行效率。</x:v>
      </x:c>
      <x:c r="AG189" s="8" t="str">
        <x:v>persistent</x:v>
      </x:c>
      <x:c r="AH189" s="8" t="str">
        <x:v>Time-aware multitasking</x:v>
      </x:c>
      <x:c r="AI189" s="8" t="str">
        <x:v>192</x:v>
      </x:c>
      <x:c r="AJ189" s="8" t="str">
        <x:v>survey bibliography</x:v>
      </x:c>
      <x:c r="AK189" s="13" t="d">
        <x:v>2026-10-16T00:00:00.000Z</x:v>
      </x:c>
      <x:c r="AL189" s="8" t="str">
        <x:v>论文身份与摘要已核验；分类为维护者判断。</x:v>
      </x:c>
      <x:c r="AM189" s="8" t="str">
        <x:v>4.3;7.2</x:v>
      </x:c>
    </x:row>
    <x:row r="190" ht="68" customHeight="1">
      <x:c r="A190" s="8" t="str">
        <x:v>WA-0193</x:v>
      </x:c>
      <x:c r="B190" s="8" t="str">
        <x:v>AsyncLM</x:v>
      </x:c>
      <x:c r="C190" s="8" t="str">
        <x:v>Asynchronous LLM Function Calling</x:v>
      </x:c>
      <x:c r="D190" s="9" t="n">
        <x:v>2024</x:v>
      </x:c>
      <x:c r="E190" s="8" t="str">
        <x:v>Yale University</x:v>
      </x:c>
      <x:c r="F190" s="10" t="str">
        <x:f>VLOOKUP(H190,'Taxonomy'!$A$6:$G$70,3,FALSE)</x:f>
        <x:v>基础：定义、工作条件与核心能力</x:v>
      </x:c>
      <x:c r="G190" s="10" t="str">
        <x:f>VLOOKUP(H190,'Taxonomy'!$A$6:$G$70,5,FALSE)</x:f>
        <x:v>五项核心能力</x:v>
      </x:c>
      <x:c r="H190" s="8" t="str">
        <x:v>2.3.4</x:v>
      </x:c>
      <x:c r="I190" s="10" t="str">
        <x:f>VLOOKUP(H190,'Taxonomy'!$A$6:$G$70,6,FALSE)</x:f>
        <x:v>执行与状态管理</x:v>
      </x:c>
      <x:c r="J190" s="8" t="str">
        <x:v>异步与并行执行;工具、界面与应用执行</x:v>
      </x:c>
      <x:c r="K190" s="8" t="str">
        <x:v>规划与协调;执行与状态管理</x:v>
      </x:c>
      <x:c r="L190" s="8" t="str">
        <x:v>7.2 从被动执行到持续责任</x:v>
      </x:c>
      <x:c r="M190" s="8" t="str"/>
      <x:c r="N190" s="8" t="str">
        <x:v>Method;Framework</x:v>
      </x:c>
      <x:c r="O190" s="11" t="str">
        <x:v>https://arxiv.org/abs/2412.07017</x:v>
      </x:c>
      <x:c r="P190" s="8" t="str">
        <x:v>让工具并行执行并通过中断回传结果，减少同步函数调用的阻塞开销。</x:v>
      </x:c>
      <x:c r="Q190" s="8" t="str"/>
      <x:c r="R190" s="8" t="str"/>
      <x:c r="S190" s="8" t="str"/>
      <x:c r="T190" s="12" t="str">
        <x:v>未分配</x:v>
      </x:c>
      <x:c r="U190" s="12" t="str"/>
      <x:c r="V190" s="12" t="str"/>
      <x:c r="W190" s="12" t="str"/>
      <x:c r="X190" s="8" t="str">
        <x:v>verified</x:v>
      </x:c>
      <x:c r="Y190" s="11" t="str"/>
      <x:c r="Z190" s="11" t="str"/>
      <x:c r="AA190" s="11" t="str">
        <x:v>https://arxiv.org/html/2412.07017v1</x:v>
      </x:c>
      <x:c r="AB190" s="11" t="str">
        <x:v>https://arxiv.org/abs/2412.07017</x:v>
      </x:c>
      <x:c r="AC190" s="8" t="str"/>
      <x:c r="AD190" s="8" t="str"/>
      <x:c r="AE190" s="8" t="str"/>
      <x:c r="AF190" s="8" t="str">
        <x:v>用于“执行与状态管理”：让工具并行执行并通过中断回传结果，减少同步函数调用的阻塞开销。</x:v>
      </x:c>
      <x:c r="AG190" s="8" t="str">
        <x:v>harness</x:v>
      </x:c>
      <x:c r="AH190" s="8" t="str">
        <x:v>Asynchronous function calls</x:v>
      </x:c>
      <x:c r="AI190" s="8" t="str">
        <x:v>193</x:v>
      </x:c>
      <x:c r="AJ190" s="8" t="str">
        <x:v>survey bibliography</x:v>
      </x:c>
      <x:c r="AK190" s="13" t="d">
        <x:v>2026-10-16T00:00:00.000Z</x:v>
      </x:c>
      <x:c r="AL190" s="8" t="str">
        <x:v>论文身份与摘要已核验；分类为维护者判断。</x:v>
      </x:c>
      <x:c r="AM190" s="8" t="str">
        <x:v>4.4;7.2</x:v>
      </x:c>
    </x:row>
    <x:row r="191" ht="68" customHeight="1">
      <x:c r="A191" s="8" t="str">
        <x:v>WA-0194</x:v>
      </x:c>
      <x:c r="B191" s="8" t="str">
        <x:v>Graph-enhanced Asynchronous Planning</x:v>
      </x:c>
      <x:c r="C191" s="8" t="str">
        <x:v>Graph-enhanced Large Language Models in Asynchronous Plan Reasoning</x:v>
      </x:c>
      <x:c r="D191" s="9" t="n">
        <x:v>2024</x:v>
      </x:c>
      <x:c r="E191" s="8" t="str">
        <x:v>University of Oxford; Alan Turing Institute; Allen Institute for AI; LMU Munich; University of Leeds</x:v>
      </x:c>
      <x:c r="F191" s="10" t="str">
        <x:f>VLOOKUP(H191,'Taxonomy'!$A$6:$G$70,3,FALSE)</x:f>
        <x:v>基础：定义、工作条件与核心能力</x:v>
      </x:c>
      <x:c r="G191" s="10" t="str">
        <x:f>VLOOKUP(H191,'Taxonomy'!$A$6:$G$70,5,FALSE)</x:f>
        <x:v>五项核心能力</x:v>
      </x:c>
      <x:c r="H191" s="8" t="str">
        <x:v>2.3.3</x:v>
      </x:c>
      <x:c r="I191" s="10" t="str">
        <x:f>VLOOKUP(H191,'Taxonomy'!$A$6:$G$70,6,FALSE)</x:f>
        <x:v>规划与协调</x:v>
      </x:c>
      <x:c r="J191" s="8" t="str">
        <x:v>任务分解与行动依赖;异步与并行执行</x:v>
      </x:c>
      <x:c r="K191" s="8" t="str">
        <x:v>推理与决策;规划与协调</x:v>
      </x:c>
      <x:c r="L191" s="8" t="str">
        <x:v>7.2 从被动执行到持续责任</x:v>
      </x:c>
      <x:c r="M191" s="8" t="str"/>
      <x:c r="N191" s="8" t="str">
        <x:v>Method</x:v>
      </x:c>
      <x:c r="O191" s="11" t="str">
        <x:v>https://arxiv.org/abs/2402.02805</x:v>
      </x:c>
      <x:c r="P191" s="8" t="str">
        <x:v>用图结构增强语言模型对可并行、具依赖关系计划的推理与调度。</x:v>
      </x:c>
      <x:c r="Q191" s="8" t="str"/>
      <x:c r="R191" s="8" t="str"/>
      <x:c r="S191" s="8" t="str"/>
      <x:c r="T191" s="12" t="str">
        <x:v>未分配</x:v>
      </x:c>
      <x:c r="U191" s="12" t="str"/>
      <x:c r="V191" s="12" t="str"/>
      <x:c r="W191" s="12" t="str"/>
      <x:c r="X191" s="8" t="str">
        <x:v>verified</x:v>
      </x:c>
      <x:c r="Y191" s="11" t="str"/>
      <x:c r="Z191" s="11" t="str"/>
      <x:c r="AA191" s="11" t="str">
        <x:v>https://arxiv.org/html/2402.02805v1</x:v>
      </x:c>
      <x:c r="AB191" s="11" t="str">
        <x:v>https://arxiv.org/abs/2402.02805</x:v>
      </x:c>
      <x:c r="AC191" s="8" t="str"/>
      <x:c r="AD191" s="8" t="str"/>
      <x:c r="AE191" s="8" t="str"/>
      <x:c r="AF191" s="8" t="str">
        <x:v>用于“规划与协调”：用图结构增强语言模型对可并行、具依赖关系计划的推理与调度。</x:v>
      </x:c>
      <x:c r="AG191" s="8" t="str">
        <x:v>tool-enterprise</x:v>
      </x:c>
      <x:c r="AH191" s="8" t="str">
        <x:v>Asynchronous plan reasoning</x:v>
      </x:c>
      <x:c r="AI191" s="8" t="str">
        <x:v>194</x:v>
      </x:c>
      <x:c r="AJ191" s="8" t="str">
        <x:v>survey bibliography</x:v>
      </x:c>
      <x:c r="AK191" s="13" t="d">
        <x:v>2026-10-16T00:00:00.000Z</x:v>
      </x:c>
      <x:c r="AL191" s="8" t="str">
        <x:v>论文身份与摘要已核验；分类为维护者判断。</x:v>
      </x:c>
      <x:c r="AM191" s="8" t="str">
        <x:v>4.3;7.2</x:v>
      </x:c>
    </x:row>
    <x:row r="192" ht="68" customHeight="1">
      <x:c r="A192" s="8" t="str">
        <x:v>WA-0195</x:v>
      </x:c>
      <x:c r="B192" s="8" t="str">
        <x:v>ExpeL</x:v>
      </x:c>
      <x:c r="C192" s="8" t="str">
        <x:v>ExpeL: LLM Agents Are Experiential Learners</x:v>
      </x:c>
      <x:c r="D192" s="9" t="n">
        <x:v>2023</x:v>
      </x:c>
      <x:c r="E192" s="8" t="str">
        <x:v>Tsinghua University</x:v>
      </x:c>
      <x:c r="F192" s="10" t="str">
        <x:f>VLOOKUP(H192,'Taxonomy'!$A$6:$G$70,3,FALSE)</x:f>
        <x:v>优化：从工作经验到系统能力</x:v>
      </x:c>
      <x:c r="G192" s="10" t="str">
        <x:f>VLOOKUP(H192,'Taxonomy'!$A$6:$G$70,5,FALSE)</x:f>
        <x:v>运行框架优化</x:v>
      </x:c>
      <x:c r="H192" s="8" t="str">
        <x:v>5.3.3</x:v>
      </x:c>
      <x:c r="I192" s="10" t="str">
        <x:f>VLOOKUP(H192,'Taxonomy'!$A$6:$G$70,6,FALSE)</x:f>
        <x:v>记忆与技能优化</x:v>
      </x:c>
      <x:c r="J192" s="8" t="str">
        <x:v>经验记忆与技能优化;上下文与记忆管理;跨任务个性化与自演化</x:v>
      </x:c>
      <x:c r="K192" s="8" t="str">
        <x:v>规划与协调;执行与状态管理</x:v>
      </x:c>
      <x:c r="L192" s="8" t="str">
        <x:v>7.2 从被动执行到持续责任</x:v>
      </x:c>
      <x:c r="M192" s="8" t="str">
        <x:v>记忆与技能优化</x:v>
      </x:c>
      <x:c r="N192" s="8" t="str">
        <x:v>Method</x:v>
      </x:c>
      <x:c r="O192" s="11" t="str">
        <x:v>https://arxiv.org/abs/2308.10144</x:v>
      </x:c>
      <x:c r="P192" s="8" t="str">
        <x:v>从成功和失败轨迹提炼自然语言经验，并在新任务中检索使用，无需更新模型参数。</x:v>
      </x:c>
      <x:c r="Q192" s="8" t="str"/>
      <x:c r="R192" s="8" t="str"/>
      <x:c r="S192" s="8" t="str"/>
      <x:c r="T192" s="12" t="str">
        <x:v>未分配</x:v>
      </x:c>
      <x:c r="U192" s="12" t="str"/>
      <x:c r="V192" s="12" t="str"/>
      <x:c r="W192" s="12" t="str"/>
      <x:c r="X192" s="8" t="str">
        <x:v>verified</x:v>
      </x:c>
      <x:c r="Y192" s="11" t="str"/>
      <x:c r="Z192" s="11" t="str"/>
      <x:c r="AA192" s="11" t="str">
        <x:v>https://arxiv.org/html/2308.10144v1</x:v>
      </x:c>
      <x:c r="AB192" s="11" t="str">
        <x:v>https://arxiv.org/abs/2308.10144</x:v>
      </x:c>
      <x:c r="AC192" s="8" t="str"/>
      <x:c r="AD192" s="8" t="str"/>
      <x:c r="AE192" s="8" t="str"/>
      <x:c r="AF192" s="8" t="str">
        <x:v>用于“记忆与技能优化”：从成功和失败轨迹提炼自然语言经验，并在新任务中检索使用，无需更新模型参数。</x:v>
      </x:c>
      <x:c r="AG192" s="8" t="str">
        <x:v>persistent</x:v>
      </x:c>
      <x:c r="AH192" s="8" t="str">
        <x:v>Experiential memory learning</x:v>
      </x:c>
      <x:c r="AI192" s="8" t="str">
        <x:v>195</x:v>
      </x:c>
      <x:c r="AJ192" s="8" t="str">
        <x:v>survey bibliography</x:v>
      </x:c>
      <x:c r="AK192" s="13" t="d">
        <x:v>2026-10-16T00:00:00.000Z</x:v>
      </x:c>
      <x:c r="AL192" s="8" t="str">
        <x:v>论文身份与摘要已核验；分类为维护者判断。</x:v>
      </x:c>
      <x:c r="AM192" s="8" t="str">
        <x:v>5.3;7.2</x:v>
      </x:c>
    </x:row>
    <x:row r="193" ht="68" customHeight="1">
      <x:c r="A193" s="8" t="str">
        <x:v>WA-0196</x:v>
      </x:c>
      <x:c r="B193" s="8" t="str">
        <x:v>Voyager</x:v>
      </x:c>
      <x:c r="C193" s="8" t="str">
        <x:v>Voyager: An Open-Ended Embodied Agent with Large Language Models</x:v>
      </x:c>
      <x:c r="D193" s="9" t="n">
        <x:v>2023</x:v>
      </x:c>
      <x:c r="E193" s="8" t="str">
        <x:v>Caltech; University of Texas at Austin; Arizona State University; NVIDIA; Stanford University</x:v>
      </x:c>
      <x:c r="F193" s="10" t="str">
        <x:f>VLOOKUP(H193,'Taxonomy'!$A$6:$G$70,3,FALSE)</x:f>
        <x:v>优化：从工作经验到系统能力</x:v>
      </x:c>
      <x:c r="G193" s="10" t="str">
        <x:f>VLOOKUP(H193,'Taxonomy'!$A$6:$G$70,5,FALSE)</x:f>
        <x:v>运行框架优化</x:v>
      </x:c>
      <x:c r="H193" s="8" t="str">
        <x:v>5.3.3</x:v>
      </x:c>
      <x:c r="I193" s="10" t="str">
        <x:f>VLOOKUP(H193,'Taxonomy'!$A$6:$G$70,6,FALSE)</x:f>
        <x:v>记忆与技能优化</x:v>
      </x:c>
      <x:c r="J193" s="8" t="str">
        <x:v>经验记忆与技能优化;跨任务个性化与自演化;开放与变化条件</x:v>
      </x:c>
      <x:c r="K193" s="8" t="str">
        <x:v>规划与协调;执行与状态管理</x:v>
      </x:c>
      <x:c r="L193" s="8" t="str">
        <x:v>7.2 从被动执行到持续责任</x:v>
      </x:c>
      <x:c r="M193" s="8" t="str">
        <x:v>记忆与技能优化</x:v>
      </x:c>
      <x:c r="N193" s="8" t="str">
        <x:v>Method</x:v>
      </x:c>
      <x:c r="O193" s="11" t="str">
        <x:v>https://arxiv.org/abs/2305.16291</x:v>
      </x:c>
      <x:c r="P193" s="8" t="str">
        <x:v>在Minecraft中持续探索、验证并积累可执行技能，展示开放环境下的终身学习。</x:v>
      </x:c>
      <x:c r="Q193" s="8" t="str"/>
      <x:c r="R193" s="8" t="str"/>
      <x:c r="S193" s="8" t="str"/>
      <x:c r="T193" s="12" t="str">
        <x:v>未分配</x:v>
      </x:c>
      <x:c r="U193" s="12" t="str"/>
      <x:c r="V193" s="12" t="str"/>
      <x:c r="W193" s="12" t="str"/>
      <x:c r="X193" s="8" t="str">
        <x:v>verified</x:v>
      </x:c>
      <x:c r="Y193" s="11" t="str"/>
      <x:c r="Z193" s="11" t="str"/>
      <x:c r="AA193" s="11" t="str">
        <x:v>https://arxiv.org/html/2305.16291v1</x:v>
      </x:c>
      <x:c r="AB193" s="11" t="str">
        <x:v>https://arxiv.org/abs/2305.16291</x:v>
      </x:c>
      <x:c r="AC193" s="8" t="str"/>
      <x:c r="AD193" s="8" t="str"/>
      <x:c r="AE193" s="8" t="str"/>
      <x:c r="AF193" s="8" t="str">
        <x:v>用于“记忆与技能优化”：在Minecraft中持续探索、验证并积累可执行技能，展示开放环境下的终身学习。 Minecraft 是开放技能积累的机制参照，不能当作职业工作完成实证。</x:v>
      </x:c>
      <x:c r="AG193" s="8" t="str">
        <x:v>persistent</x:v>
      </x:c>
      <x:c r="AH193" s="8" t="str">
        <x:v>Open-ended skill accumulation</x:v>
      </x:c>
      <x:c r="AI193" s="8" t="str">
        <x:v>196</x:v>
      </x:c>
      <x:c r="AJ193" s="8" t="str">
        <x:v>survey bibliography</x:v>
      </x:c>
      <x:c r="AK193" s="13" t="d">
        <x:v>2026-10-16T00:00:00.000Z</x:v>
      </x:c>
      <x:c r="AL193" s="8" t="str">
        <x:v>Minecraft为相邻开放环境，非办公工作直接评测。</x:v>
      </x:c>
      <x:c r="AM193" s="8" t="str">
        <x:v>5.3;7.2</x:v>
      </x:c>
    </x:row>
    <x:row r="194" ht="68" customHeight="1">
      <x:c r="A194" s="8" t="str">
        <x:v>WA-0197</x:v>
      </x:c>
      <x:c r="B194" s="8" t="str">
        <x:v>PAST-Bench / Hermes+</x:v>
      </x:c>
      <x:c r="C194" s="8" t="str">
        <x:v>PAST-Bench: Benchmarking the Foundations of Recursive Self-Improvement in Personal Agents</x:v>
      </x:c>
      <x:c r="D194" s="9" t="n">
        <x:v>2026</x:v>
      </x:c>
      <x:c r="E194" s="8" t="str">
        <x:v>Pending verification</x:v>
      </x:c>
      <x:c r="F194" s="10" t="str">
        <x:f>VLOOKUP(H194,'Taxonomy'!$A$6:$G$70,3,FALSE)</x:f>
        <x:v>前沿：下一代 Working Agents</x:v>
      </x:c>
      <x:c r="G194" s="10" t="str">
        <x:f>VLOOKUP(H194,'Taxonomy'!$A$6:$G$70,5,FALSE)</x:f>
        <x:v>从被动执行到持续责任</x:v>
      </x:c>
      <x:c r="H194" s="8" t="str">
        <x:v>7.2.3</x:v>
      </x:c>
      <x:c r="I194" s="10" t="str">
        <x:f>VLOOKUP(H194,'Taxonomy'!$A$6:$G$70,6,FALSE)</x:f>
        <x:v>持续个性化与自我演化</x:v>
      </x:c>
      <x:c r="J194" s="8" t="str">
        <x:v>跨任务个性化与自演化;上下文与记忆管理;答案、产物、状态与过程证据</x:v>
      </x:c>
      <x:c r="K194" s="8" t="str">
        <x:v>执行与状态管理;验证、恢复与重新规划</x:v>
      </x:c>
      <x:c r="L194" s="8" t="str">
        <x:v>5.3 运行框架优化;6.2.1 评估目标与可观察证据</x:v>
      </x:c>
      <x:c r="M194" s="8" t="str"/>
      <x:c r="N194" s="8" t="str">
        <x:v>Benchmark;Method</x:v>
      </x:c>
      <x:c r="O194" s="11" t="str">
        <x:v>https://arxiv.org/abs/2608.04003</x:v>
      </x:c>
      <x:c r="P194" s="8" t="str">
        <x:v>以有无保留经验的配对跨会话任务检验真实改进，并检查存储、检索、更新路径。</x:v>
      </x:c>
      <x:c r="Q194" s="8" t="str"/>
      <x:c r="R194" s="8" t="str"/>
      <x:c r="S194" s="8" t="str"/>
      <x:c r="T194" s="12" t="str">
        <x:v>未分配</x:v>
      </x:c>
      <x:c r="U194" s="12" t="str"/>
      <x:c r="V194" s="12" t="str"/>
      <x:c r="W194" s="12" t="str"/>
      <x:c r="X194" s="8" t="str">
        <x:v>metadata-only</x:v>
      </x:c>
      <x:c r="Y194" s="11" t="str">
        <x:v>https://github.com/Gen-Verse/PAST-Bench</x:v>
      </x:c>
      <x:c r="Z194" s="11" t="str"/>
      <x:c r="AA194" s="11" t="str"/>
      <x:c r="AB194" s="11" t="str">
        <x:v>https://arxiv.org/abs/2608.04003</x:v>
      </x:c>
      <x:c r="AC194" s="8" t="str"/>
      <x:c r="AD194" s="8" t="str"/>
      <x:c r="AE194" s="8" t="str"/>
      <x:c r="AF194" s="8" t="str">
        <x:v>用于“持续个性化与自我演化”：以有无保留经验的配对跨会话任务检验真实改进，并检查存储、检索、更新路径。</x:v>
      </x:c>
      <x:c r="AG194" s="8" t="str">
        <x:v>persistent</x:v>
      </x:c>
      <x:c r="AH194" s="8" t="str">
        <x:v>Cross-session self-improvement</x:v>
      </x:c>
      <x:c r="AI194" s="8" t="str">
        <x:v>197</x:v>
      </x:c>
      <x:c r="AJ194" s="8" t="str">
        <x:v>survey bibliography</x:v>
      </x:c>
      <x:c r="AK194" s="13" t="d">
        <x:v>2026-10-16T00:00:00.000Z</x:v>
      </x:c>
      <x:c r="AL194" s="8" t="str">
        <x:v>论文身份与机制已核验；PDF首页未列机构，不依据作者当前履历推断单位。</x:v>
      </x:c>
      <x:c r="AM194" s="8" t="str">
        <x:v>5.3;7.2</x:v>
      </x:c>
    </x:row>
    <x:row r="195" ht="68" customHeight="1">
      <x:c r="A195" s="8" t="str">
        <x:v>WA-0198</x:v>
      </x:c>
      <x:c r="B195" s="8" t="str">
        <x:v>Gradient Episodic Memory</x:v>
      </x:c>
      <x:c r="C195" s="8" t="str">
        <x:v>Gradient Episodic Memory for Continual Learning</x:v>
      </x:c>
      <x:c r="D195" s="9" t="n">
        <x:v>2017</x:v>
      </x:c>
      <x:c r="E195" s="8" t="str">
        <x:v>Facebook AI Research</x:v>
      </x:c>
      <x:c r="F195" s="10" t="str">
        <x:f>VLOOKUP(H195,'Taxonomy'!$A$6:$G$70,3,FALSE)</x:f>
        <x:v>前沿：下一代 Working Agents</x:v>
      </x:c>
      <x:c r="G195" s="10" t="str">
        <x:f>VLOOKUP(H195,'Taxonomy'!$A$6:$G$70,5,FALSE)</x:f>
        <x:v>从被动执行到持续责任</x:v>
      </x:c>
      <x:c r="H195" s="8" t="str">
        <x:v>7.2.3</x:v>
      </x:c>
      <x:c r="I195" s="10" t="str">
        <x:f>VLOOKUP(H195,'Taxonomy'!$A$6:$G$70,6,FALSE)</x:f>
        <x:v>持续个性化与自我演化</x:v>
      </x:c>
      <x:c r="J195" s="8" t="str">
        <x:v>模型参数学习;跨任务个性化与自演化;上下文与记忆管理</x:v>
      </x:c>
      <x:c r="K195" s="8" t="str"/>
      <x:c r="L195" s="8" t="str">
        <x:v>5.3 运行框架优化</x:v>
      </x:c>
      <x:c r="M195" s="8" t="str"/>
      <x:c r="N195" s="8" t="str">
        <x:v>Method;Background</x:v>
      </x:c>
      <x:c r="O195" s="11" t="str">
        <x:v>https://arxiv.org/abs/1706.08840</x:v>
      </x:c>
      <x:c r="P195" s="8" t="str">
        <x:v>通过情景记忆约束参数更新以缓解灾难性遗忘，为持续学习提供经典基础。</x:v>
      </x:c>
      <x:c r="Q195" s="8" t="str"/>
      <x:c r="R195" s="8" t="str"/>
      <x:c r="S195" s="8" t="str"/>
      <x:c r="T195" s="12" t="str">
        <x:v>未分配</x:v>
      </x:c>
      <x:c r="U195" s="12" t="str"/>
      <x:c r="V195" s="12" t="str"/>
      <x:c r="W195" s="12" t="str"/>
      <x:c r="X195" s="8" t="str">
        <x:v>verified</x:v>
      </x:c>
      <x:c r="Y195" s="11" t="str"/>
      <x:c r="Z195" s="11" t="str"/>
      <x:c r="AA195" s="11" t="str">
        <x:v>https://arxiv.org/html/1706.08840v1</x:v>
      </x:c>
      <x:c r="AB195" s="11" t="str">
        <x:v>https://arxiv.org/abs/1706.08840</x:v>
      </x:c>
      <x:c r="AC195" s="8" t="str"/>
      <x:c r="AD195" s="8" t="str"/>
      <x:c r="AE195" s="8" t="str"/>
      <x:c r="AF195" s="8" t="str">
        <x:v>用于“持续个性化与自我演化”：通过情景记忆约束参数更新以缓解灾难性遗忘，为持续学习提供经典基础。</x:v>
      </x:c>
      <x:c r="AG195" s="8" t="str">
        <x:v>related</x:v>
      </x:c>
      <x:c r="AH195" s="8" t="str">
        <x:v>Continual-learning foundations</x:v>
      </x:c>
      <x:c r="AI195" s="8" t="str">
        <x:v>198</x:v>
      </x:c>
      <x:c r="AJ195" s="8" t="str">
        <x:v>survey bibliography</x:v>
      </x:c>
      <x:c r="AK195" s="13" t="d">
        <x:v>2026-10-16T00:00:00.000Z</x:v>
      </x:c>
      <x:c r="AL195" s="8" t="str">
        <x:v>持续学习基础论文，非数字工作代理。</x:v>
      </x:c>
      <x:c r="AM195" s="8" t="str">
        <x:v>5.3;7.2</x:v>
      </x:c>
    </x:row>
    <x:row r="196" ht="68" customHeight="1">
      <x:c r="A196" s="8" t="str">
        <x:v>WA-0199</x:v>
      </x:c>
      <x:c r="B196" s="8" t="str">
        <x:v>Auditing Financial Agent Self-Evolution</x:v>
      </x:c>
      <x:c r="C196" s="8" t="str">
        <x:v>Auditing Self-Evolution in Financial Agents: Capability Gains, Security Drift, and Execution-Interface Mismatch</x:v>
      </x:c>
      <x:c r="D196" s="9" t="n">
        <x:v>2026</x:v>
      </x:c>
      <x:c r="E196" s="8" t="str">
        <x:v>Independent Researcher</x:v>
      </x:c>
      <x:c r="F196" s="10" t="str">
        <x:f>VLOOKUP(H196,'Taxonomy'!$A$6:$G$70,3,FALSE)</x:f>
        <x:v>前沿：下一代 Working Agents</x:v>
      </x:c>
      <x:c r="G196" s="10" t="str">
        <x:f>VLOOKUP(H196,'Taxonomy'!$A$6:$G$70,5,FALSE)</x:f>
        <x:v>从被动执行到持续责任</x:v>
      </x:c>
      <x:c r="H196" s="8" t="str">
        <x:v>7.2.3</x:v>
      </x:c>
      <x:c r="I196" s="10" t="str">
        <x:f>VLOOKUP(H196,'Taxonomy'!$A$6:$G$70,6,FALSE)</x:f>
        <x:v>持续个性化与自我演化</x:v>
      </x:c>
      <x:c r="J196" s="8" t="str">
        <x:v>跨任务个性化与自演化;安全、隐私与授权边界;验证证据的有效性</x:v>
      </x:c>
      <x:c r="K196" s="8" t="str">
        <x:v>执行与状态管理;验证、恢复与重新规划</x:v>
      </x:c>
      <x:c r="L196" s="8" t="str">
        <x:v>7.4 以工作为中心的系统</x:v>
      </x:c>
      <x:c r="M196" s="8" t="str"/>
      <x:c r="N196" s="8" t="str">
        <x:v>Benchmark;Background</x:v>
      </x:c>
      <x:c r="O196" s="11" t="str">
        <x:v>https://arxiv.org/abs/2608.17684</x:v>
      </x:c>
      <x:c r="P196" s="8" t="str">
        <x:v>联合审计金融代理自我演化中的能力收益、安全漂移和执行接口错配。</x:v>
      </x:c>
      <x:c r="Q196" s="8" t="str"/>
      <x:c r="R196" s="8" t="str"/>
      <x:c r="S196" s="8" t="str"/>
      <x:c r="T196" s="12" t="str">
        <x:v>未分配</x:v>
      </x:c>
      <x:c r="U196" s="12" t="str"/>
      <x:c r="V196" s="12" t="str"/>
      <x:c r="W196" s="12" t="str"/>
      <x:c r="X196" s="8" t="str">
        <x:v>verified</x:v>
      </x:c>
      <x:c r="Y196" s="11" t="str"/>
      <x:c r="Z196" s="11" t="str"/>
      <x:c r="AA196" s="11" t="str">
        <x:v>https://arxiv.org/html/2608.17684v1</x:v>
      </x:c>
      <x:c r="AB196" s="11" t="str">
        <x:v>https://arxiv.org/abs/2608.17684</x:v>
      </x:c>
      <x:c r="AC196" s="8" t="str"/>
      <x:c r="AD196" s="8" t="str"/>
      <x:c r="AE196" s="8" t="str"/>
      <x:c r="AF196" s="8" t="str">
        <x:v>用于“持续个性化与自我演化”：联合审计金融代理自我演化中的能力收益、安全漂移和执行接口错配。</x:v>
      </x:c>
      <x:c r="AG196" s="8" t="str">
        <x:v>safety</x:v>
      </x:c>
      <x:c r="AH196" s="8" t="str">
        <x:v>Security drift during adaptation</x:v>
      </x:c>
      <x:c r="AI196" s="8" t="str">
        <x:v>199</x:v>
      </x:c>
      <x:c r="AJ196" s="8" t="str">
        <x:v>survey bibliography</x:v>
      </x:c>
      <x:c r="AK196" s="13" t="d">
        <x:v>2026-10-16T00:00:00.000Z</x:v>
      </x:c>
      <x:c r="AL196" s="8" t="str">
        <x:v>论文身份与摘要已核验；分类为维护者判断。</x:v>
      </x:c>
      <x:c r="AM196" s="8" t="str">
        <x:v>7.2;7.4</x:v>
      </x:c>
    </x:row>
    <x:row r="197" ht="68" customHeight="1">
      <x:c r="A197" s="8" t="str">
        <x:v>WA-0200</x:v>
      </x:c>
      <x:c r="B197" s="8" t="str">
        <x:v>Self-Preference in LLM Evaluators</x:v>
      </x:c>
      <x:c r="C197" s="8" t="str">
        <x:v>LLM Evaluators Recognize and Favor Their Own Generations</x:v>
      </x:c>
      <x:c r="D197" s="9" t="n">
        <x:v>2024</x:v>
      </x:c>
      <x:c r="E197" s="8" t="str">
        <x:v>MATS; New York University; Anthropic</x:v>
      </x:c>
      <x:c r="F197" s="10" t="str">
        <x:f>VLOOKUP(H197,'Taxonomy'!$A$6:$G$70,3,FALSE)</x:f>
        <x:v>评估与资源：如何检验工作完成</x:v>
      </x:c>
      <x:c r="G197" s="10" t="str">
        <x:f>VLOOKUP(H197,'Taxonomy'!$A$6:$G$70,5,FALSE)</x:f>
        <x:v>评估方法</x:v>
      </x:c>
      <x:c r="H197" s="8" t="str">
        <x:v>6.2.2</x:v>
      </x:c>
      <x:c r="I197" s="10" t="str">
        <x:f>VLOOKUP(H197,'Taxonomy'!$A$6:$G$70,6,FALSE)</x:f>
        <x:v>评判程序</x:v>
      </x:c>
      <x:c r="J197" s="8" t="str">
        <x:v>标准、量规与裁判;验证证据的有效性</x:v>
      </x:c>
      <x:c r="K197" s="8" t="str">
        <x:v>验证、恢复与重新规划</x:v>
      </x:c>
      <x:c r="L197" s="8" t="str">
        <x:v>6.3 结果对齐指标;7.3 从专业质量到使用价值</x:v>
      </x:c>
      <x:c r="M197" s="8" t="str"/>
      <x:c r="N197" s="8" t="str">
        <x:v>Background</x:v>
      </x:c>
      <x:c r="O197" s="11" t="str">
        <x:v>https://arxiv.org/abs/2404.13076</x:v>
      </x:c>
      <x:c r="P197" s="8" t="str">
        <x:v>实验证明模型裁判能够识别并偏好自身生成，提醒避免把裁判分数直接视为独立质量证据。</x:v>
      </x:c>
      <x:c r="Q197" s="8" t="str"/>
      <x:c r="R197" s="8" t="str"/>
      <x:c r="S197" s="8" t="str"/>
      <x:c r="T197" s="12" t="str">
        <x:v>未分配</x:v>
      </x:c>
      <x:c r="U197" s="12" t="str"/>
      <x:c r="V197" s="12" t="str"/>
      <x:c r="W197" s="12" t="str"/>
      <x:c r="X197" s="8" t="str">
        <x:v>verified</x:v>
      </x:c>
      <x:c r="Y197" s="11" t="str"/>
      <x:c r="Z197" s="11" t="str"/>
      <x:c r="AA197" s="11" t="str">
        <x:v>https://arxiv.org/html/2404.13076v1</x:v>
      </x:c>
      <x:c r="AB197" s="11" t="str">
        <x:v>https://arxiv.org/abs/2404.13076</x:v>
      </x:c>
      <x:c r="AC197" s="8" t="str"/>
      <x:c r="AD197" s="8" t="str"/>
      <x:c r="AE197" s="8" t="str"/>
      <x:c r="AF197" s="8" t="str">
        <x:v>用于“评判程序”：实验证明模型裁判能够识别并偏好自身生成，提醒避免把裁判分数直接视为独立质量证据。</x:v>
      </x:c>
      <x:c r="AG197" s="8" t="str">
        <x:v>verification</x:v>
      </x:c>
      <x:c r="AH197" s="8" t="str">
        <x:v>Judge self-preference bias</x:v>
      </x:c>
      <x:c r="AI197" s="8" t="str">
        <x:v>200</x:v>
      </x:c>
      <x:c r="AJ197" s="8" t="str">
        <x:v>survey bibliography</x:v>
      </x:c>
      <x:c r="AK197" s="13" t="d">
        <x:v>2026-10-16T00:00:00.000Z</x:v>
      </x:c>
      <x:c r="AL197" s="8" t="str">
        <x:v>论文身份与摘要已核验；分类为维护者判断。</x:v>
      </x:c>
      <x:c r="AM197" s="8" t="str">
        <x:v>6.3;7.3</x:v>
      </x:c>
    </x:row>
    <x:row r="198" ht="68" customHeight="1">
      <x:c r="A198" s="8" t="str">
        <x:v>WA-0201</x:v>
      </x:c>
      <x:c r="B198" s="8" t="str">
        <x:v>Great Models Think Alike</x:v>
      </x:c>
      <x:c r="C198" s="8" t="str">
        <x:v>Great Models Think Alike and this Undermines AI Oversight</x:v>
      </x:c>
      <x:c r="D198" s="9" t="n">
        <x:v>2025</x:v>
      </x:c>
      <x:c r="E198" s="8" t="str">
        <x:v>ELLIS Institute Tübingen; Max Planck Institute for Intelligent Systems; Tübingen AI Center; University of Tübingen; IIIT Hyderabad; Contextual AI; Stanford University</x:v>
      </x:c>
      <x:c r="F198" s="10" t="str">
        <x:f>VLOOKUP(H198,'Taxonomy'!$A$6:$G$70,3,FALSE)</x:f>
        <x:v>前沿：下一代 Working Agents</x:v>
      </x:c>
      <x:c r="G198" s="10" t="str">
        <x:f>VLOOKUP(H198,'Taxonomy'!$A$6:$G$70,5,FALSE)</x:f>
        <x:v>从专业质量到使用价值</x:v>
      </x:c>
      <x:c r="H198" s="8" t="str">
        <x:v>7.3.2</x:v>
      </x:c>
      <x:c r="I198" s="10" t="str">
        <x:f>VLOOKUP(H198,'Taxonomy'!$A$6:$G$70,6,FALSE)</x:f>
        <x:v>可泛化与自适应验证</x:v>
      </x:c>
      <x:c r="J198" s="8" t="str">
        <x:v>验证证据的有效性;标准、量规与裁判</x:v>
      </x:c>
      <x:c r="K198" s="8" t="str">
        <x:v>验证、恢复与重新规划</x:v>
      </x:c>
      <x:c r="L198" s="8" t="str">
        <x:v>6.3 结果对齐指标</x:v>
      </x:c>
      <x:c r="M198" s="8" t="str"/>
      <x:c r="N198" s="8" t="str">
        <x:v>Background</x:v>
      </x:c>
      <x:c r="O198" s="11" t="str">
        <x:v>https://arxiv.org/abs/2502.04313</x:v>
      </x:c>
      <x:c r="P198" s="8" t="str">
        <x:v>用模型错误重合度分析裁判偏好与弱到强监督，揭示相关性失败对自动监督的影响。</x:v>
      </x:c>
      <x:c r="Q198" s="8" t="str"/>
      <x:c r="R198" s="8" t="str"/>
      <x:c r="S198" s="8" t="str"/>
      <x:c r="T198" s="12" t="str">
        <x:v>未分配</x:v>
      </x:c>
      <x:c r="U198" s="12" t="str"/>
      <x:c r="V198" s="12" t="str"/>
      <x:c r="W198" s="12" t="str"/>
      <x:c r="X198" s="8" t="str">
        <x:v>verified</x:v>
      </x:c>
      <x:c r="Y198" s="11" t="str">
        <x:v>https://github.com/model-similarity/lm-similarity</x:v>
      </x:c>
      <x:c r="Z198" s="11" t="str"/>
      <x:c r="AA198" s="11" t="str">
        <x:v>https://arxiv.org/html/2502.04313v1</x:v>
      </x:c>
      <x:c r="AB198" s="11" t="str">
        <x:v>https://arxiv.org/abs/2502.04313</x:v>
      </x:c>
      <x:c r="AC198" s="8" t="str"/>
      <x:c r="AD198" s="8" t="str"/>
      <x:c r="AE198" s="8" t="str"/>
      <x:c r="AF198" s="8" t="str">
        <x:v>用于“可泛化与自适应验证”：用模型错误重合度分析裁判偏好与弱到强监督，揭示相关性失败对自动监督的影响。</x:v>
      </x:c>
      <x:c r="AG198" s="8" t="str">
        <x:v>verification</x:v>
      </x:c>
      <x:c r="AH198" s="8" t="str">
        <x:v>Correlated errors in oversight</x:v>
      </x:c>
      <x:c r="AI198" s="8" t="str">
        <x:v>201</x:v>
      </x:c>
      <x:c r="AJ198" s="8" t="str">
        <x:v>survey bibliography</x:v>
      </x:c>
      <x:c r="AK198" s="13" t="d">
        <x:v>2026-10-16T00:00:00.000Z</x:v>
      </x:c>
      <x:c r="AL198" s="8" t="str">
        <x:v>论文身份与摘要已核验；分类为维护者判断。</x:v>
      </x:c>
      <x:c r="AM198" s="8" t="str">
        <x:v>6.3;7.3</x:v>
      </x:c>
    </x:row>
    <x:row r="199" ht="68" customHeight="1">
      <x:c r="A199" s="8" t="str">
        <x:v>WA-0202</x:v>
      </x:c>
      <x:c r="B199" s="8" t="str">
        <x:v>StateGuard</x:v>
      </x:c>
      <x:c r="C199" s="8" t="str">
        <x:v>StateGuard: Analytical-State Management with Validity-Aware Intervention for Long-Horizon Data Agents</x:v>
      </x:c>
      <x:c r="D199" s="9" t="n">
        <x:v>2026</x:v>
      </x:c>
      <x:c r="E199" s="8" t="str">
        <x:v>Renmin University of China</x:v>
      </x:c>
      <x:c r="F199" s="10" t="str">
        <x:f>VLOOKUP(H199,'Taxonomy'!$A$6:$G$70,3,FALSE)</x:f>
        <x:v>基础：定义、工作条件与核心能力</x:v>
      </x:c>
      <x:c r="G199" s="10" t="str">
        <x:f>VLOOKUP(H199,'Taxonomy'!$A$6:$G$70,5,FALSE)</x:f>
        <x:v>五项核心能力</x:v>
      </x:c>
      <x:c r="H199" s="8" t="str">
        <x:v>2.3.4</x:v>
      </x:c>
      <x:c r="I199" s="10" t="str">
        <x:f>VLOOKUP(H199,'Taxonomy'!$A$6:$G$70,6,FALSE)</x:f>
        <x:v>执行与状态管理</x:v>
      </x:c>
      <x:c r="J199" s="8" t="str">
        <x:v>当前状态与版本有效性;失败定位与根因诊断;回滚、补偿与路径调整</x:v>
      </x:c>
      <x:c r="K199" s="8" t="str">
        <x:v>执行与状态管理;验证、恢复与重新规划</x:v>
      </x:c>
      <x:c r="L199" s="8" t="str">
        <x:v>2.3.5 验证、恢复与重新规划;7.2 从被动执行到持续责任;2.2.1 工作持久性;5.3.1 接口与工具优化</x:v>
      </x:c>
      <x:c r="M199" s="8" t="str"/>
      <x:c r="N199" s="8" t="str">
        <x:v>Method</x:v>
      </x:c>
      <x:c r="O199" s="11" t="str">
        <x:v>https://arxiv.org/abs/2609.34134</x:v>
      </x:c>
      <x:c r="P199" s="8" t="str">
        <x:v>显式维护约束、版本化变量、中间结论及关系，依据有效性检查采取分层干预。</x:v>
      </x:c>
      <x:c r="Q199" s="8" t="str">
        <x:v>填补“记得过去”到“知道什么结果仍然有效”的推理环节，适合长程分析工作。</x:v>
      </x:c>
      <x:c r="R199" s="8" t="str">
        <x:v>新近数据分析方法，当前核查到官方摘要；进入正文前宜进一步读状态图构建和干预实验。</x:v>
      </x:c>
      <x:c r="S199" s="8" t="str">
        <x:v>候选</x:v>
      </x:c>
      <x:c r="T199" s="12" t="str">
        <x:v>未分配</x:v>
      </x:c>
      <x:c r="U199" s="12" t="str"/>
      <x:c r="V199" s="12" t="str"/>
      <x:c r="W199" s="12" t="str"/>
      <x:c r="X199" s="8" t="str">
        <x:v>verified</x:v>
      </x:c>
      <x:c r="Y199" s="11" t="str"/>
      <x:c r="Z199" s="11" t="str"/>
      <x:c r="AA199" s="11" t="str">
        <x:v>https://arxiv.org/html/2609.34134v1</x:v>
      </x:c>
      <x:c r="AB199" s="11" t="str">
        <x:v>https://arxiv.org/abs/2609.34134</x:v>
      </x:c>
      <x:c r="AC199" s="8" t="str">
        <x:v>L111</x:v>
      </x:c>
      <x:c r="AD199" s="8" t="str">
        <x:v>文献库已有，2／4未引；官方摘要。</x:v>
      </x:c>
      <x:c r="AE199" s="8" t="str">
        <x:v>2.3状态有效性；5改进方法。</x:v>
      </x:c>
      <x:c r="AF199" s="8" t="str">
        <x:v>按补充清单 L111 的论证用途归入“执行与状态管理”：填补“记得过去”到“知道什么结果仍然有效”的推理环节，适合长程分析工作。</x:v>
      </x:c>
      <x:c r="AG199" s="8" t="str">
        <x:v>persistent</x:v>
      </x:c>
      <x:c r="AH199" s="8" t="str">
        <x:v>Validity-aware analytical state</x:v>
      </x:c>
      <x:c r="AI199" s="8" t="str">
        <x:v>202</x:v>
      </x:c>
      <x:c r="AJ199" s="8" t="str">
        <x:v>survey bibliography;2026-10-16 chapter 2 / former chapter 4 supplement</x:v>
      </x:c>
      <x:c r="AK199" s="13" t="d">
        <x:v>2026-10-16T00:00:00.000Z</x:v>
      </x:c>
      <x:c r="AL199" s="8" t="str">
        <x:v>论文身份与摘要已核验；分类为维护者判断。</x:v>
      </x:c>
      <x:c r="AM199" s="8" t="str">
        <x:v>4.4;4.5;7.2</x:v>
      </x:c>
    </x:row>
    <x:row r="200" ht="68" customHeight="1">
      <x:c r="A200" s="8" t="str">
        <x:v>WA-0203</x:v>
      </x:c>
      <x:c r="B200" s="8" t="str">
        <x:v>Reward Model Overoptimization</x:v>
      </x:c>
      <x:c r="C200" s="8" t="str">
        <x:v>Scaling Laws for Reward Model Overoptimization</x:v>
      </x:c>
      <x:c r="D200" s="9" t="n">
        <x:v>2022</x:v>
      </x:c>
      <x:c r="E200" s="8" t="str">
        <x:v>OpenAI</x:v>
      </x:c>
      <x:c r="F200" s="10" t="str">
        <x:f>VLOOKUP(H200,'Taxonomy'!$A$6:$G$70,3,FALSE)</x:f>
        <x:v>优化：从工作经验到系统能力</x:v>
      </x:c>
      <x:c r="G200" s="10" t="str">
        <x:f>VLOOKUP(H200,'Taxonomy'!$A$6:$G$70,5,FALSE)</x:f>
        <x:v>训练环境、数据与奖励</x:v>
      </x:c>
      <x:c r="H200" s="8" t="str">
        <x:v>5.1.3</x:v>
      </x:c>
      <x:c r="I200" s="10" t="str">
        <x:f>VLOOKUP(H200,'Taxonomy'!$A$6:$G$70,6,FALSE)</x:f>
        <x:v>奖励与验证信号</x:v>
      </x:c>
      <x:c r="J200" s="8" t="str">
        <x:v>训练奖励与可验证信号;验证证据的有效性</x:v>
      </x:c>
      <x:c r="K200" s="8" t="str">
        <x:v>验证、恢复与重新规划</x:v>
      </x:c>
      <x:c r="L200" s="8" t="str">
        <x:v>7.3 从专业质量到使用价值</x:v>
      </x:c>
      <x:c r="M200" s="8" t="str"/>
      <x:c r="N200" s="8" t="str">
        <x:v>Background</x:v>
      </x:c>
      <x:c r="O200" s="11" t="str">
        <x:v>https://arxiv.org/abs/2210.10760</x:v>
      </x:c>
      <x:c r="P200" s="8" t="str">
        <x:v>量化对代理奖励模型过度优化时真实质量退化的规律，为奖励设计提供基础。</x:v>
      </x:c>
      <x:c r="Q200" s="8" t="str"/>
      <x:c r="R200" s="8" t="str"/>
      <x:c r="S200" s="8" t="str"/>
      <x:c r="T200" s="12" t="str">
        <x:v>未分配</x:v>
      </x:c>
      <x:c r="U200" s="12" t="str"/>
      <x:c r="V200" s="12" t="str"/>
      <x:c r="W200" s="12" t="str"/>
      <x:c r="X200" s="8" t="str">
        <x:v>verified</x:v>
      </x:c>
      <x:c r="Y200" s="11" t="str"/>
      <x:c r="Z200" s="11" t="str"/>
      <x:c r="AA200" s="11" t="str">
        <x:v>https://arxiv.org/html/2210.10760v1</x:v>
      </x:c>
      <x:c r="AB200" s="11" t="str">
        <x:v>https://arxiv.org/abs/2210.10760</x:v>
      </x:c>
      <x:c r="AC200" s="8" t="str"/>
      <x:c r="AD200" s="8" t="str"/>
      <x:c r="AE200" s="8" t="str"/>
      <x:c r="AF200" s="8" t="str">
        <x:v>用于“奖励与验证信号”：量化对代理奖励模型过度优化时真实质量退化的规律，为奖励设计提供基础。</x:v>
      </x:c>
      <x:c r="AG200" s="8" t="str">
        <x:v>verification</x:v>
      </x:c>
      <x:c r="AH200" s="8" t="str">
        <x:v>Reward hacking and proxy validity</x:v>
      </x:c>
      <x:c r="AI200" s="8" t="str">
        <x:v>203</x:v>
      </x:c>
      <x:c r="AJ200" s="8" t="str">
        <x:v>survey bibliography</x:v>
      </x:c>
      <x:c r="AK200" s="13" t="d">
        <x:v>2026-10-16T00:00:00.000Z</x:v>
      </x:c>
      <x:c r="AL200" s="8" t="str">
        <x:v>论文身份与摘要已核验；分类为维护者判断。</x:v>
      </x:c>
      <x:c r="AM200" s="8" t="str">
        <x:v>5.1;7.3</x:v>
      </x:c>
    </x:row>
    <x:row r="201" ht="68" customHeight="1">
      <x:c r="A201" s="8" t="str">
        <x:v>WA-0204</x:v>
      </x:c>
      <x:c r="B201" s="8" t="str">
        <x:v>Who Verifies the Verifier?</x:v>
      </x:c>
      <x:c r="C201" s="8" t="str">
        <x:v>Who Verifies the Verifier? Co-Evolving Inspectable Graders with Self-Improving Agents</x:v>
      </x:c>
      <x:c r="D201" s="9" t="n">
        <x:v>2026</x:v>
      </x:c>
      <x:c r="E201" s="8" t="str">
        <x:v>Amazon Web Services; HSBC</x:v>
      </x:c>
      <x:c r="F201" s="10" t="str">
        <x:f>VLOOKUP(H201,'Taxonomy'!$A$6:$G$70,3,FALSE)</x:f>
        <x:v>前沿：下一代 Working Agents</x:v>
      </x:c>
      <x:c r="G201" s="10" t="str">
        <x:f>VLOOKUP(H201,'Taxonomy'!$A$6:$G$70,5,FALSE)</x:f>
        <x:v>从专业质量到使用价值</x:v>
      </x:c>
      <x:c r="H201" s="8" t="str">
        <x:v>7.3.2</x:v>
      </x:c>
      <x:c r="I201" s="10" t="str">
        <x:f>VLOOKUP(H201,'Taxonomy'!$A$6:$G$70,6,FALSE)</x:f>
        <x:v>可泛化与自适应验证</x:v>
      </x:c>
      <x:c r="J201" s="8" t="str">
        <x:v>验证证据的有效性;跨任务个性化与自演化</x:v>
      </x:c>
      <x:c r="K201" s="8" t="str">
        <x:v>验证、恢复与重新规划</x:v>
      </x:c>
      <x:c r="L201" s="8" t="str"/>
      <x:c r="M201" s="8" t="str"/>
      <x:c r="N201" s="8" t="str">
        <x:v>Method</x:v>
      </x:c>
      <x:c r="O201" s="11" t="str">
        <x:v>https://arxiv.org/abs/2610.11464</x:v>
      </x:c>
      <x:c r="P201" s="8" t="str">
        <x:v>让可检查的评分器随自我改进代理共同演化，研究如何持续保持验证有效。</x:v>
      </x:c>
      <x:c r="Q201" s="8" t="str"/>
      <x:c r="R201" s="8" t="str"/>
      <x:c r="S201" s="8" t="str"/>
      <x:c r="T201" s="12" t="str">
        <x:v>未分配</x:v>
      </x:c>
      <x:c r="U201" s="12" t="str"/>
      <x:c r="V201" s="12" t="str"/>
      <x:c r="W201" s="12" t="str"/>
      <x:c r="X201" s="8" t="str">
        <x:v>verified</x:v>
      </x:c>
      <x:c r="Y201" s="11" t="str"/>
      <x:c r="Z201" s="11" t="str"/>
      <x:c r="AA201" s="11" t="str">
        <x:v>https://arxiv.org/html/2610.11464v1</x:v>
      </x:c>
      <x:c r="AB201" s="11" t="str">
        <x:v>https://arxiv.org/abs/2610.11464</x:v>
      </x:c>
      <x:c r="AC201" s="8" t="str"/>
      <x:c r="AD201" s="8" t="str"/>
      <x:c r="AE201" s="8" t="str"/>
      <x:c r="AF201" s="8" t="str">
        <x:v>用于“可泛化与自适应验证”：让可检查的评分器随自我改进代理共同演化，研究如何持续保持验证有效。</x:v>
      </x:c>
      <x:c r="AG201" s="8" t="str">
        <x:v>verification</x:v>
      </x:c>
      <x:c r="AH201" s="8" t="str">
        <x:v>Inspectable adaptive graders</x:v>
      </x:c>
      <x:c r="AI201" s="8" t="str">
        <x:v>204</x:v>
      </x:c>
      <x:c r="AJ201" s="8" t="str">
        <x:v>survey bibliography</x:v>
      </x:c>
      <x:c r="AK201" s="13" t="d">
        <x:v>2026-10-16T00:00:00.000Z</x:v>
      </x:c>
      <x:c r="AL201" s="8" t="str">
        <x:v>论文身份与摘要已核验；分类为维护者判断。</x:v>
      </x:c>
      <x:c r="AM201" s="8" t="str">
        <x:v>7.3</x:v>
      </x:c>
    </x:row>
    <x:row r="202" ht="68" customHeight="1">
      <x:c r="A202" s="8" t="str">
        <x:v>WA-0205</x:v>
      </x:c>
      <x:c r="B202" s="8" t="str">
        <x:v>Case Handling</x:v>
      </x:c>
      <x:c r="C202" s="8" t="str">
        <x:v>Case handling: a new paradigm for business process support</x:v>
      </x:c>
      <x:c r="D202" s="9" t="n">
        <x:v>2005</x:v>
      </x:c>
      <x:c r="E202" s="8" t="str">
        <x:v>Eindhoven University of Technology; Hasso Plattner Institute for Software Systems Engineering; Pallas Athena</x:v>
      </x:c>
      <x:c r="F202" s="10" t="str">
        <x:f>VLOOKUP(H202,'Taxonomy'!$A$6:$G$70,3,FALSE)</x:f>
        <x:v>工作形态：代理承担什么工作</x:v>
      </x:c>
      <x:c r="G202" s="10" t="str">
        <x:f>VLOOKUP(H202,'Taxonomy'!$A$6:$G$70,5,FALSE)</x:f>
        <x:v>工作流级工作</x:v>
      </x:c>
      <x:c r="H202" s="8" t="str">
        <x:v>3.4</x:v>
      </x:c>
      <x:c r="I202" s="10" t="str">
        <x:f>VLOOKUP(H202,'Taxonomy'!$A$6:$G$70,6,FALSE)</x:f>
        <x:v>工作流级工作</x:v>
      </x:c>
      <x:c r="J202" s="8" t="str">
        <x:v>工作形态与验收组织;分布信息、澄清与协调;当前状态与版本有效性</x:v>
      </x:c>
      <x:c r="K202" s="8" t="str">
        <x:v>规划与协调;执行与状态管理</x:v>
      </x:c>
      <x:c r="L202" s="8" t="str">
        <x:v>7.4 以工作为中心的系统</x:v>
      </x:c>
      <x:c r="M202" s="8" t="str"/>
      <x:c r="N202" s="8" t="str">
        <x:v>Background</x:v>
      </x:c>
      <x:c r="O202" s="11" t="str">
        <x:v>https://doi.org/10.1016/j.datak.2004.07.003</x:v>
      </x:c>
      <x:c r="P202" s="8" t="str">
        <x:v>以案例数据与工作者判断组织柔性业务过程，为非固定脚本式工作流提供经典视角。</x:v>
      </x:c>
      <x:c r="Q202" s="8" t="str"/>
      <x:c r="R202" s="8" t="str"/>
      <x:c r="S202" s="8" t="str"/>
      <x:c r="T202" s="12" t="str">
        <x:v>未分配</x:v>
      </x:c>
      <x:c r="U202" s="12" t="str"/>
      <x:c r="V202" s="12" t="str"/>
      <x:c r="W202" s="12" t="str"/>
      <x:c r="X202" s="8" t="str">
        <x:v>verified</x:v>
      </x:c>
      <x:c r="Y202" s="11" t="str"/>
      <x:c r="Z202" s="11" t="str"/>
      <x:c r="AA202" s="11" t="str">
        <x:v>https://www.vdaalst.com/publications/p252.pdf</x:v>
      </x:c>
      <x:c r="AB202" s="11" t="str">
        <x:v>https://doi.org/10.1016/j.datak.2004.07.003</x:v>
      </x:c>
      <x:c r="AC202" s="8" t="str"/>
      <x:c r="AD202" s="8" t="str"/>
      <x:c r="AE202" s="8" t="str"/>
      <x:c r="AF202" s="8" t="str">
        <x:v>用于“工作流级工作”：以案例数据与工作者判断组织柔性业务过程，为非固定脚本式工作流提供经典视角。</x:v>
      </x:c>
      <x:c r="AG202" s="8" t="str">
        <x:v>related</x:v>
      </x:c>
      <x:c r="AH202" s="8" t="str">
        <x:v>Flexible business process support</x:v>
      </x:c>
      <x:c r="AI202" s="8" t="str">
        <x:v>205</x:v>
      </x:c>
      <x:c r="AJ202" s="8" t="str">
        <x:v>survey bibliography</x:v>
      </x:c>
      <x:c r="AK202" s="13" t="d">
        <x:v>2026-10-16T00:00:00.000Z</x:v>
      </x:c>
      <x:c r="AL202" s="8" t="str">
        <x:v>单位按第一作者网站保存的论文首页核验；使用论文中的 Eindhoven 单位，未采用作者当前任职。</x:v>
      </x:c>
      <x:c r="AM202" s="8" t="str">
        <x:v>7.4</x:v>
      </x:c>
    </x:row>
    <x:row r="203" ht="68" customHeight="1">
      <x:c r="A203" s="8" t="str">
        <x:v>WA-0206</x:v>
      </x:c>
      <x:c r="B203" s="8" t="str">
        <x:v>Magentic-One</x:v>
      </x:c>
      <x:c r="C203" s="8" t="str">
        <x:v>Magentic-One: A Generalist Multi-Agent System for Solving Complex Tasks</x:v>
      </x:c>
      <x:c r="D203" s="9" t="n">
        <x:v>2024</x:v>
      </x:c>
      <x:c r="E203" s="8" t="str">
        <x:v>Microsoft Research AI Frontiers</x:v>
      </x:c>
      <x:c r="F203" s="10" t="str">
        <x:f>VLOOKUP(H203,'Taxonomy'!$A$6:$G$70,3,FALSE)</x:f>
        <x:v>基础：定义、工作条件与核心能力</x:v>
      </x:c>
      <x:c r="G203" s="10" t="str">
        <x:f>VLOOKUP(H203,'Taxonomy'!$A$6:$G$70,5,FALSE)</x:f>
        <x:v>五项核心能力</x:v>
      </x:c>
      <x:c r="H203" s="8" t="str">
        <x:v>2.3.3</x:v>
      </x:c>
      <x:c r="I203" s="10" t="str">
        <x:f>VLOOKUP(H203,'Taxonomy'!$A$6:$G$70,6,FALSE)</x:f>
        <x:v>规划与协调</x:v>
      </x:c>
      <x:c r="J203" s="8" t="str">
        <x:v>任务分解与行动依赖;分布信息、澄清与协调;回滚、补偿与路径调整</x:v>
      </x:c>
      <x:c r="K203" s="8" t="str">
        <x:v>规划与协调;执行与状态管理;验证、恢复与重新规划</x:v>
      </x:c>
      <x:c r="L203" s="8" t="str">
        <x:v>6.4 开放框架与执行环境;7.4 以工作为中心的系统</x:v>
      </x:c>
      <x:c r="M203" s="8" t="str"/>
      <x:c r="N203" s="8" t="str">
        <x:v>Method;Framework</x:v>
      </x:c>
      <x:c r="O203" s="11" t="str">
        <x:v>https://arxiv.org/abs/2411.04468</x:v>
      </x:c>
      <x:c r="P203" s="8" t="str">
        <x:v>由编排代理分解并追踪复杂任务，协调浏览、文件和代码执行等专用代理。</x:v>
      </x:c>
      <x:c r="Q203" s="8" t="str"/>
      <x:c r="R203" s="8" t="str"/>
      <x:c r="S203" s="8" t="str"/>
      <x:c r="T203" s="12" t="str">
        <x:v>未分配</x:v>
      </x:c>
      <x:c r="U203" s="12" t="str"/>
      <x:c r="V203" s="12" t="str"/>
      <x:c r="W203" s="12" t="str"/>
      <x:c r="X203" s="8" t="str">
        <x:v>verified</x:v>
      </x:c>
      <x:c r="Y203" s="11" t="str">
        <x:v>https://github.com/microsoft/autogen</x:v>
      </x:c>
      <x:c r="Z203" s="11" t="str"/>
      <x:c r="AA203" s="11" t="str">
        <x:v>https://arxiv.org/html/2411.04468v1</x:v>
      </x:c>
      <x:c r="AB203" s="11" t="str">
        <x:v>https://arxiv.org/abs/2411.04468</x:v>
      </x:c>
      <x:c r="AC203" s="8" t="str"/>
      <x:c r="AD203" s="8" t="str"/>
      <x:c r="AE203" s="8" t="str"/>
      <x:c r="AF203" s="8" t="str">
        <x:v>用于“规划与协调”：由编排代理分解并追踪复杂任务，协调浏览、文件和代码执行等专用代理。</x:v>
      </x:c>
      <x:c r="AG203" s="8" t="str">
        <x:v>harness</x:v>
      </x:c>
      <x:c r="AH203" s="8" t="str">
        <x:v>Generalist multi-agent orchestration</x:v>
      </x:c>
      <x:c r="AI203" s="8" t="str">
        <x:v>206</x:v>
      </x:c>
      <x:c r="AJ203" s="8" t="str">
        <x:v>survey bibliography</x:v>
      </x:c>
      <x:c r="AK203" s="13" t="d">
        <x:v>2026-10-16T00:00:00.000Z</x:v>
      </x:c>
      <x:c r="AL203" s="8" t="str">
        <x:v>论文身份与摘要已核验；分类为维护者判断。</x:v>
      </x:c>
      <x:c r="AM203" s="8" t="str">
        <x:v>4.3;6.4;7.4</x:v>
      </x:c>
    </x:row>
    <x:row r="204" ht="68" customHeight="1">
      <x:c r="A204" s="8" t="str">
        <x:v>WA-0207</x:v>
      </x:c>
      <x:c r="B204" s="8" t="str">
        <x:v>Authenticated Delegation</x:v>
      </x:c>
      <x:c r="C204" s="8" t="str">
        <x:v>Authenticated Delegation and Authorized AI Agents</x:v>
      </x:c>
      <x:c r="D204" s="9" t="n">
        <x:v>2025</x:v>
      </x:c>
      <x:c r="E204" s="8" t="str">
        <x:v>MIT; University of Oxford; Harvard Law School; UC Berkeley; Centre for the Governance of AI; Stanford University</x:v>
      </x:c>
      <x:c r="F204" s="10" t="str">
        <x:f>VLOOKUP(H204,'Taxonomy'!$A$6:$G$70,3,FALSE)</x:f>
        <x:v>基础：定义、工作条件与核心能力</x:v>
      </x:c>
      <x:c r="G204" s="10" t="str">
        <x:f>VLOOKUP(H204,'Taxonomy'!$A$6:$G$70,5,FALSE)</x:f>
        <x:v>定义与系统视角</x:v>
      </x:c>
      <x:c r="H204" s="8" t="str">
        <x:v>2.1.2</x:v>
      </x:c>
      <x:c r="I204" s="10" t="str">
        <x:f>VLOOKUP(H204,'Taxonomy'!$A$6:$G$70,6,FALSE)</x:f>
        <x:v>工作过程六要素</x:v>
      </x:c>
      <x:c r="J204" s="8" t="str">
        <x:v>委托、责任与权限;安全、隐私与授权边界</x:v>
      </x:c>
      <x:c r="K204" s="8" t="str">
        <x:v>规划与协调;执行与状态管理</x:v>
      </x:c>
      <x:c r="L204" s="8" t="str">
        <x:v>7.4.3 组织集成与经济价值</x:v>
      </x:c>
      <x:c r="M204" s="8" t="str"/>
      <x:c r="N204" s="8" t="str">
        <x:v>Method;Background</x:v>
      </x:c>
      <x:c r="O204" s="11" t="str">
        <x:v>https://arxiv.org/abs/2501.09674</x:v>
      </x:c>
      <x:c r="P204" s="8" t="str">
        <x:v>探讨可认证委托与可验证授权，区分代理能力、身份和可执行权限。</x:v>
      </x:c>
      <x:c r="Q204" s="8" t="str"/>
      <x:c r="R204" s="8" t="str"/>
      <x:c r="S204" s="8" t="str"/>
      <x:c r="T204" s="12" t="str">
        <x:v>未分配</x:v>
      </x:c>
      <x:c r="U204" s="12" t="str"/>
      <x:c r="V204" s="12" t="str"/>
      <x:c r="W204" s="12" t="str"/>
      <x:c r="X204" s="8" t="str">
        <x:v>verified</x:v>
      </x:c>
      <x:c r="Y204" s="11" t="str"/>
      <x:c r="Z204" s="11" t="str"/>
      <x:c r="AA204" s="11" t="str">
        <x:v>https://arxiv.org/html/2501.09674v1</x:v>
      </x:c>
      <x:c r="AB204" s="11" t="str">
        <x:v>https://arxiv.org/abs/2501.09674</x:v>
      </x:c>
      <x:c r="AC204" s="8" t="str"/>
      <x:c r="AD204" s="8" t="str"/>
      <x:c r="AE204" s="8" t="str"/>
      <x:c r="AF204" s="8" t="str">
        <x:v>用于“工作过程六要素”：探讨可认证委托与可验证授权，区分代理能力、身份和可执行权限。</x:v>
      </x:c>
      <x:c r="AG204" s="8" t="str">
        <x:v>safety</x:v>
      </x:c>
      <x:c r="AH204" s="8" t="str">
        <x:v>Identity and authorization</x:v>
      </x:c>
      <x:c r="AI204" s="8" t="str">
        <x:v>207</x:v>
      </x:c>
      <x:c r="AJ204" s="8" t="str">
        <x:v>survey bibliography</x:v>
      </x:c>
      <x:c r="AK204" s="13" t="d">
        <x:v>2026-10-16T00:00:00.000Z</x:v>
      </x:c>
      <x:c r="AL204" s="8" t="str">
        <x:v>论文身份与摘要已核验；分类为维护者判断。</x:v>
      </x:c>
      <x:c r="AM204" s="8" t="str">
        <x:v>7.4</x:v>
      </x:c>
    </x:row>
    <x:row r="205" ht="68" customHeight="1">
      <x:c r="A205" s="8" t="str">
        <x:v>WA-0208</x:v>
      </x:c>
      <x:c r="B205" s="8" t="str">
        <x:v>Facts Without Rules</x:v>
      </x:c>
      <x:c r="C205" s="8" t="str">
        <x:v>Facts Without Rules: Boundary Metadata Collapse in Multi-Agent LLM Handoffs</x:v>
      </x:c>
      <x:c r="D205" s="9" t="n">
        <x:v>2026</x:v>
      </x:c>
      <x:c r="E205" s="8" t="str">
        <x:v>University of Illinois Urbana-Champaign</x:v>
      </x:c>
      <x:c r="F205" s="10" t="str">
        <x:f>VLOOKUP(H205,'Taxonomy'!$A$6:$G$70,3,FALSE)</x:f>
        <x:v>基础：定义、工作条件与核心能力</x:v>
      </x:c>
      <x:c r="G205" s="10" t="str">
        <x:f>VLOOKUP(H205,'Taxonomy'!$A$6:$G$70,5,FALSE)</x:f>
        <x:v>五项核心能力</x:v>
      </x:c>
      <x:c r="H205" s="8" t="str">
        <x:v>2.3.3</x:v>
      </x:c>
      <x:c r="I205" s="10" t="str">
        <x:f>VLOOKUP(H205,'Taxonomy'!$A$6:$G$70,6,FALSE)</x:f>
        <x:v>规划与协调</x:v>
      </x:c>
      <x:c r="J205" s="8" t="str">
        <x:v>分布信息、澄清与协调;委托、责任与权限;安全、隐私与授权边界</x:v>
      </x:c>
      <x:c r="K205" s="8" t="str">
        <x:v>规划与协调;执行与状态管理;验证、恢复与重新规划</x:v>
      </x:c>
      <x:c r="L205" s="8" t="str">
        <x:v>2.3.4 执行与状态管理;7.4.3 组织集成与经济价值</x:v>
      </x:c>
      <x:c r="M205" s="8" t="str"/>
      <x:c r="N205" s="8" t="str">
        <x:v>Background;Benchmark</x:v>
      </x:c>
      <x:c r="O205" s="11" t="str">
        <x:v>https://arxiv.org/abs/2608.29028</x:v>
      </x:c>
      <x:c r="P205" s="8" t="str">
        <x:v>分析多代理交接保留事实却丢失边界规则的现象，强调策略元数据的传播。</x:v>
      </x:c>
      <x:c r="Q205" s="8" t="str"/>
      <x:c r="R205" s="8" t="str"/>
      <x:c r="S205" s="8" t="str"/>
      <x:c r="T205" s="12" t="str">
        <x:v>未分配</x:v>
      </x:c>
      <x:c r="U205" s="12" t="str"/>
      <x:c r="V205" s="12" t="str"/>
      <x:c r="W205" s="12" t="str"/>
      <x:c r="X205" s="8" t="str">
        <x:v>verified</x:v>
      </x:c>
      <x:c r="Y205" s="11" t="str">
        <x:v>https://github.com/CrowdDynamicsLab/facts_without_rules_emnlp_2026</x:v>
      </x:c>
      <x:c r="Z205" s="11" t="str"/>
      <x:c r="AA205" s="11" t="str">
        <x:v>https://arxiv.org/html/2608.29028v1</x:v>
      </x:c>
      <x:c r="AB205" s="11" t="str">
        <x:v>https://arxiv.org/abs/2608.29028</x:v>
      </x:c>
      <x:c r="AC205" s="8" t="str"/>
      <x:c r="AD205" s="8" t="str"/>
      <x:c r="AE205" s="8" t="str"/>
      <x:c r="AF205" s="8" t="str">
        <x:v>用于“规划与协调”：分析多代理交接保留事实却丢失边界规则的现象，强调策略元数据的传播。</x:v>
      </x:c>
      <x:c r="AG205" s="8" t="str">
        <x:v>safety</x:v>
      </x:c>
      <x:c r="AH205" s="8" t="str">
        <x:v>Constraint loss in agent handoffs</x:v>
      </x:c>
      <x:c r="AI205" s="8" t="str">
        <x:v>208</x:v>
      </x:c>
      <x:c r="AJ205" s="8" t="str">
        <x:v>survey bibliography</x:v>
      </x:c>
      <x:c r="AK205" s="13" t="d">
        <x:v>2026-10-16T00:00:00.000Z</x:v>
      </x:c>
      <x:c r="AL205" s="8" t="str">
        <x:v>论文身份与摘要已核验；分类为维护者判断。</x:v>
      </x:c>
      <x:c r="AM205" s="8" t="str">
        <x:v>7.4</x:v>
      </x:c>
    </x:row>
    <x:row r="206" ht="68" customHeight="1">
      <x:c r="A206" s="8" t="str">
        <x:v>WA-0209</x:v>
      </x:c>
      <x:c r="B206" s="8" t="str">
        <x:v>Ten Challenges for Automation Team Players</x:v>
      </x:c>
      <x:c r="C206" s="8" t="str">
        <x:v>Ten Challenges for Making Automation a “Team Player” in Joint Human-Agent Activity</x:v>
      </x:c>
      <x:c r="D206" s="9" t="n">
        <x:v>2004</x:v>
      </x:c>
      <x:c r="E206" s="8" t="str">
        <x:v>Klein Associates; Ohio State University; Institute for Human and Machine Cognition (IHMC)</x:v>
      </x:c>
      <x:c r="F206" s="10" t="str">
        <x:f>VLOOKUP(H206,'Taxonomy'!$A$6:$G$70,3,FALSE)</x:f>
        <x:v>基础：定义、工作条件与核心能力</x:v>
      </x:c>
      <x:c r="G206" s="10" t="str">
        <x:f>VLOOKUP(H206,'Taxonomy'!$A$6:$G$70,5,FALSE)</x:f>
        <x:v>五项核心能力</x:v>
      </x:c>
      <x:c r="H206" s="8" t="str">
        <x:v>2.3.3</x:v>
      </x:c>
      <x:c r="I206" s="10" t="str">
        <x:f>VLOOKUP(H206,'Taxonomy'!$A$6:$G$70,6,FALSE)</x:f>
        <x:v>规划与协调</x:v>
      </x:c>
      <x:c r="J206" s="8" t="str">
        <x:v>分布信息、澄清与协调;组织协作与真实生产率</x:v>
      </x:c>
      <x:c r="K206" s="8" t="str">
        <x:v>规划与协调</x:v>
      </x:c>
      <x:c r="L206" s="8" t="str">
        <x:v>7.4 以工作为中心的系统</x:v>
      </x:c>
      <x:c r="M206" s="8" t="str"/>
      <x:c r="N206" s="8" t="str">
        <x:v>Background</x:v>
      </x:c>
      <x:c r="O206" s="11" t="str">
        <x:v>https://doi.org/10.1109/MIS.2004.74</x:v>
      </x:c>
      <x:c r="P206" s="8" t="str">
        <x:v>提出自动化成为团队成员所需的共同理解、可预测性与协调挑战。</x:v>
      </x:c>
      <x:c r="Q206" s="8" t="str"/>
      <x:c r="R206" s="8" t="str"/>
      <x:c r="S206" s="8" t="str"/>
      <x:c r="T206" s="12" t="str">
        <x:v>未分配</x:v>
      </x:c>
      <x:c r="U206" s="12" t="str"/>
      <x:c r="V206" s="12" t="str"/>
      <x:c r="W206" s="12" t="str"/>
      <x:c r="X206" s="8" t="str">
        <x:v>verified</x:v>
      </x:c>
      <x:c r="Y206" s="11" t="str"/>
      <x:c r="Z206" s="11" t="str"/>
      <x:c r="AA206" s="11" t="str">
        <x:v>https://www.dropbox.com/scl/fo/02gb29igzc4o57sdc8tzy/ALaLsLjWrSIem38-QZz8d9I/jeffreymbradshaw/publications/17._Team_Players.pdf_1.pdf?rlkey=42yzjg49rht20423qal2w0ggj&amp;dl=1</x:v>
      </x:c>
      <x:c r="AB206" s="11" t="str">
        <x:v>https://doi.org/10.1109/MIS.2004.74</x:v>
      </x:c>
      <x:c r="AC206" s="8" t="str"/>
      <x:c r="AD206" s="8" t="str"/>
      <x:c r="AE206" s="8" t="str"/>
      <x:c r="AF206" s="8" t="str">
        <x:v>用于“规划与协调”：提出自动化成为团队成员所需的共同理解、可预测性与协调挑战。</x:v>
      </x:c>
      <x:c r="AG206" s="8" t="str">
        <x:v>related</x:v>
      </x:c>
      <x:c r="AH206" s="8" t="str">
        <x:v>Human-agent teamwork</x:v>
      </x:c>
      <x:c r="AI206" s="8" t="str">
        <x:v>209</x:v>
      </x:c>
      <x:c r="AJ206" s="8" t="str">
        <x:v>survey bibliography</x:v>
      </x:c>
      <x:c r="AK206" s="13" t="d">
        <x:v>2026-10-16T00:00:00.000Z</x:v>
      </x:c>
      <x:c r="AL206" s="8" t="str">
        <x:v>从共同作者 Jeffrey M. Bradshaw 官方主页（https://jeffreymbradshaw.net/）当前 PDF 链接取得原文；单位按 2004 论文首页和第 95 页作者简介核验。旧作者网站直链已失效，现链接为作者管理的 Dropbox 存档。</x:v>
      </x:c>
      <x:c r="AM206" s="8" t="str">
        <x:v>7.4</x:v>
      </x:c>
    </x:row>
    <x:row r="207" ht="68" customHeight="1">
      <x:c r="A207" s="8" t="str">
        <x:v>WA-0210</x:v>
      </x:c>
      <x:c r="B207" s="8" t="str">
        <x:v>Productivity Effects of Generative AI</x:v>
      </x:c>
      <x:c r="C207" s="8" t="str">
        <x:v>Experimental evidence on the productivity effects of generative artificial intelligence</x:v>
      </x:c>
      <x:c r="D207" s="9" t="n">
        <x:v>2023</x:v>
      </x:c>
      <x:c r="E207" s="8" t="str">
        <x:v>Massachusetts Institute of Technology</x:v>
      </x:c>
      <x:c r="F207" s="10" t="str">
        <x:f>VLOOKUP(H207,'Taxonomy'!$A$6:$G$70,3,FALSE)</x:f>
        <x:v>前沿：下一代 Working Agents</x:v>
      </x:c>
      <x:c r="G207" s="10" t="str">
        <x:f>VLOOKUP(H207,'Taxonomy'!$A$6:$G$70,5,FALSE)</x:f>
        <x:v>以工作为中心的系统</x:v>
      </x:c>
      <x:c r="H207" s="8" t="str">
        <x:v>7.4.3</x:v>
      </x:c>
      <x:c r="I207" s="10" t="str">
        <x:f>VLOOKUP(H207,'Taxonomy'!$A$6:$G$70,6,FALSE)</x:f>
        <x:v>组织集成与经济价值</x:v>
      </x:c>
      <x:c r="J207" s="8" t="str">
        <x:v>组织协作与真实生产率;质量、时间成本与使用价值</x:v>
      </x:c>
      <x:c r="K207" s="8" t="str"/>
      <x:c r="L207" s="8" t="str">
        <x:v>7.3 从专业质量到使用价值</x:v>
      </x:c>
      <x:c r="M207" s="8" t="str"/>
      <x:c r="N207" s="8" t="str">
        <x:v>Background</x:v>
      </x:c>
      <x:c r="O207" s="11" t="str">
        <x:v>https://doi.org/10.1126/science.adh2586</x:v>
      </x:c>
      <x:c r="P207" s="8" t="str">
        <x:v>通过专业写作实验评估生成式AI对完成时间和产出质量的影响。</x:v>
      </x:c>
      <x:c r="Q207" s="8" t="str"/>
      <x:c r="R207" s="8" t="str"/>
      <x:c r="S207" s="8" t="str"/>
      <x:c r="T207" s="12" t="str">
        <x:v>未分配</x:v>
      </x:c>
      <x:c r="U207" s="12" t="str"/>
      <x:c r="V207" s="12" t="str"/>
      <x:c r="W207" s="12" t="str"/>
      <x:c r="X207" s="8" t="str">
        <x:v>verified</x:v>
      </x:c>
      <x:c r="Y207" s="11" t="str"/>
      <x:c r="Z207" s="11" t="str"/>
      <x:c r="AA207" s="11" t="str">
        <x:v>https://economics.mit.edu/sites/default/files/inline-files/Noy_Zhang_1.pdf</x:v>
      </x:c>
      <x:c r="AB207" s="11" t="str">
        <x:v>https://doi.org/10.1126/science.adh2586</x:v>
      </x:c>
      <x:c r="AC207" s="8" t="str"/>
      <x:c r="AD207" s="8" t="str"/>
      <x:c r="AE207" s="8" t="str"/>
      <x:c r="AF207" s="8" t="str">
        <x:v>用于“组织集成与经济价值”：通过专业写作实验评估生成式AI对完成时间和产出质量的影响。</x:v>
      </x:c>
      <x:c r="AG207" s="8" t="str">
        <x:v>related</x:v>
      </x:c>
      <x:c r="AH207" s="8" t="str">
        <x:v>Human productivity evidence</x:v>
      </x:c>
      <x:c r="AI207" s="8" t="str">
        <x:v>210</x:v>
      </x:c>
      <x:c r="AJ207" s="8" t="str">
        <x:v>survey bibliography</x:v>
      </x:c>
      <x:c r="AK207" s="13" t="d">
        <x:v>2026-10-16T00:00:00.000Z</x:v>
      </x:c>
      <x:c r="AL207" s="8" t="str">
        <x:v>MIT 经济系保存的 2023-03-02 工作论文首页两位作者均列 MIT；2023 Science 正式版出版社提交的 Crossref 作者单位也均为 MIT 经济系（https://api.crossref.org/works/10.1126/science.adh2586）。</x:v>
      </x:c>
      <x:c r="AM207" s="8" t="str">
        <x:v>7.3</x:v>
      </x:c>
    </x:row>
    <x:row r="208" ht="68" customHeight="1">
      <x:c r="A208" s="8" t="str">
        <x:v>WA-0211</x:v>
      </x:c>
      <x:c r="B208" s="8" t="str">
        <x:v>METR Developer Productivity RCT</x:v>
      </x:c>
      <x:c r="C208" s="8" t="str">
        <x:v>Measuring the Impact of Early-2025 AI on Experienced Open-Source Developer Productivity</x:v>
      </x:c>
      <x:c r="D208" s="9" t="n">
        <x:v>2025</x:v>
      </x:c>
      <x:c r="E208" s="8" t="str">
        <x:v>METR</x:v>
      </x:c>
      <x:c r="F208" s="10" t="str">
        <x:f>VLOOKUP(H208,'Taxonomy'!$A$6:$G$70,3,FALSE)</x:f>
        <x:v>前沿：下一代 Working Agents</x:v>
      </x:c>
      <x:c r="G208" s="10" t="str">
        <x:f>VLOOKUP(H208,'Taxonomy'!$A$6:$G$70,5,FALSE)</x:f>
        <x:v>以工作为中心的系统</x:v>
      </x:c>
      <x:c r="H208" s="8" t="str">
        <x:v>7.4.3</x:v>
      </x:c>
      <x:c r="I208" s="10" t="str">
        <x:f>VLOOKUP(H208,'Taxonomy'!$A$6:$G$70,6,FALSE)</x:f>
        <x:v>组织集成与经济价值</x:v>
      </x:c>
      <x:c r="J208" s="8" t="str">
        <x:v>组织协作与真实生产率;质量、时间成本与使用价值</x:v>
      </x:c>
      <x:c r="K208" s="8" t="str"/>
      <x:c r="L208" s="8" t="str">
        <x:v>6.3.1 任务成功与成果质量;7.3.3 质量判断与使用价值</x:v>
      </x:c>
      <x:c r="M208" s="8" t="str"/>
      <x:c r="N208" s="8" t="str">
        <x:v>Background</x:v>
      </x:c>
      <x:c r="O208" s="11" t="str">
        <x:v>https://arxiv.org/abs/2507.09089</x:v>
      </x:c>
      <x:c r="P208" s="8" t="str">
        <x:v>在成熟项目真实任务中随机允许或禁止AI，测量开发者完成时间。</x:v>
      </x:c>
      <x:c r="Q208" s="8" t="str">
        <x:v>提供能力评测与实际收益分离的证据：审阅和上下文理解等成本改变总时间。</x:v>
      </x:c>
      <x:c r="R208" s="8" t="str">
        <x:v>特定早期2025人员/项目；19%减速不能当作当前所有agent通用结论，须结合作者2026更新。</x:v>
      </x:c>
      <x:c r="S208" s="8" t="str">
        <x:v>补充</x:v>
      </x:c>
      <x:c r="T208" s="12" t="str">
        <x:v>未分配</x:v>
      </x:c>
      <x:c r="U208" s="12" t="str"/>
      <x:c r="V208" s="12" t="str"/>
      <x:c r="W208" s="12" t="str"/>
      <x:c r="X208" s="8" t="str">
        <x:v>verified</x:v>
      </x:c>
      <x:c r="Y208" s="11" t="str"/>
      <x:c r="Z208" s="11" t="str"/>
      <x:c r="AA208" s="11" t="str">
        <x:v>https://arxiv.org/html/2507.09089v1</x:v>
      </x:c>
      <x:c r="AB208" s="11" t="str">
        <x:v>https://arxiv.org/abs/2507.09089</x:v>
      </x:c>
      <x:c r="AC208" s="8" t="str">
        <x:v>L078</x:v>
      </x:c>
      <x:c r="AD208" s="8" t="str">
        <x:v>文献库已有，2／4未引；官方摘要。</x:v>
      </x:c>
      <x:c r="AE208" s="8" t="str">
        <x:v>2.1 工作价值简短引入；ROI细节交第六/七章。</x:v>
      </x:c>
      <x:c r="AF208" s="8" t="str">
        <x:v>按补充清单 L078 的论证用途归入“组织集成与经济价值”：提供能力评测与实际收益分离的证据：审阅和上下文理解等成本改变总时间。</x:v>
      </x:c>
      <x:c r="AG208" s="8" t="str">
        <x:v>swe-science</x:v>
      </x:c>
      <x:c r="AH208" s="8" t="str">
        <x:v>Real-world developer productivity</x:v>
      </x:c>
      <x:c r="AI208" s="8" t="str">
        <x:v>211</x:v>
      </x:c>
      <x:c r="AJ208" s="8" t="str">
        <x:v>survey bibliography;2026-10-16 chapter 2 / former chapter 4 supplement</x:v>
      </x:c>
      <x:c r="AK208" s="13" t="d">
        <x:v>2026-10-16T00:00:00.000Z</x:v>
      </x:c>
      <x:c r="AL208" s="8" t="str">
        <x:v>PDF将Beth Barnes写为Elizabeth Barnes；作者名以arXiv当前记录为准。  附件补充一手来源：[追踪作者后续研究说明；不能将早期减速或后续不可靠估计外推所有agent。](https://metr.org/blog/2026-02-24-uplift-update/)。 已独立核验2026年2月24日METR官方更新：后续数据受选择偏差影响，不足以精确估计当前加速幅度。</x:v>
      </x:c>
      <x:c r="AM208" s="8" t="str">
        <x:v>7.3</x:v>
      </x:c>
    </x:row>
    <x:row r="209" ht="68" customHeight="1">
      <x:c r="A209" s="8" t="str">
        <x:v>WA-0212</x:v>
      </x:c>
      <x:c r="B209" s="8" t="str">
        <x:v>Productivity J-Curve</x:v>
      </x:c>
      <x:c r="C209" s="8" t="str">
        <x:v>The Productivity J-Curve: How Intangibles Complement General Purpose Technologies</x:v>
      </x:c>
      <x:c r="D209" s="9" t="n">
        <x:v>2018</x:v>
      </x:c>
      <x:c r="E209" s="8" t="str">
        <x:v>Stanford University; University of Pennsylvania; University of Chicago; National Bureau of Economic Research (NBER)</x:v>
      </x:c>
      <x:c r="F209" s="10" t="str">
        <x:f>VLOOKUP(H209,'Taxonomy'!$A$6:$G$70,3,FALSE)</x:f>
        <x:v>前沿：下一代 Working Agents</x:v>
      </x:c>
      <x:c r="G209" s="10" t="str">
        <x:f>VLOOKUP(H209,'Taxonomy'!$A$6:$G$70,5,FALSE)</x:f>
        <x:v>以工作为中心的系统</x:v>
      </x:c>
      <x:c r="H209" s="8" t="str">
        <x:v>7.4.3</x:v>
      </x:c>
      <x:c r="I209" s="10" t="str">
        <x:f>VLOOKUP(H209,'Taxonomy'!$A$6:$G$70,6,FALSE)</x:f>
        <x:v>组织集成与经济价值</x:v>
      </x:c>
      <x:c r="J209" s="8" t="str">
        <x:v>组织协作与真实生产率;质量、时间成本与使用价值</x:v>
      </x:c>
      <x:c r="K209" s="8" t="str"/>
      <x:c r="L209" s="8" t="str">
        <x:v>7.3 从专业质量到使用价值</x:v>
      </x:c>
      <x:c r="M209" s="8" t="str"/>
      <x:c r="N209" s="8" t="str">
        <x:v>Background</x:v>
      </x:c>
      <x:c r="O209" s="11" t="str">
        <x:v>https://doi.org/10.1257/mac.20180386</x:v>
      </x:c>
      <x:c r="P209" s="8" t="str">
        <x:v>分析通用技术与无形组织投入的互补关系，解释能力提升到生产率收益的滞后。</x:v>
      </x:c>
      <x:c r="Q209" s="8" t="str"/>
      <x:c r="R209" s="8" t="str"/>
      <x:c r="S209" s="8" t="str"/>
      <x:c r="T209" s="12" t="str">
        <x:v>未分配</x:v>
      </x:c>
      <x:c r="U209" s="12" t="str"/>
      <x:c r="V209" s="12" t="str"/>
      <x:c r="W209" s="12" t="str"/>
      <x:c r="X209" s="8" t="str">
        <x:v>verified</x:v>
      </x:c>
      <x:c r="Y209" s="11" t="str"/>
      <x:c r="Z209" s="11" t="str"/>
      <x:c r="AA209" s="11" t="str">
        <x:v>https://api.crossref.org/works/10.1257/mac.20180386</x:v>
      </x:c>
      <x:c r="AB209" s="11" t="str">
        <x:v>https://doi.org/10.1257/mac.20180386</x:v>
      </x:c>
      <x:c r="AC209" s="8" t="str"/>
      <x:c r="AD209" s="8" t="str"/>
      <x:c r="AE209" s="8" t="str"/>
      <x:c r="AF209" s="8" t="str">
        <x:v>用于“组织集成与经济价值”：分析通用技术与无形组织投入的互补关系，解释能力提升到生产率收益的滞后。</x:v>
      </x:c>
      <x:c r="AG209" s="8" t="str">
        <x:v>related</x:v>
      </x:c>
      <x:c r="AH209" s="8" t="str">
        <x:v>Organizational complements</x:v>
      </x:c>
      <x:c r="AI209" s="8" t="str">
        <x:v>212</x:v>
      </x:c>
      <x:c r="AJ209" s="8" t="str">
        <x:v>survey bibliography</x:v>
      </x:c>
      <x:c r="AK209" s="13" t="d">
        <x:v>2026-10-16T00:00:00.000Z</x:v>
      </x:c>
      <x:c r="AL209" s="8" t="str">
        <x:v>单位按 2021 期刊版出版社提交的 Crossref 作者单位核验。2018 NBER 工作论文的首页为 MIT Sloan、University of Chicago 及 NBER（https://ide.mit.edu/sites/default/files/publications/jcurve.pdf），不混用不同版本单位。最早工作论文为 2018，现记录 2021 是正式期刊发表年。 年份列采用已确认的最早公开工作论文年份；单位证据对应所链接的正式/更新版本。</x:v>
      </x:c>
      <x:c r="AM209" s="8" t="str">
        <x:v>7.3</x:v>
      </x:c>
    </x:row>
    <x:row r="210" ht="68" customHeight="1">
      <x:c r="A210" s="8" t="str">
        <x:v>WA-0213</x:v>
      </x:c>
      <x:c r="B210" s="8" t="str">
        <x:v>Interdisciplinary Study of Coordination</x:v>
      </x:c>
      <x:c r="C210" s="8" t="str">
        <x:v>The interdisciplinary study of coordination</x:v>
      </x:c>
      <x:c r="D210" s="9" t="n">
        <x:v>1993</x:v>
      </x:c>
      <x:c r="E210" s="8" t="str">
        <x:v>Massachusetts Institute of Technology; University of Michigan</x:v>
      </x:c>
      <x:c r="F210" s="10" t="str">
        <x:f>VLOOKUP(H210,'Taxonomy'!$A$6:$G$70,3,FALSE)</x:f>
        <x:v>基础：定义、工作条件与核心能力</x:v>
      </x:c>
      <x:c r="G210" s="10" t="str">
        <x:f>VLOOKUP(H210,'Taxonomy'!$A$6:$G$70,5,FALSE)</x:f>
        <x:v>五项核心能力</x:v>
      </x:c>
      <x:c r="H210" s="8" t="str">
        <x:v>2.3.3</x:v>
      </x:c>
      <x:c r="I210" s="10" t="str">
        <x:f>VLOOKUP(H210,'Taxonomy'!$A$6:$G$70,6,FALSE)</x:f>
        <x:v>规划与协调</x:v>
      </x:c>
      <x:c r="J210" s="8" t="str">
        <x:v>分布信息、澄清与协调;任务分解与行动依赖</x:v>
      </x:c>
      <x:c r="K210" s="8" t="str">
        <x:v>规划与协调</x:v>
      </x:c>
      <x:c r="L210" s="8" t="str">
        <x:v>7.4 以工作为中心的系统</x:v>
      </x:c>
      <x:c r="M210" s="8" t="str"/>
      <x:c r="N210" s="8" t="str">
        <x:v>Survey;Background</x:v>
      </x:c>
      <x:c r="O210" s="11" t="str">
        <x:v>https://doi.org/10.1145/174666.174668</x:v>
      </x:c>
      <x:c r="P210" s="8" t="str">
        <x:v>以活动之间的依赖管理统一不同领域的协调理论，为多代理工作组织提供概念基础。</x:v>
      </x:c>
      <x:c r="Q210" s="8" t="str"/>
      <x:c r="R210" s="8" t="str"/>
      <x:c r="S210" s="8" t="str"/>
      <x:c r="T210" s="12" t="str">
        <x:v>未分配</x:v>
      </x:c>
      <x:c r="U210" s="12" t="str"/>
      <x:c r="V210" s="12" t="str"/>
      <x:c r="W210" s="12" t="str"/>
      <x:c r="X210" s="8" t="str">
        <x:v>verified</x:v>
      </x:c>
      <x:c r="Y210" s="11" t="str"/>
      <x:c r="Z210" s="11" t="str"/>
      <x:c r="AA210" s="11" t="str">
        <x:v>https://crowston.syr.edu/sites/default/files/acmcs94.pdf</x:v>
      </x:c>
      <x:c r="AB210" s="11" t="str">
        <x:v>https://doi.org/10.1145/174666.174668</x:v>
      </x:c>
      <x:c r="AC210" s="8" t="str"/>
      <x:c r="AD210" s="8" t="str"/>
      <x:c r="AE210" s="8" t="str"/>
      <x:c r="AF210" s="8" t="str">
        <x:v>用于“规划与协调”：以活动之间的依赖管理统一不同领域的协调理论，为多代理工作组织提供概念基础。</x:v>
      </x:c>
      <x:c r="AG210" s="8" t="str">
        <x:v>related</x:v>
      </x:c>
      <x:c r="AH210" s="8" t="str">
        <x:v>Coordination theory</x:v>
      </x:c>
      <x:c r="AI210" s="8" t="str">
        <x:v>213</x:v>
      </x:c>
      <x:c r="AJ210" s="8" t="str">
        <x:v>survey bibliography</x:v>
      </x:c>
      <x:c r="AK210" s="13" t="d">
        <x:v>2026-10-16T00:00:00.000Z</x:v>
      </x:c>
      <x:c r="AL210" s="8" t="str">
        <x:v>按 1994 ACM Computing Surveys 正式版首页核验：Malone 属 MIT Center for Coordination Science，Crowston 属 University of Michigan School of Business Administration。Syracuse 仅是作者当前网站保存文稿的域名，不作为该论文单位；早期 MIT 工作论文发表于 1993。 年份列采用已确认的最早公开工作论文年份；单位证据对应所链接的正式/更新版本。</x:v>
      </x:c>
      <x:c r="AM210" s="8" t="str">
        <x:v>7.4</x:v>
      </x:c>
    </x:row>
    <x:row r="211" ht="124" customHeight="1">
      <x:c r="A211" s="8" t="str">
        <x:v>WA-0214</x:v>
      </x:c>
      <x:c r="B211" s="8" t="str">
        <x:v>A Survey of Self-Evolving Agents</x:v>
      </x:c>
      <x:c r="C211" s="8" t="str">
        <x:v>A Survey of Self-Evolving Agents: What, When, How, and Where to Evolve on the Path to Artificial Super Intelligence</x:v>
      </x:c>
      <x:c r="D211" s="9" t="n">
        <x:v>2025</x:v>
      </x:c>
      <x:c r="E211" s="8" t="str">
        <x:v>HKUST (Guangzhou); Carnegie Mellon University; UC San Diego; Shanghai Jiao Tong University; University of Illinois Urbana-Champaign; Chinese University of Hong Kong; Oregon State University; Pennsylvania State University; Princeton University; Tsinghua University; University of Sydney; University of Michigan; Fudan University; University of Hong Kong; UC Santa Barbara</x:v>
      </x:c>
      <x:c r="F211" s="10" t="str">
        <x:f>VLOOKUP(H211,'Taxonomy'!$A$6:$G$70,3,FALSE)</x:f>
        <x:v>前沿：下一代 Working Agents</x:v>
      </x:c>
      <x:c r="G211" s="10" t="str">
        <x:f>VLOOKUP(H211,'Taxonomy'!$A$6:$G$70,5,FALSE)</x:f>
        <x:v>从被动执行到持续责任</x:v>
      </x:c>
      <x:c r="H211" s="8" t="str">
        <x:v>7.2.3</x:v>
      </x:c>
      <x:c r="I211" s="10" t="str">
        <x:f>VLOOKUP(H211,'Taxonomy'!$A$6:$G$70,6,FALSE)</x:f>
        <x:v>持续个性化与自我演化</x:v>
      </x:c>
      <x:c r="J211" s="8" t="str">
        <x:v>跨任务个性化与自演化;经验记忆与技能优化;模型参数学习</x:v>
      </x:c>
      <x:c r="K211" s="8" t="str">
        <x:v>执行与状态管理;验证、恢复与重新规划</x:v>
      </x:c>
      <x:c r="L211" s="8" t="str"/>
      <x:c r="M211" s="8" t="str"/>
      <x:c r="N211" s="8" t="str">
        <x:v>Survey</x:v>
      </x:c>
      <x:c r="O211" s="11" t="str">
        <x:v>https://arxiv.org/abs/2507.21046</x:v>
      </x:c>
      <x:c r="P211" s="8" t="str">
        <x:v>综述代理通过经验反馈持续更新模型或外部组件的方法与挑战。</x:v>
      </x:c>
      <x:c r="Q211" s="8" t="str"/>
      <x:c r="R211" s="8" t="str"/>
      <x:c r="S211" s="8" t="str"/>
      <x:c r="T211" s="12" t="str">
        <x:v>未分配</x:v>
      </x:c>
      <x:c r="U211" s="12" t="str"/>
      <x:c r="V211" s="12" t="str"/>
      <x:c r="W211" s="12" t="str"/>
      <x:c r="X211" s="8" t="str">
        <x:v>verified</x:v>
      </x:c>
      <x:c r="Y211" s="11" t="str"/>
      <x:c r="Z211" s="11" t="str"/>
      <x:c r="AA211" s="11" t="str">
        <x:v>https://arxiv.org/html/2507.21046v1</x:v>
      </x:c>
      <x:c r="AB211" s="11" t="str">
        <x:v>https://arxiv.org/abs/2507.21046</x:v>
      </x:c>
      <x:c r="AC211" s="8" t="str"/>
      <x:c r="AD211" s="8" t="str"/>
      <x:c r="AE211" s="8" t="str"/>
      <x:c r="AF211" s="8" t="str">
        <x:v>用于“持续个性化与自我演化”：综述代理通过经验反馈持续更新模型或外部组件的方法与挑战。</x:v>
      </x:c>
      <x:c r="AG211" s="8" t="str">
        <x:v>persistent</x:v>
      </x:c>
      <x:c r="AH211" s="8" t="str">
        <x:v>Self-evolving-agent survey</x:v>
      </x:c>
      <x:c r="AI211" s="8" t="str"/>
      <x:c r="AJ211" s="8" t="str">
        <x:v>previous README / supplementary search</x:v>
      </x:c>
      <x:c r="AK211" s="13" t="d">
        <x:v>2026-10-16T00:00:00.000Z</x:v>
      </x:c>
      <x:c r="AL211" s="8" t="str">
        <x:v>新增/保留README来源；论文身份与摘要已核验；分类为维护者判断。</x:v>
      </x:c>
      <x:c r="AM211" s="8" t="str">
        <x:v>5;7.2</x:v>
      </x:c>
    </x:row>
    <x:row r="212" ht="68" customHeight="1">
      <x:c r="A212" s="8" t="str">
        <x:v>WA-0215</x:v>
      </x:c>
      <x:c r="B212" s="8" t="str">
        <x:v>A Survey on Latent Reasoning</x:v>
      </x:c>
      <x:c r="C212" s="8" t="str">
        <x:v>A Survey on Latent Reasoning</x:v>
      </x:c>
      <x:c r="D212" s="9" t="n">
        <x:v>2025</x:v>
      </x:c>
      <x:c r="E212" s="8" t="str">
        <x:v>UCSC; FDU; NJU; PKU; RUC; UoM; UW-Madison; PolyU; M-A-P</x:v>
      </x:c>
      <x:c r="F212" s="10" t="str">
        <x:f>VLOOKUP(H212,'Taxonomy'!$A$6:$G$70,3,FALSE)</x:f>
        <x:v>基础：定义、工作条件与核心能力</x:v>
      </x:c>
      <x:c r="G212" s="10" t="str">
        <x:f>VLOOKUP(H212,'Taxonomy'!$A$6:$G$70,5,FALSE)</x:f>
        <x:v>五项核心能力</x:v>
      </x:c>
      <x:c r="H212" s="8" t="str">
        <x:v>2.3.2</x:v>
      </x:c>
      <x:c r="I212" s="10" t="str">
        <x:f>VLOOKUP(H212,'Taxonomy'!$A$6:$G$70,6,FALSE)</x:f>
        <x:v>推理与决策</x:v>
      </x:c>
      <x:c r="J212" s="8" t="str">
        <x:v>证据整合与推理;范式与自主性边界</x:v>
      </x:c>
      <x:c r="K212" s="8" t="str">
        <x:v>推理与决策</x:v>
      </x:c>
      <x:c r="L212" s="8" t="str"/>
      <x:c r="M212" s="8" t="str"/>
      <x:c r="N212" s="8" t="str">
        <x:v>Survey</x:v>
      </x:c>
      <x:c r="O212" s="11" t="str">
        <x:v>https://arxiv.org/abs/2507.06203</x:v>
      </x:c>
      <x:c r="P212" s="8" t="str">
        <x:v>梳理潜在空间推理机制，为任务推理能力提供相邻研究背景。</x:v>
      </x:c>
      <x:c r="Q212" s="8" t="str"/>
      <x:c r="R212" s="8" t="str"/>
      <x:c r="S212" s="8" t="str"/>
      <x:c r="T212" s="12" t="str">
        <x:v>未分配</x:v>
      </x:c>
      <x:c r="U212" s="12" t="str"/>
      <x:c r="V212" s="12" t="str"/>
      <x:c r="W212" s="12" t="str"/>
      <x:c r="X212" s="8" t="str">
        <x:v>verified</x:v>
      </x:c>
      <x:c r="Y212" s="11" t="str"/>
      <x:c r="Z212" s="11" t="str"/>
      <x:c r="AA212" s="11" t="str">
        <x:v>https://arxiv.org/html/2507.06203v1</x:v>
      </x:c>
      <x:c r="AB212" s="11" t="str">
        <x:v>https://arxiv.org/abs/2507.06203</x:v>
      </x:c>
      <x:c r="AC212" s="8" t="str"/>
      <x:c r="AD212" s="8" t="str"/>
      <x:c r="AE212" s="8" t="str"/>
      <x:c r="AF212" s="8" t="str">
        <x:v>用于“推理与决策”：梳理潜在空间推理机制，为任务推理能力提供相邻研究背景。</x:v>
      </x:c>
      <x:c r="AG212" s="8" t="str">
        <x:v>related</x:v>
      </x:c>
      <x:c r="AH212" s="8" t="str">
        <x:v>Latent reasoning background</x:v>
      </x:c>
      <x:c r="AI212" s="8" t="str"/>
      <x:c r="AJ212" s="8" t="str">
        <x:v>previous README / supplementary search</x:v>
      </x:c>
      <x:c r="AK212" s="13" t="d">
        <x:v>2026-10-16T00:00:00.000Z</x:v>
      </x:c>
      <x:c r="AL212" s="8" t="str">
        <x:v>前置机构使用论文给定缩写保留，UoM等歧义不擅自展开；相邻推理综述，非数字工作直接评测。</x:v>
      </x:c>
      <x:c r="AM212" s="8" t="str">
        <x:v>4.2</x:v>
      </x:c>
    </x:row>
    <x:row r="213" ht="68" customHeight="1">
      <x:c r="A213" s="8" t="str">
        <x:v>WA-0218</x:v>
      </x:c>
      <x:c r="B213" s="8" t="str">
        <x:v>ADAS</x:v>
      </x:c>
      <x:c r="C213" s="8" t="str">
        <x:v>Automated Design of Agentic Systems</x:v>
      </x:c>
      <x:c r="D213" s="9" t="n">
        <x:v>2024</x:v>
      </x:c>
      <x:c r="E213" s="8" t="str">
        <x:v>University of British Columbia; Vector Institute</x:v>
      </x:c>
      <x:c r="F213" s="10" t="str">
        <x:f>VLOOKUP(H213,'Taxonomy'!$A$6:$G$70,3,FALSE)</x:f>
        <x:v>优化：从工作经验到系统能力</x:v>
      </x:c>
      <x:c r="G213" s="10" t="str">
        <x:f>VLOOKUP(H213,'Taxonomy'!$A$6:$G$70,5,FALSE)</x:f>
        <x:v>运行框架优化</x:v>
      </x:c>
      <x:c r="H213" s="8" t="str">
        <x:v>5.3.2</x:v>
      </x:c>
      <x:c r="I213" s="10" t="str">
        <x:f>VLOOKUP(H213,'Taxonomy'!$A$6:$G$70,6,FALSE)</x:f>
        <x:v>提示与工作流优化</x:v>
      </x:c>
      <x:c r="J213" s="8" t="str">
        <x:v>提示、流程与 harness 搜索;标准、量规与裁判</x:v>
      </x:c>
      <x:c r="K213" s="8" t="str">
        <x:v>规划与协调;验证、恢复与重新规划</x:v>
      </x:c>
      <x:c r="L213" s="8" t="str"/>
      <x:c r="M213" s="8" t="str"/>
      <x:c r="N213" s="8" t="str">
        <x:v>Method</x:v>
      </x:c>
      <x:c r="O213" s="11" t="str">
        <x:v>https://arxiv.org/abs/2408.08435</x:v>
      </x:c>
      <x:c r="P213" s="8" t="str">
        <x:v>让元代理在代码设计空间中自动搜索和评估新的代理系统。</x:v>
      </x:c>
      <x:c r="Q213" s="8" t="str"/>
      <x:c r="R213" s="8" t="str"/>
      <x:c r="S213" s="8" t="str"/>
      <x:c r="T213" s="12" t="str">
        <x:v>未分配</x:v>
      </x:c>
      <x:c r="U213" s="12" t="str"/>
      <x:c r="V213" s="12" t="str"/>
      <x:c r="W213" s="12" t="str"/>
      <x:c r="X213" s="8" t="str">
        <x:v>verified</x:v>
      </x:c>
      <x:c r="Y213" s="11" t="str"/>
      <x:c r="Z213" s="11" t="str"/>
      <x:c r="AA213" s="11" t="str">
        <x:v>https://arxiv.org/html/2408.08435v1</x:v>
      </x:c>
      <x:c r="AB213" s="11" t="str">
        <x:v>https://arxiv.org/abs/2408.08435</x:v>
      </x:c>
      <x:c r="AC213" s="8" t="str"/>
      <x:c r="AD213" s="8" t="str"/>
      <x:c r="AE213" s="8" t="str"/>
      <x:c r="AF213" s="8" t="str">
        <x:v>用于“提示与工作流优化”：让元代理在代码设计空间中自动搜索和评估新的代理系统。</x:v>
      </x:c>
      <x:c r="AG213" s="8" t="str">
        <x:v>harness</x:v>
      </x:c>
      <x:c r="AH213" s="8" t="str">
        <x:v>Automated agent design</x:v>
      </x:c>
      <x:c r="AI213" s="8" t="str"/>
      <x:c r="AJ213" s="8" t="str">
        <x:v>previous README / supplementary search</x:v>
      </x:c>
      <x:c r="AK213" s="13" t="d">
        <x:v>2026-10-16T00:00:00.000Z</x:v>
      </x:c>
      <x:c r="AL213" s="8" t="str">
        <x:v>新增/保留README来源；论文身份与摘要已核验；分类为维护者判断。</x:v>
      </x:c>
      <x:c r="AM213" s="8" t="str">
        <x:v>5.3</x:v>
      </x:c>
    </x:row>
    <x:row r="214" ht="68" customHeight="1">
      <x:c r="A214" s="8" t="str">
        <x:v>WA-0219</x:v>
      </x:c>
      <x:c r="B214" s="8" t="str">
        <x:v>Agent Q</x:v>
      </x:c>
      <x:c r="C214" s="8" t="str">
        <x:v>Agent Q: Advanced Reasoning and Learning for Autonomous AI Agents</x:v>
      </x:c>
      <x:c r="D214" s="9" t="n">
        <x:v>2024</x:v>
      </x:c>
      <x:c r="E214" s="8" t="str">
        <x:v>The AGI Company (MultiOn); Stanford University</x:v>
      </x:c>
      <x:c r="F214" s="10" t="str">
        <x:f>VLOOKUP(H214,'Taxonomy'!$A$6:$G$70,3,FALSE)</x:f>
        <x:v>优化：从工作经验到系统能力</x:v>
      </x:c>
      <x:c r="G214" s="10" t="str">
        <x:f>VLOOKUP(H214,'Taxonomy'!$A$6:$G$70,5,FALSE)</x:f>
        <x:v>模型优化</x:v>
      </x:c>
      <x:c r="H214" s="8" t="str">
        <x:v>5.2.2</x:v>
      </x:c>
      <x:c r="I214" s="10" t="str">
        <x:f>VLOOKUP(H214,'Taxonomy'!$A$6:$G$70,6,FALSE)</x:f>
        <x:v>智能体强化学习</x:v>
      </x:c>
      <x:c r="J214" s="8" t="str">
        <x:v>模型参数学习;任务分解与行动依赖</x:v>
      </x:c>
      <x:c r="K214" s="8" t="str">
        <x:v>规划与协调;执行与状态管理</x:v>
      </x:c>
      <x:c r="L214" s="8" t="str">
        <x:v>2.3.3 规划与协调</x:v>
      </x:c>
      <x:c r="M214" s="8" t="str"/>
      <x:c r="N214" s="8" t="str">
        <x:v>Method</x:v>
      </x:c>
      <x:c r="O214" s="11" t="str">
        <x:v>https://arxiv.org/abs/2408.07199</x:v>
      </x:c>
      <x:c r="P214" s="8" t="str">
        <x:v>结合搜索、反馈与策略学习提高网页代理对复杂任务的执行能力。</x:v>
      </x:c>
      <x:c r="Q214" s="8" t="str"/>
      <x:c r="R214" s="8" t="str"/>
      <x:c r="S214" s="8" t="str"/>
      <x:c r="T214" s="12" t="str">
        <x:v>未分配</x:v>
      </x:c>
      <x:c r="U214" s="12" t="str"/>
      <x:c r="V214" s="12" t="str"/>
      <x:c r="W214" s="12" t="str"/>
      <x:c r="X214" s="8" t="str">
        <x:v>verified</x:v>
      </x:c>
      <x:c r="Y214" s="11" t="str"/>
      <x:c r="Z214" s="11" t="str"/>
      <x:c r="AA214" s="11" t="str">
        <x:v>https://arxiv.org/html/2408.07199v1</x:v>
      </x:c>
      <x:c r="AB214" s="11" t="str">
        <x:v>https://arxiv.org/abs/2408.07199</x:v>
      </x:c>
      <x:c r="AC214" s="8" t="str"/>
      <x:c r="AD214" s="8" t="str"/>
      <x:c r="AE214" s="8" t="str"/>
      <x:c r="AF214" s="8" t="str">
        <x:v>用于“智能体强化学习”：结合搜索、反馈与策略学习提高网页代理对复杂任务的执行能力。</x:v>
      </x:c>
      <x:c r="AG214" s="8" t="str">
        <x:v>computer-use</x:v>
      </x:c>
      <x:c r="AH214" s="8" t="str">
        <x:v>Search and learning for web agents</x:v>
      </x:c>
      <x:c r="AI214" s="8" t="str"/>
      <x:c r="AJ214" s="8" t="str">
        <x:v>previous README / supplementary search</x:v>
      </x:c>
      <x:c r="AK214" s="13" t="d">
        <x:v>2026-10-16T00:00:00.000Z</x:v>
      </x:c>
      <x:c r="AL214" s="8" t="str">
        <x:v>新增/保留README来源；论文身份与摘要已核验；分类为维护者判断。</x:v>
      </x:c>
      <x:c r="AM214" s="8" t="str">
        <x:v>4.3;5.2</x:v>
      </x:c>
    </x:row>
    <x:row r="215" ht="68" customHeight="1">
      <x:c r="A215" s="8" t="str">
        <x:v>WA-0220</x:v>
      </x:c>
      <x:c r="B215" s="8" t="str">
        <x:v>AgentBoard</x:v>
      </x:c>
      <x:c r="C215" s="8" t="str">
        <x:v>AgentBoard: An Analytical Evaluation Board of Multi-turn LLM Agents</x:v>
      </x:c>
      <x:c r="D215" s="9" t="n">
        <x:v>2024</x:v>
      </x:c>
      <x:c r="E215" s="8" t="str">
        <x:v>Tsinghua University; Shanghai Jiao Tong University; Westlake University; The University of Hong Kong; HKUST; Zhejiang University</x:v>
      </x:c>
      <x:c r="F215" s="10" t="str">
        <x:f>VLOOKUP(H215,'Taxonomy'!$A$6:$G$70,3,FALSE)</x:f>
        <x:v>评估与资源：如何检验工作完成</x:v>
      </x:c>
      <x:c r="G215" s="10" t="str">
        <x:f>VLOOKUP(H215,'Taxonomy'!$A$6:$G$70,5,FALSE)</x:f>
        <x:v>评估方法</x:v>
      </x:c>
      <x:c r="H215" s="8" t="str">
        <x:v>6.2.1</x:v>
      </x:c>
      <x:c r="I215" s="10" t="str">
        <x:f>VLOOKUP(H215,'Taxonomy'!$A$6:$G$70,6,FALSE)</x:f>
        <x:v>评估目标与可观察证据</x:v>
      </x:c>
      <x:c r="J215" s="8" t="str">
        <x:v>答案、产物、状态与过程证据;成功、部分进展与稳定性;失败定位与根因诊断</x:v>
      </x:c>
      <x:c r="K215" s="8" t="str">
        <x:v>规划与协调;执行与状态管理;验证、恢复与重新规划</x:v>
      </x:c>
      <x:c r="L215" s="8" t="str">
        <x:v>6.1 基准与任务构造;6.4 开放框架与执行环境</x:v>
      </x:c>
      <x:c r="M215" s="8" t="str"/>
      <x:c r="N215" s="8" t="str">
        <x:v>Benchmark;Framework</x:v>
      </x:c>
      <x:c r="O215" s="11" t="str">
        <x:v>https://arxiv.org/abs/2401.13178</x:v>
      </x:c>
      <x:c r="P215" s="8" t="str">
        <x:v>统一多类多轮代理任务，提供进度和行为分析以诊断最终成功率之外的差异。</x:v>
      </x:c>
      <x:c r="Q215" s="8" t="str"/>
      <x:c r="R215" s="8" t="str"/>
      <x:c r="S215" s="8" t="str"/>
      <x:c r="T215" s="12" t="str">
        <x:v>未分配</x:v>
      </x:c>
      <x:c r="U215" s="12" t="str"/>
      <x:c r="V215" s="12" t="str"/>
      <x:c r="W215" s="12" t="str"/>
      <x:c r="X215" s="8" t="str">
        <x:v>verified</x:v>
      </x:c>
      <x:c r="Y215" s="11" t="str"/>
      <x:c r="Z215" s="11" t="str"/>
      <x:c r="AA215" s="11" t="str">
        <x:v>https://arxiv.org/html/2401.13178v1</x:v>
      </x:c>
      <x:c r="AB215" s="11" t="str">
        <x:v>https://arxiv.org/abs/2401.13178</x:v>
      </x:c>
      <x:c r="AC215" s="8" t="str"/>
      <x:c r="AD215" s="8" t="str"/>
      <x:c r="AE215" s="8" t="str"/>
      <x:c r="AF215" s="8" t="str">
        <x:v>用于“评估目标与可观察证据”：统一多类多轮代理任务，提供进度和行为分析以诊断最终成功率之外的差异。</x:v>
      </x:c>
      <x:c r="AG215" s="8" t="str">
        <x:v>harness</x:v>
      </x:c>
      <x:c r="AH215" s="8" t="str">
        <x:v>Multiturn agent diagnostics</x:v>
      </x:c>
      <x:c r="AI215" s="8" t="str"/>
      <x:c r="AJ215" s="8" t="str">
        <x:v>previous README / supplementary search</x:v>
      </x:c>
      <x:c r="AK215" s="13" t="d">
        <x:v>2026-10-16T00:00:00.000Z</x:v>
      </x:c>
      <x:c r="AL215" s="8" t="str">
        <x:v>新增/保留README来源；论文身份与摘要已核验；分类为维护者判断。</x:v>
      </x:c>
      <x:c r="AM215" s="8" t="str">
        <x:v>6.1;6.4</x:v>
      </x:c>
    </x:row>
    <x:row r="216" ht="68" customHeight="1">
      <x:c r="A216" s="8" t="str">
        <x:v>WA-0221</x:v>
      </x:c>
      <x:c r="B216" s="8" t="str">
        <x:v>AgentHarm</x:v>
      </x:c>
      <x:c r="C216" s="8" t="str">
        <x:v>AgentHarm: A Benchmark for Measuring Harmfulness of LLM Agents</x:v>
      </x:c>
      <x:c r="D216" s="9" t="n">
        <x:v>2024</x:v>
      </x:c>
      <x:c r="E216" s="8" t="str">
        <x:v>Gray Swan AI; UK AI Safety Institute</x:v>
      </x:c>
      <x:c r="F216" s="10" t="str">
        <x:f>VLOOKUP(H216,'Taxonomy'!$A$6:$G$70,3,FALSE)</x:f>
        <x:v>评估与资源：如何检验工作完成</x:v>
      </x:c>
      <x:c r="G216" s="10" t="str">
        <x:f>VLOOKUP(H216,'Taxonomy'!$A$6:$G$70,5,FALSE)</x:f>
        <x:v>评估方法</x:v>
      </x:c>
      <x:c r="H216" s="8" t="str">
        <x:v>6.2.1</x:v>
      </x:c>
      <x:c r="I216" s="10" t="str">
        <x:f>VLOOKUP(H216,'Taxonomy'!$A$6:$G$70,6,FALSE)</x:f>
        <x:v>评估目标与可观察证据</x:v>
      </x:c>
      <x:c r="J216" s="8" t="str">
        <x:v>安全、隐私与授权边界;答案、产物、状态与过程证据</x:v>
      </x:c>
      <x:c r="K216" s="8" t="str">
        <x:v>规划与协调;执行与状态管理;验证、恢复与重新规划</x:v>
      </x:c>
      <x:c r="L216" s="8" t="str">
        <x:v>6.1 基准与任务构造;7.4 以工作为中心的系统</x:v>
      </x:c>
      <x:c r="M216" s="8" t="str"/>
      <x:c r="N216" s="8" t="str">
        <x:v>Benchmark</x:v>
      </x:c>
      <x:c r="O216" s="11" t="str">
        <x:v>https://arxiv.org/abs/2410.09024</x:v>
      </x:c>
      <x:c r="P216" s="8" t="str">
        <x:v>测试代理对多步骤有害请求的拒绝与执行行为。</x:v>
      </x:c>
      <x:c r="Q216" s="8" t="str"/>
      <x:c r="R216" s="8" t="str"/>
      <x:c r="S216" s="8" t="str"/>
      <x:c r="T216" s="12" t="str">
        <x:v>未分配</x:v>
      </x:c>
      <x:c r="U216" s="12" t="str"/>
      <x:c r="V216" s="12" t="str"/>
      <x:c r="W216" s="12" t="str"/>
      <x:c r="X216" s="8" t="str">
        <x:v>verified</x:v>
      </x:c>
      <x:c r="Y216" s="11" t="str"/>
      <x:c r="Z216" s="11" t="str"/>
      <x:c r="AA216" s="11" t="str">
        <x:v>https://arxiv.org/html/2410.09024v1</x:v>
      </x:c>
      <x:c r="AB216" s="11" t="str">
        <x:v>https://arxiv.org/abs/2410.09024</x:v>
      </x:c>
      <x:c r="AC216" s="8" t="str"/>
      <x:c r="AD216" s="8" t="str"/>
      <x:c r="AE216" s="8" t="str"/>
      <x:c r="AF216" s="8" t="str">
        <x:v>用于“评估目标与可观察证据”：测试代理对多步骤有害请求的拒绝与执行行为。</x:v>
      </x:c>
      <x:c r="AG216" s="8" t="str">
        <x:v>safety</x:v>
      </x:c>
      <x:c r="AH216" s="8" t="str">
        <x:v>Harmful agent-task completion</x:v>
      </x:c>
      <x:c r="AI216" s="8" t="str"/>
      <x:c r="AJ216" s="8" t="str">
        <x:v>previous README / supplementary search</x:v>
      </x:c>
      <x:c r="AK216" s="13" t="d">
        <x:v>2026-10-16T00:00:00.000Z</x:v>
      </x:c>
      <x:c r="AL216" s="8" t="str">
        <x:v>新增/保留README来源；论文身份与摘要已核验；分类为维护者判断。</x:v>
      </x:c>
      <x:c r="AM216" s="8" t="str">
        <x:v>6.1;7.4</x:v>
      </x:c>
    </x:row>
    <x:row r="217" ht="68" customHeight="1">
      <x:c r="A217" s="8" t="str">
        <x:v>WA-0222</x:v>
      </x:c>
      <x:c r="B217" s="8" t="str">
        <x:v>AgentIF-OneDay</x:v>
      </x:c>
      <x:c r="C217" s="8" t="str">
        <x:v>AgentIF-OneDay: A Task-level Instruction-Following Benchmark for General AI Agents in Daily Scenarios</x:v>
      </x:c>
      <x:c r="D217" s="9" t="n">
        <x:v>2026</x:v>
      </x:c>
      <x:c r="E217" s="8" t="str">
        <x:v>xbench.org</x:v>
      </x:c>
      <x:c r="F217" s="10" t="str">
        <x:f>VLOOKUP(H217,'Taxonomy'!$A$6:$G$70,3,FALSE)</x:f>
        <x:v>评估与资源：如何检验工作完成</x:v>
      </x:c>
      <x:c r="G217" s="10" t="str">
        <x:f>VLOOKUP(H217,'Taxonomy'!$A$6:$G$70,5,FALSE)</x:f>
        <x:v>评估方法</x:v>
      </x:c>
      <x:c r="H217" s="8" t="str">
        <x:v>6.2.1</x:v>
      </x:c>
      <x:c r="I217" s="10" t="str">
        <x:f>VLOOKUP(H217,'Taxonomy'!$A$6:$G$70,6,FALSE)</x:f>
        <x:v>评估目标与可观察证据</x:v>
      </x:c>
      <x:c r="J217" s="8" t="str">
        <x:v>答案、产物、状态与过程证据;标准、量规与裁判;成功、部分进展与稳定性</x:v>
      </x:c>
      <x:c r="K217" s="8" t="str">
        <x:v>规划与协调;执行与状态管理;验证、恢复与重新规划</x:v>
      </x:c>
      <x:c r="L217" s="8" t="str">
        <x:v>6.1 基准与任务构造</x:v>
      </x:c>
      <x:c r="M217" s="8" t="str"/>
      <x:c r="N217" s="8" t="str">
        <x:v>Benchmark</x:v>
      </x:c>
      <x:c r="O217" s="11" t="str">
        <x:v>https://arxiv.org/abs/2601.20613</x:v>
      </x:c>
      <x:c r="P217" s="8" t="str">
        <x:v>在日常代理任务中评估任务级指令遵循和细粒度要求满足程度。</x:v>
      </x:c>
      <x:c r="Q217" s="8" t="str"/>
      <x:c r="R217" s="8" t="str"/>
      <x:c r="S217" s="8" t="str"/>
      <x:c r="T217" s="12" t="str">
        <x:v>未分配</x:v>
      </x:c>
      <x:c r="U217" s="12" t="str"/>
      <x:c r="V217" s="12" t="str"/>
      <x:c r="W217" s="12" t="str"/>
      <x:c r="X217" s="8" t="str">
        <x:v>verified</x:v>
      </x:c>
      <x:c r="Y217" s="11" t="str"/>
      <x:c r="Z217" s="11" t="str"/>
      <x:c r="AA217" s="11" t="str">
        <x:v>https://arxiv.org/html/2601.20613v1</x:v>
      </x:c>
      <x:c r="AB217" s="11" t="str">
        <x:v>https://arxiv.org/abs/2601.20613</x:v>
      </x:c>
      <x:c r="AC217" s="8" t="str"/>
      <x:c r="AD217" s="8" t="str"/>
      <x:c r="AE217" s="8" t="str"/>
      <x:c r="AF217" s="8" t="str">
        <x:v>用于“评估目标与可观察证据”：在日常代理任务中评估任务级指令遵循和细粒度要求满足程度。</x:v>
      </x:c>
      <x:c r="AG217" s="8" t="str">
        <x:v>workspace</x:v>
      </x:c>
      <x:c r="AH217" s="8" t="str">
        <x:v>Task-level instruction following</x:v>
      </x:c>
      <x:c r="AI217" s="8" t="str"/>
      <x:c r="AJ217" s="8" t="str">
        <x:v>previous README / supplementary search</x:v>
      </x:c>
      <x:c r="AK217" s="13" t="d">
        <x:v>2026-10-16T00:00:00.000Z</x:v>
      </x:c>
      <x:c r="AL217" s="8" t="str">
        <x:v>新增/保留README来源；论文身份与摘要已核验；分类为维护者判断。</x:v>
      </x:c>
      <x:c r="AM217" s="8" t="str">
        <x:v>6.1</x:v>
      </x:c>
    </x:row>
    <x:row r="218" ht="68" customHeight="1">
      <x:c r="A218" s="8" t="str">
        <x:v>WA-0223</x:v>
      </x:c>
      <x:c r="B218" s="8" t="str">
        <x:v>AgentRewardBench</x:v>
      </x:c>
      <x:c r="C218" s="8" t="str">
        <x:v>AgentRewardBench: Evaluating Automatic Evaluations of Web Agent Trajectories</x:v>
      </x:c>
      <x:c r="D218" s="9" t="n">
        <x:v>2025</x:v>
      </x:c>
      <x:c r="E218" s="8" t="str">
        <x:v>McGill University; Mila; Google DeepMind; Polytechnique Montréal; ServiceNow Research</x:v>
      </x:c>
      <x:c r="F218" s="10" t="str">
        <x:f>VLOOKUP(H218,'Taxonomy'!$A$6:$G$70,3,FALSE)</x:f>
        <x:v>评估与资源：如何检验工作完成</x:v>
      </x:c>
      <x:c r="G218" s="10" t="str">
        <x:f>VLOOKUP(H218,'Taxonomy'!$A$6:$G$70,5,FALSE)</x:f>
        <x:v>评估方法</x:v>
      </x:c>
      <x:c r="H218" s="8" t="str">
        <x:v>6.2.2</x:v>
      </x:c>
      <x:c r="I218" s="10" t="str">
        <x:f>VLOOKUP(H218,'Taxonomy'!$A$6:$G$70,6,FALSE)</x:f>
        <x:v>评判程序</x:v>
      </x:c>
      <x:c r="J218" s="8" t="str">
        <x:v>标准、量规与裁判;答案、产物、状态与过程证据;验证证据的有效性</x:v>
      </x:c>
      <x:c r="K218" s="8" t="str">
        <x:v>验证、恢复与重新规划</x:v>
      </x:c>
      <x:c r="L218" s="8" t="str">
        <x:v>6.3 结果对齐指标</x:v>
      </x:c>
      <x:c r="M218" s="8" t="str"/>
      <x:c r="N218" s="8" t="str">
        <x:v>Benchmark</x:v>
      </x:c>
      <x:c r="O218" s="11" t="str">
        <x:v>https://arxiv.org/abs/2504.08942</x:v>
      </x:c>
      <x:c r="P218" s="8" t="str">
        <x:v>评价网页代理轨迹的自动评测方法，检验评分器与任务完成信号的可靠性。</x:v>
      </x:c>
      <x:c r="Q218" s="8" t="str"/>
      <x:c r="R218" s="8" t="str"/>
      <x:c r="S218" s="8" t="str"/>
      <x:c r="T218" s="12" t="str">
        <x:v>未分配</x:v>
      </x:c>
      <x:c r="U218" s="12" t="str"/>
      <x:c r="V218" s="12" t="str"/>
      <x:c r="W218" s="12" t="str"/>
      <x:c r="X218" s="8" t="str">
        <x:v>verified</x:v>
      </x:c>
      <x:c r="Y218" s="11" t="str"/>
      <x:c r="Z218" s="11" t="str"/>
      <x:c r="AA218" s="11" t="str">
        <x:v>https://arxiv.org/html/2504.08942v1</x:v>
      </x:c>
      <x:c r="AB218" s="11" t="str">
        <x:v>https://arxiv.org/abs/2504.08942</x:v>
      </x:c>
      <x:c r="AC218" s="8" t="str"/>
      <x:c r="AD218" s="8" t="str"/>
      <x:c r="AE218" s="8" t="str"/>
      <x:c r="AF218" s="8" t="str">
        <x:v>用于“评判程序”：评价网页代理轨迹的自动评测方法，检验评分器与任务完成信号的可靠性。</x:v>
      </x:c>
      <x:c r="AG218" s="8" t="str">
        <x:v>verification</x:v>
      </x:c>
      <x:c r="AH218" s="8" t="str">
        <x:v>Web trajectory evaluation</x:v>
      </x:c>
      <x:c r="AI218" s="8" t="str"/>
      <x:c r="AJ218" s="8" t="str">
        <x:v>previous README / supplementary search</x:v>
      </x:c>
      <x:c r="AK218" s="13" t="d">
        <x:v>2026-10-16T00:00:00.000Z</x:v>
      </x:c>
      <x:c r="AL218" s="8" t="str">
        <x:v>新增/保留README来源；论文身份与摘要已核验；分类为维护者判断。</x:v>
      </x:c>
      <x:c r="AM218" s="8" t="str">
        <x:v>6.3</x:v>
      </x:c>
    </x:row>
    <x:row r="219" ht="68" customHeight="1">
      <x:c r="A219" s="8" t="str">
        <x:v>WA-0224</x:v>
      </x:c>
      <x:c r="B219" s="8" t="str">
        <x:v>AgentSquare</x:v>
      </x:c>
      <x:c r="C219" s="8" t="str">
        <x:v>AgentSquare: Automatic LLM Agent Search in Modular Design Space</x:v>
      </x:c>
      <x:c r="D219" s="9" t="n">
        <x:v>2024</x:v>
      </x:c>
      <x:c r="E219" s="8" t="str">
        <x:v>Tsinghua University</x:v>
      </x:c>
      <x:c r="F219" s="10" t="str">
        <x:f>VLOOKUP(H219,'Taxonomy'!$A$6:$G$70,3,FALSE)</x:f>
        <x:v>优化：从工作经验到系统能力</x:v>
      </x:c>
      <x:c r="G219" s="10" t="str">
        <x:f>VLOOKUP(H219,'Taxonomy'!$A$6:$G$70,5,FALSE)</x:f>
        <x:v>运行框架优化</x:v>
      </x:c>
      <x:c r="H219" s="8" t="str">
        <x:v>5.3.2</x:v>
      </x:c>
      <x:c r="I219" s="10" t="str">
        <x:f>VLOOKUP(H219,'Taxonomy'!$A$6:$G$70,6,FALSE)</x:f>
        <x:v>提示与工作流优化</x:v>
      </x:c>
      <x:c r="J219" s="8" t="str">
        <x:v>提示、流程与 harness 搜索;定义、系统职责与工作循环</x:v>
      </x:c>
      <x:c r="K219" s="8" t="str">
        <x:v>规划与协调;验证、恢复与重新规划</x:v>
      </x:c>
      <x:c r="L219" s="8" t="str"/>
      <x:c r="M219" s="8" t="str"/>
      <x:c r="N219" s="8" t="str">
        <x:v>Method</x:v>
      </x:c>
      <x:c r="O219" s="11" t="str">
        <x:v>https://arxiv.org/abs/2410.06153</x:v>
      </x:c>
      <x:c r="P219" s="8" t="str">
        <x:v>在模块化设计空间中自动搜索代理结构与组件组合。</x:v>
      </x:c>
      <x:c r="Q219" s="8" t="str"/>
      <x:c r="R219" s="8" t="str"/>
      <x:c r="S219" s="8" t="str"/>
      <x:c r="T219" s="12" t="str">
        <x:v>未分配</x:v>
      </x:c>
      <x:c r="U219" s="12" t="str"/>
      <x:c r="V219" s="12" t="str"/>
      <x:c r="W219" s="12" t="str"/>
      <x:c r="X219" s="8" t="str">
        <x:v>verified</x:v>
      </x:c>
      <x:c r="Y219" s="11" t="str"/>
      <x:c r="Z219" s="11" t="str"/>
      <x:c r="AA219" s="11" t="str">
        <x:v>https://arxiv.org/html/2410.06153v1</x:v>
      </x:c>
      <x:c r="AB219" s="11" t="str">
        <x:v>https://arxiv.org/abs/2410.06153</x:v>
      </x:c>
      <x:c r="AC219" s="8" t="str"/>
      <x:c r="AD219" s="8" t="str"/>
      <x:c r="AE219" s="8" t="str"/>
      <x:c r="AF219" s="8" t="str">
        <x:v>用于“提示与工作流优化”：在模块化设计空间中自动搜索代理结构与组件组合。</x:v>
      </x:c>
      <x:c r="AG219" s="8" t="str">
        <x:v>harness</x:v>
      </x:c>
      <x:c r="AH219" s="8" t="str">
        <x:v>Modular agent search</x:v>
      </x:c>
      <x:c r="AI219" s="8" t="str"/>
      <x:c r="AJ219" s="8" t="str">
        <x:v>previous README / supplementary search</x:v>
      </x:c>
      <x:c r="AK219" s="13" t="d">
        <x:v>2026-10-16T00:00:00.000Z</x:v>
      </x:c>
      <x:c r="AL219" s="8" t="str">
        <x:v>新增/保留README来源；论文身份与摘要已核验；分类为维护者判断。</x:v>
      </x:c>
      <x:c r="AM219" s="8" t="str">
        <x:v>5.3</x:v>
      </x:c>
    </x:row>
    <x:row r="220" ht="68" customHeight="1">
      <x:c r="A220" s="8" t="str">
        <x:v>WA-0225</x:v>
      </x:c>
      <x:c r="B220" s="8" t="str">
        <x:v>Agents’ Last Exam</x:v>
      </x:c>
      <x:c r="C220" s="8" t="str">
        <x:v>Agents' Last Exam</x:v>
      </x:c>
      <x:c r="D220" s="9" t="n">
        <x:v>2026</x:v>
      </x:c>
      <x:c r="E220" s="8" t="str">
        <x:v>UC Berkeley RDI (lead institution; collaborating experts from other institutions)</x:v>
      </x:c>
      <x:c r="F220" s="10" t="str">
        <x:f>VLOOKUP(H220,'Taxonomy'!$A$6:$G$70,3,FALSE)</x:f>
        <x:v>评估与资源：如何检验工作完成</x:v>
      </x:c>
      <x:c r="G220" s="10" t="str">
        <x:f>VLOOKUP(H220,'Taxonomy'!$A$6:$G$70,5,FALSE)</x:f>
        <x:v>基准与任务构造</x:v>
      </x:c>
      <x:c r="H220" s="8" t="str">
        <x:v>6.1.2</x:v>
      </x:c>
      <x:c r="I220" s="10" t="str">
        <x:f>VLOOKUP(H220,'Taxonomy'!$A$6:$G$70,6,FALSE)</x:f>
        <x:v>领域覆盖与工作要求</x:v>
      </x:c>
      <x:c r="J220" s="8" t="str">
        <x:v>任务覆盖与泛化边界;标准、量规与裁判;质量、时间成本与使用价值</x:v>
      </x:c>
      <x:c r="K220" s="8" t="str">
        <x:v>规划与协调;执行与状态管理;验证、恢复与重新规划</x:v>
      </x:c>
      <x:c r="L220" s="8" t="str"/>
      <x:c r="M220" s="8" t="str"/>
      <x:c r="N220" s="8" t="str">
        <x:v>Benchmark</x:v>
      </x:c>
      <x:c r="O220" s="11" t="str">
        <x:v>https://arxiv.org/abs/2606.05405</x:v>
      </x:c>
      <x:c r="P220" s="8" t="str">
        <x:v>用经济上有意义的复杂工作检验通用代理能否完成专业交付。</x:v>
      </x:c>
      <x:c r="Q220" s="8" t="str"/>
      <x:c r="R220" s="8" t="str"/>
      <x:c r="S220" s="8" t="str"/>
      <x:c r="T220" s="12" t="str">
        <x:v>未分配</x:v>
      </x:c>
      <x:c r="U220" s="12" t="str"/>
      <x:c r="V220" s="12" t="str"/>
      <x:c r="W220" s="12" t="str"/>
      <x:c r="X220" s="8" t="str">
        <x:v>verified</x:v>
      </x:c>
      <x:c r="Y220" s="11" t="str"/>
      <x:c r="Z220" s="11" t="str"/>
      <x:c r="AA220" s="11" t="str">
        <x:v>https://rdi.berkeley.edu/blog/agents-last-exam/</x:v>
      </x:c>
      <x:c r="AB220" s="11" t="str">
        <x:v>https://arxiv.org/abs/2606.05405</x:v>
      </x:c>
      <x:c r="AC220" s="8" t="str"/>
      <x:c r="AD220" s="8" t="str"/>
      <x:c r="AE220" s="8" t="str"/>
      <x:c r="AF220" s="8" t="str">
        <x:v>用于“领域覆盖与工作要求”：用经济上有意义的复杂工作检验通用代理能否完成专业交付。</x:v>
      </x:c>
      <x:c r="AG220" s="8" t="str">
        <x:v>workspace</x:v>
      </x:c>
      <x:c r="AH220" s="8" t="str">
        <x:v>Long-horizon professional work</x:v>
      </x:c>
      <x:c r="AI220" s="8" t="str"/>
      <x:c r="AJ220" s="8" t="str">
        <x:v>previous README / supplementary search</x:v>
      </x:c>
      <x:c r="AK220" s="13" t="d">
        <x:v>2026-10-16T00:00:00.000Z</x:v>
      </x:c>
      <x:c r="AL220" s="8" t="str">
        <x:v>官方Berkeley RDI项目发布明确署名UC Berkeley RDI并链接此arXiv论文；机构字段记录牵头机构，不声称穷尽大量外部专家单位。ALE覆盖实际职业工作，ALE-CLI仅为其CLI子集。</x:v>
      </x:c>
      <x:c r="AM220" s="8" t="str">
        <x:v>6.1</x:v>
      </x:c>
    </x:row>
    <x:row r="221" ht="68" customHeight="1">
      <x:c r="A221" s="8" t="str">
        <x:v>WA-0226</x:v>
      </x:c>
      <x:c r="B221" s="8" t="str">
        <x:v>AgentTrek</x:v>
      </x:c>
      <x:c r="C221" s="8" t="str">
        <x:v>AgentTrek: Agent Trajectory Synthesis via Guiding Replay with Web Tutorials</x:v>
      </x:c>
      <x:c r="D221" s="9" t="n">
        <x:v>2024</x:v>
      </x:c>
      <x:c r="E221" s="8" t="str">
        <x:v>University of Hong Kong; Salesforce Research</x:v>
      </x:c>
      <x:c r="F221" s="10" t="str">
        <x:f>VLOOKUP(H221,'Taxonomy'!$A$6:$G$70,3,FALSE)</x:f>
        <x:v>优化：从工作经验到系统能力</x:v>
      </x:c>
      <x:c r="G221" s="10" t="str">
        <x:f>VLOOKUP(H221,'Taxonomy'!$A$6:$G$70,5,FALSE)</x:f>
        <x:v>训练环境、数据与奖励</x:v>
      </x:c>
      <x:c r="H221" s="8" t="str">
        <x:v>5.1.2</x:v>
      </x:c>
      <x:c r="I221" s="10" t="str">
        <x:f>VLOOKUP(H221,'Taxonomy'!$A$6:$G$70,6,FALSE)</x:f>
        <x:v>轨迹采集与筛选</x:v>
      </x:c>
      <x:c r="J221" s="8" t="str">
        <x:v>轨迹采集与策划;任务与环境合成</x:v>
      </x:c>
      <x:c r="K221" s="8" t="str">
        <x:v>规划与协调;执行与状态管理</x:v>
      </x:c>
      <x:c r="L221" s="8" t="str"/>
      <x:c r="M221" s="8" t="str"/>
      <x:c r="N221" s="8" t="str">
        <x:v>Method;Framework</x:v>
      </x:c>
      <x:c r="O221" s="11" t="str">
        <x:v>https://arxiv.org/abs/2412.09605</x:v>
      </x:c>
      <x:c r="P221" s="8" t="str">
        <x:v>从网页教程自动构建任务并生成交互轨迹，为计算机代理训练提供规模化数据。</x:v>
      </x:c>
      <x:c r="Q221" s="8" t="str"/>
      <x:c r="R221" s="8" t="str"/>
      <x:c r="S221" s="8" t="str"/>
      <x:c r="T221" s="12" t="str">
        <x:v>未分配</x:v>
      </x:c>
      <x:c r="U221" s="12" t="str"/>
      <x:c r="V221" s="12" t="str"/>
      <x:c r="W221" s="12" t="str"/>
      <x:c r="X221" s="8" t="str">
        <x:v>verified</x:v>
      </x:c>
      <x:c r="Y221" s="11" t="str"/>
      <x:c r="Z221" s="11" t="str"/>
      <x:c r="AA221" s="11" t="str">
        <x:v>https://arxiv.org/html/2412.09605v1</x:v>
      </x:c>
      <x:c r="AB221" s="11" t="str">
        <x:v>https://arxiv.org/abs/2412.09605</x:v>
      </x:c>
      <x:c r="AC221" s="8" t="str"/>
      <x:c r="AD221" s="8" t="str"/>
      <x:c r="AE221" s="8" t="str"/>
      <x:c r="AF221" s="8" t="str">
        <x:v>用于“轨迹采集与筛选”：从网页教程自动构建任务并生成交互轨迹，为计算机代理训练提供规模化数据。</x:v>
      </x:c>
      <x:c r="AG221" s="8" t="str">
        <x:v>computer-use</x:v>
      </x:c>
      <x:c r="AH221" s="8" t="str">
        <x:v>Web data for agent training</x:v>
      </x:c>
      <x:c r="AI221" s="8" t="str"/>
      <x:c r="AJ221" s="8" t="str">
        <x:v>previous README / supplementary search</x:v>
      </x:c>
      <x:c r="AK221" s="13" t="d">
        <x:v>2026-10-16T00:00:00.000Z</x:v>
      </x:c>
      <x:c r="AL221" s="8" t="str">
        <x:v>新增/保留README来源；论文身份与摘要已核验；分类为维护者判断。</x:v>
      </x:c>
      <x:c r="AM221" s="8" t="str">
        <x:v>5.1</x:v>
      </x:c>
    </x:row>
    <x:row r="222" ht="68" customHeight="1">
      <x:c r="A222" s="8" t="str">
        <x:v>WA-0227</x:v>
      </x:c>
      <x:c r="B222" s="8" t="str">
        <x:v>APEX-Agents</x:v>
      </x:c>
      <x:c r="C222" s="8" t="str">
        <x:v>APEX-Agents</x:v>
      </x:c>
      <x:c r="D222" s="9" t="n">
        <x:v>2026</x:v>
      </x:c>
      <x:c r="E222" s="8" t="str">
        <x:v>Mercor</x:v>
      </x:c>
      <x:c r="F222" s="10" t="str">
        <x:f>VLOOKUP(H222,'Taxonomy'!$A$6:$G$70,3,FALSE)</x:f>
        <x:v>基础：定义、工作条件与核心能力</x:v>
      </x:c>
      <x:c r="G222" s="10" t="str">
        <x:f>VLOOKUP(H222,'Taxonomy'!$A$6:$G$70,5,FALSE)</x:f>
        <x:v>五项核心能力</x:v>
      </x:c>
      <x:c r="H222" s="8" t="str">
        <x:v>2.3.2</x:v>
      </x:c>
      <x:c r="I222" s="10" t="str">
        <x:f>VLOOKUP(H222,'Taxonomy'!$A$6:$G$70,6,FALSE)</x:f>
        <x:v>推理与决策</x:v>
      </x:c>
      <x:c r="J222" s="8" t="str">
        <x:v>职业知识与专业判断;分布信息、澄清与协调;任务覆盖与泛化边界</x:v>
      </x:c>
      <x:c r="K222" s="8" t="str">
        <x:v>推理与决策;规划与协调;执行与状态管理;验证、恢复与重新规划</x:v>
      </x:c>
      <x:c r="L222" s="8" t="str">
        <x:v>2.3.3 规划与协调;6.1.2 领域覆盖与工作要求</x:v>
      </x:c>
      <x:c r="M222" s="8" t="str"/>
      <x:c r="N222" s="8" t="str">
        <x:v>Benchmark</x:v>
      </x:c>
      <x:c r="O222" s="11" t="str">
        <x:v>https://arxiv.org/abs/2601.14242</x:v>
      </x:c>
      <x:c r="P222" s="8" t="str">
        <x:v>覆盖投行、咨询与公司法务中的长程跨应用工作，以真实专业交付标准验收。</x:v>
      </x:c>
      <x:c r="Q222" s="8" t="str">
        <x:v>补足一般桌面任务与专业业务判断之间的距离。</x:v>
      </x:c>
      <x:c r="R222" s="8" t="str">
        <x:v>职业范围有限；论文发布版、后续公开版本及运行基础设施需分清。</x:v>
      </x:c>
      <x:c r="S222" s="8" t="str">
        <x:v>核心</x:v>
      </x:c>
      <x:c r="T222" s="12" t="str">
        <x:v>未分配</x:v>
      </x:c>
      <x:c r="U222" s="12" t="str"/>
      <x:c r="V222" s="12" t="str"/>
      <x:c r="W222" s="12" t="str"/>
      <x:c r="X222" s="8" t="str">
        <x:v>verified</x:v>
      </x:c>
      <x:c r="Y222" s="11" t="str"/>
      <x:c r="Z222" s="11" t="str">
        <x:v>https://huggingface.co/datasets/mercor/apex-agents</x:v>
      </x:c>
      <x:c r="AA222" s="11" t="str">
        <x:v>https://arxiv.org/html/2601.14242v1</x:v>
      </x:c>
      <x:c r="AB222" s="11" t="str">
        <x:v>https://arxiv.org/abs/2601.14242</x:v>
      </x:c>
      <x:c r="AC222" s="8" t="str">
        <x:v>L002</x:v>
      </x:c>
      <x:c r="AD222" s="8" t="str">
        <x:v>文献库已有，2／4未引；官方摘要。</x:v>
      </x:c>
      <x:c r="AE222" s="8" t="str">
        <x:v>2.3.2领域知识；2.3.3任务组织；评估章职业任务；2.1 工作范围；2.3 专业判断/协调。</x:v>
      </x:c>
      <x:c r="AF222" s="8" t="str">
        <x:v>按补充清单 L002 的论证用途归入“推理与决策”：补足一般桌面任务与专业业务判断之间的距离。</x:v>
      </x:c>
      <x:c r="AG222" s="8" t="str">
        <x:v>workspace</x:v>
      </x:c>
      <x:c r="AH222" s="8" t="str">
        <x:v>Professional-services workflows</x:v>
      </x:c>
      <x:c r="AI222" s="8" t="str"/>
      <x:c r="AJ222" s="8" t="str">
        <x:v>previous README / supplementary search;2026-10-16 chapter 2 / former chapter 4 supplement</x:v>
      </x:c>
      <x:c r="AK222" s="13" t="d">
        <x:v>2026-10-16T00:00:00.000Z</x:v>
      </x:c>
      <x:c r="AL222" s="8" t="str">
        <x:v>原README标2025且gated；论文首发2026年1月，发布方称公开基准；以当前数据卡权限为准。</x:v>
      </x:c>
      <x:c r="AM222" s="8" t="str">
        <x:v>6.1</x:v>
      </x:c>
    </x:row>
    <x:row r="223" ht="68" customHeight="1">
      <x:c r="A223" s="8" t="str">
        <x:v>WA-0228</x:v>
      </x:c>
      <x:c r="B223" s="8" t="str">
        <x:v>AssistantBench</x:v>
      </x:c>
      <x:c r="C223" s="8" t="str">
        <x:v>AssistantBench: Can Web Agents Solve Realistic and Time-Consuming Tasks?</x:v>
      </x:c>
      <x:c r="D223" s="9" t="n">
        <x:v>2024</x:v>
      </x:c>
      <x:c r="E223" s="8" t="str">
        <x:v>Tel Aviv University; University of Pennsylvania; Allen Institute for AI; University of Washington; Princeton University</x:v>
      </x:c>
      <x:c r="F223" s="10" t="str">
        <x:f>VLOOKUP(H223,'Taxonomy'!$A$6:$G$70,3,FALSE)</x:f>
        <x:v>基础：定义、工作条件与核心能力</x:v>
      </x:c>
      <x:c r="G223" s="10" t="str">
        <x:f>VLOOKUP(H223,'Taxonomy'!$A$6:$G$70,5,FALSE)</x:f>
        <x:v>五项核心能力</x:v>
      </x:c>
      <x:c r="H223" s="8" t="str">
        <x:v>2.3.1</x:v>
      </x:c>
      <x:c r="I223" s="10" t="str">
        <x:f>VLOOKUP(H223,'Taxonomy'!$A$6:$G$70,6,FALSE)</x:f>
        <x:v>感知与理解</x:v>
      </x:c>
      <x:c r="J223" s="8" t="str">
        <x:v>材料发现与证据定位;证据整合与推理</x:v>
      </x:c>
      <x:c r="K223" s="8" t="str">
        <x:v>感知与理解;推理与决策;规划与协调</x:v>
      </x:c>
      <x:c r="L223" s="8" t="str">
        <x:v>6.1 基准与任务构造</x:v>
      </x:c>
      <x:c r="M223" s="8" t="str"/>
      <x:c r="N223" s="8" t="str">
        <x:v>Benchmark</x:v>
      </x:c>
      <x:c r="O223" s="11" t="str">
        <x:v>https://arxiv.org/abs/2407.15711</x:v>
      </x:c>
      <x:c r="P223" s="8" t="str">
        <x:v>收集真实且耗时的网页研究问题，检验跨网页信息整合和答案可靠性。</x:v>
      </x:c>
      <x:c r="Q223" s="8" t="str"/>
      <x:c r="R223" s="8" t="str"/>
      <x:c r="S223" s="8" t="str"/>
      <x:c r="T223" s="12" t="str">
        <x:v>未分配</x:v>
      </x:c>
      <x:c r="U223" s="12" t="str"/>
      <x:c r="V223" s="12" t="str"/>
      <x:c r="W223" s="12" t="str"/>
      <x:c r="X223" s="8" t="str">
        <x:v>verified</x:v>
      </x:c>
      <x:c r="Y223" s="11" t="str"/>
      <x:c r="Z223" s="11" t="str"/>
      <x:c r="AA223" s="11" t="str">
        <x:v>https://arxiv.org/html/2407.15711v1</x:v>
      </x:c>
      <x:c r="AB223" s="11" t="str">
        <x:v>https://arxiv.org/abs/2407.15711</x:v>
      </x:c>
      <x:c r="AC223" s="8" t="str">
        <x:v>AIO-272</x:v>
      </x:c>
      <x:c r="AD223" s="8" t="str"/>
      <x:c r="AE223" s="8" t="str"/>
      <x:c r="AF223" s="8" t="str">
        <x:v>用于“感知与理解”：收集真实且耗时的网页研究问题，检验跨网页信息整合和答案可靠性。</x:v>
      </x:c>
      <x:c r="AG223" s="8" t="str">
        <x:v>related</x:v>
      </x:c>
      <x:c r="AH223" s="8" t="str">
        <x:v>Realistic web research</x:v>
      </x:c>
      <x:c r="AI223" s="8" t="str"/>
      <x:c r="AJ223" s="8" t="str">
        <x:v>previous README / supplementary search;2026-10-16 AI Office survey bibliography</x:v>
      </x:c>
      <x:c r="AK223" s="13" t="d">
        <x:v>2026-10-16T00:00:00.000Z</x:v>
      </x:c>
      <x:c r="AL223" s="8" t="str">
        <x:v>由workspace移至Related：答案型网页研究，不直接验证最终工作文件。</x:v>
      </x:c>
      <x:c r="AM223" s="8" t="str">
        <x:v>6.1</x:v>
      </x:c>
    </x:row>
    <x:row r="224" ht="68" customHeight="1">
      <x:c r="A224" s="8" t="str">
        <x:v>WA-0229</x:v>
      </x:c>
      <x:c r="B224" s="8" t="str">
        <x:v>AutomationBench (Zapier)</x:v>
      </x:c>
      <x:c r="C224" s="8" t="str">
        <x:v>AutomationBench</x:v>
      </x:c>
      <x:c r="D224" s="9" t="n">
        <x:v>2026</x:v>
      </x:c>
      <x:c r="E224" s="8" t="str">
        <x:v>Zapier</x:v>
      </x:c>
      <x:c r="F224" s="10" t="str">
        <x:f>VLOOKUP(H224,'Taxonomy'!$A$6:$G$70,3,FALSE)</x:f>
        <x:v>评估与资源：如何检验工作完成</x:v>
      </x:c>
      <x:c r="G224" s="10" t="str">
        <x:f>VLOOKUP(H224,'Taxonomy'!$A$6:$G$70,5,FALSE)</x:f>
        <x:v>基准与任务构造</x:v>
      </x:c>
      <x:c r="H224" s="8" t="str">
        <x:v>6.1.2</x:v>
      </x:c>
      <x:c r="I224" s="10" t="str">
        <x:f>VLOOKUP(H224,'Taxonomy'!$A$6:$G$70,6,FALSE)</x:f>
        <x:v>领域覆盖与工作要求</x:v>
      </x:c>
      <x:c r="J224" s="8" t="str">
        <x:v>工具、界面与应用执行;任务分解与行动依赖;委托、责任与权限</x:v>
      </x:c>
      <x:c r="K224" s="8" t="str">
        <x:v>规划与协调;执行与状态管理;验证、恢复与重新规划</x:v>
      </x:c>
      <x:c r="L224" s="8" t="str"/>
      <x:c r="M224" s="8" t="str"/>
      <x:c r="N224" s="8" t="str">
        <x:v>Benchmark</x:v>
      </x:c>
      <x:c r="O224" s="11" t="str">
        <x:v>https://arxiv.org/abs/2604.18934</x:v>
      </x:c>
      <x:c r="P224" s="8" t="str">
        <x:v>要求代理自主发现API并遵循业务策略，在多个SaaS系统中完成最终状态正确的工作流。</x:v>
      </x:c>
      <x:c r="Q224" s="8" t="str"/>
      <x:c r="R224" s="8" t="str"/>
      <x:c r="S224" s="8" t="str"/>
      <x:c r="T224" s="12" t="str">
        <x:v>未分配</x:v>
      </x:c>
      <x:c r="U224" s="12" t="str"/>
      <x:c r="V224" s="12" t="str"/>
      <x:c r="W224" s="12" t="str"/>
      <x:c r="X224" s="8" t="str">
        <x:v>verified</x:v>
      </x:c>
      <x:c r="Y224" s="11" t="str">
        <x:v>https://github.com/zapier/AutomationBench</x:v>
      </x:c>
      <x:c r="Z224" s="11" t="str"/>
      <x:c r="AA224" s="11" t="str">
        <x:v>https://arxiv.org/html/2604.18934v1</x:v>
      </x:c>
      <x:c r="AB224" s="11" t="str">
        <x:v>https://arxiv.org/abs/2604.18934</x:v>
      </x:c>
      <x:c r="AC224" s="8" t="str"/>
      <x:c r="AD224" s="8" t="str"/>
      <x:c r="AE224" s="8" t="str"/>
      <x:c r="AF224" s="8" t="str">
        <x:v>用于“领域覆盖与工作要求”：要求代理自主发现API并遵循业务策略，在多个SaaS系统中完成最终状态正确的工作流。</x:v>
      </x:c>
      <x:c r="AG224" s="8" t="str">
        <x:v>tool-enterprise</x:v>
      </x:c>
      <x:c r="AH224" s="8" t="str">
        <x:v>Cross-app REST workflows</x:v>
      </x:c>
      <x:c r="AI224" s="8" t="str"/>
      <x:c r="AJ224" s="8" t="str">
        <x:v>previous README / supplementary search</x:v>
      </x:c>
      <x:c r="AK224" s="13" t="d">
        <x:v>2026-10-16T00:00:00.000Z</x:v>
      </x:c>
      <x:c r="AL224" s="8" t="str">
        <x:v>原README将UpstageShareSpace镜像发布方误作作者单位。该数据卡明确溯源Zapier AutomationBench，已按同一基准合并；首发论文为2026。</x:v>
      </x:c>
      <x:c r="AM224" s="8" t="str">
        <x:v>6.1</x:v>
      </x:c>
    </x:row>
    <x:row r="225" ht="68" customHeight="1">
      <x:c r="A225" s="8" t="str">
        <x:v>WA-0230</x:v>
      </x:c>
      <x:c r="B225" s="8" t="str">
        <x:v>AutoPresent / SlidesBench</x:v>
      </x:c>
      <x:c r="C225" s="8" t="str">
        <x:v>AutoPresent: Designing Structured Visuals from Scratch</x:v>
      </x:c>
      <x:c r="D225" s="9" t="n">
        <x:v>2025</x:v>
      </x:c>
      <x:c r="E225" s="8" t="str">
        <x:v>UC Berkeley; Carnegie Mellon University</x:v>
      </x:c>
      <x:c r="F225" s="10" t="str">
        <x:f>VLOOKUP(H225,'Taxonomy'!$A$6:$G$70,3,FALSE)</x:f>
        <x:v>优化：从工作经验到系统能力</x:v>
      </x:c>
      <x:c r="G225" s="10" t="str">
        <x:f>VLOOKUP(H225,'Taxonomy'!$A$6:$G$70,5,FALSE)</x:f>
        <x:v>模型优化</x:v>
      </x:c>
      <x:c r="H225" s="8" t="str">
        <x:v>5.2.1</x:v>
      </x:c>
      <x:c r="I225" s="10" t="str">
        <x:f>VLOOKUP(H225,'Taxonomy'!$A$6:$G$70,6,FALSE)</x:f>
        <x:v>中期训练与监督微调</x:v>
      </x:c>
      <x:c r="J225" s="8" t="str">
        <x:v>模型参数学习;原生工件生成与编辑;标准、量规与裁判</x:v>
      </x:c>
      <x:c r="K225" s="8" t="str">
        <x:v>规划与协调;执行与状态管理;验证、恢复与重新规划</x:v>
      </x:c>
      <x:c r="L225" s="8" t="str">
        <x:v>2.3.4 执行与状态管理;6.1 基准与任务构造</x:v>
      </x:c>
      <x:c r="M225" s="8" t="str"/>
      <x:c r="N225" s="8" t="str">
        <x:v>Method;Benchmark</x:v>
      </x:c>
      <x:c r="O225" s="11" t="str">
        <x:v>https://arxiv.org/abs/2501.00912</x:v>
      </x:c>
      <x:c r="P225" s="8" t="str">
        <x:v>用指令到演示文稿代码生成训练AutoPresent，并以SlidesBench检验布局与视觉质量。</x:v>
      </x:c>
      <x:c r="Q225" s="8" t="str"/>
      <x:c r="R225" s="8" t="str"/>
      <x:c r="S225" s="8" t="str"/>
      <x:c r="T225" s="12" t="str">
        <x:v>未分配</x:v>
      </x:c>
      <x:c r="U225" s="12" t="str"/>
      <x:c r="V225" s="12" t="str"/>
      <x:c r="W225" s="12" t="str"/>
      <x:c r="X225" s="8" t="str">
        <x:v>verified</x:v>
      </x:c>
      <x:c r="Y225" s="11" t="str">
        <x:v>https://github.com/para-lost/AutoPresent</x:v>
      </x:c>
      <x:c r="Z225" s="11" t="str"/>
      <x:c r="AA225" s="11" t="str">
        <x:v>https://arxiv.org/html/2501.00912v1</x:v>
      </x:c>
      <x:c r="AB225" s="11" t="str">
        <x:v>https://arxiv.org/abs/2501.00912</x:v>
      </x:c>
      <x:c r="AC225" s="8" t="str">
        <x:v>AIO-077</x:v>
      </x:c>
      <x:c r="AD225" s="8" t="str"/>
      <x:c r="AE225" s="8" t="str"/>
      <x:c r="AF225" s="8" t="str">
        <x:v>用于“中期训练与监督微调”：用指令到演示文稿代码生成训练AutoPresent，并以SlidesBench检验布局与视觉质量。</x:v>
      </x:c>
      <x:c r="AG225" s="8" t="str">
        <x:v>artifact</x:v>
      </x:c>
      <x:c r="AH225" s="8" t="str">
        <x:v>Programmatic presentation generation</x:v>
      </x:c>
      <x:c r="AI225" s="8" t="str"/>
      <x:c r="AJ225" s="8" t="str">
        <x:v>previous README / supplementary search;2026-10-16 AI Office survey bibliography</x:v>
      </x:c>
      <x:c r="AK225" s="13" t="d">
        <x:v>2026-10-16T00:00:00.000Z</x:v>
      </x:c>
      <x:c r="AL225" s="8" t="str">
        <x:v>新增/保留README来源；论文身份与摘要已核验；分类为维护者判断。</x:v>
      </x:c>
      <x:c r="AM225" s="8" t="str">
        <x:v>4.4;6.1</x:v>
      </x:c>
    </x:row>
    <x:row r="226" ht="68" customHeight="1">
      <x:c r="A226" s="8" t="str">
        <x:v>WA-0231</x:v>
      </x:c>
      <x:c r="B226" s="8" t="str">
        <x:v>BankerToolBench</x:v>
      </x:c>
      <x:c r="C226" s="8" t="str">
        <x:v>BankerToolBench: Evaluating AI Agents in End-to-End Investment Banking Workflows</x:v>
      </x:c>
      <x:c r="D226" s="9" t="n">
        <x:v>2026</x:v>
      </x:c>
      <x:c r="E226" s="8" t="str">
        <x:v>Handshake AI; McGill University</x:v>
      </x:c>
      <x:c r="F226" s="10" t="str">
        <x:f>VLOOKUP(H226,'Taxonomy'!$A$6:$G$70,3,FALSE)</x:f>
        <x:v>评估与资源：如何检验工作完成</x:v>
      </x:c>
      <x:c r="G226" s="10" t="str">
        <x:f>VLOOKUP(H226,'Taxonomy'!$A$6:$G$70,5,FALSE)</x:f>
        <x:v>基准与任务构造</x:v>
      </x:c>
      <x:c r="H226" s="8" t="str">
        <x:v>6.1.2</x:v>
      </x:c>
      <x:c r="I226" s="10" t="str">
        <x:f>VLOOKUP(H226,'Taxonomy'!$A$6:$G$70,6,FALSE)</x:f>
        <x:v>领域覆盖与工作要求</x:v>
      </x:c>
      <x:c r="J226" s="8" t="str">
        <x:v>职业知识与专业判断;材料发现与证据定位;工作形态与验收组织</x:v>
      </x:c>
      <x:c r="K226" s="8" t="str">
        <x:v>感知与理解;推理与决策;规划与协调;执行与状态管理</x:v>
      </x:c>
      <x:c r="L226" s="8" t="str"/>
      <x:c r="M226" s="8" t="str"/>
      <x:c r="N226" s="8" t="str">
        <x:v>Benchmark</x:v>
      </x:c>
      <x:c r="O226" s="11" t="str">
        <x:v>https://arxiv.org/abs/2604.11304</x:v>
      </x:c>
      <x:c r="P226" s="8" t="str">
        <x:v>在投行数据室中导航资料与工具，完成财务模型、演示文稿及报告等成套交付。</x:v>
      </x:c>
      <x:c r="Q226" s="8" t="str"/>
      <x:c r="R226" s="8" t="str"/>
      <x:c r="S226" s="8" t="str"/>
      <x:c r="T226" s="12" t="str">
        <x:v>未分配</x:v>
      </x:c>
      <x:c r="U226" s="12" t="str"/>
      <x:c r="V226" s="12" t="str"/>
      <x:c r="W226" s="12" t="str"/>
      <x:c r="X226" s="8" t="str">
        <x:v>verified</x:v>
      </x:c>
      <x:c r="Y226" s="11" t="str">
        <x:v>https://github.com/Handshake-AI-Research/bankertoolbench</x:v>
      </x:c>
      <x:c r="Z226" s="11" t="str"/>
      <x:c r="AA226" s="11" t="str">
        <x:v>https://arxiv.org/html/2604.11304v1</x:v>
      </x:c>
      <x:c r="AB226" s="11" t="str">
        <x:v>https://arxiv.org/abs/2604.11304</x:v>
      </x:c>
      <x:c r="AC226" s="8" t="str">
        <x:v>AIO-121</x:v>
      </x:c>
      <x:c r="AD226" s="8" t="str"/>
      <x:c r="AE226" s="8" t="str"/>
      <x:c r="AF226" s="8" t="str">
        <x:v>用于“领域覆盖与工作要求”：在投行数据室中导航资料与工具，完成财务模型、演示文稿及报告等成套交付。</x:v>
      </x:c>
      <x:c r="AG226" s="8" t="str">
        <x:v>workspace</x:v>
      </x:c>
      <x:c r="AH226" s="8" t="str">
        <x:v>Investment banking deliverables</x:v>
      </x:c>
      <x:c r="AI226" s="8" t="str"/>
      <x:c r="AJ226" s="8" t="str">
        <x:v>previous README / supplementary search;2026-10-16 AI Office survey bibliography</x:v>
      </x:c>
      <x:c r="AK226" s="13" t="d">
        <x:v>2026-10-16T00:00:00.000Z</x:v>
      </x:c>
      <x:c r="AL226" s="8" t="str">
        <x:v>新增/保留README来源；论文身份与摘要已核验；分类为维护者判断。</x:v>
      </x:c>
      <x:c r="AM226" s="8" t="str">
        <x:v>6.1</x:v>
      </x:c>
    </x:row>
    <x:row r="227" ht="68" customHeight="1">
      <x:c r="A227" s="8" t="str">
        <x:v>WA-0233</x:v>
      </x:c>
      <x:c r="B227" s="8" t="str">
        <x:v>BlueFin</x:v>
      </x:c>
      <x:c r="C227" s="8" t="str">
        <x:v>BlueFin: Benchmarking LLM Agents on Financial Spreadsheets</x:v>
      </x:c>
      <x:c r="D227" s="9" t="n">
        <x:v>2026</x:v>
      </x:c>
      <x:c r="E227" s="8" t="str">
        <x:v>Longitude Labs; Cornell University; Carnegie Mellon University</x:v>
      </x:c>
      <x:c r="F227" s="10" t="str">
        <x:f>VLOOKUP(H227,'Taxonomy'!$A$6:$G$70,3,FALSE)</x:f>
        <x:v>评估与资源：如何检验工作完成</x:v>
      </x:c>
      <x:c r="G227" s="10" t="str">
        <x:f>VLOOKUP(H227,'Taxonomy'!$A$6:$G$70,5,FALSE)</x:f>
        <x:v>基准与任务构造</x:v>
      </x:c>
      <x:c r="H227" s="8" t="str">
        <x:v>6.1.2</x:v>
      </x:c>
      <x:c r="I227" s="10" t="str">
        <x:f>VLOOKUP(H227,'Taxonomy'!$A$6:$G$70,6,FALSE)</x:f>
        <x:v>领域覆盖与工作要求</x:v>
      </x:c>
      <x:c r="J227" s="8" t="str">
        <x:v>职业知识与专业判断;原生工件生成与编辑;成果与实际状态核验</x:v>
      </x:c>
      <x:c r="K227" s="8" t="str">
        <x:v>推理与决策;执行与状态管理;验证、恢复与重新规划</x:v>
      </x:c>
      <x:c r="L227" s="8" t="str"/>
      <x:c r="M227" s="8" t="str"/>
      <x:c r="N227" s="8" t="str">
        <x:v>Benchmark</x:v>
      </x:c>
      <x:c r="O227" s="11" t="str">
        <x:v>https://arxiv.org/abs/2605.30907</x:v>
      </x:c>
      <x:c r="P227" s="8" t="str">
        <x:v>用金融电子表格任务检验代理生成与编辑可用工作簿的能力。</x:v>
      </x:c>
      <x:c r="Q227" s="8" t="str"/>
      <x:c r="R227" s="8" t="str"/>
      <x:c r="S227" s="8" t="str"/>
      <x:c r="T227" s="12" t="str">
        <x:v>未分配</x:v>
      </x:c>
      <x:c r="U227" s="12" t="str"/>
      <x:c r="V227" s="12" t="str"/>
      <x:c r="W227" s="12" t="str"/>
      <x:c r="X227" s="8" t="str">
        <x:v>verified</x:v>
      </x:c>
      <x:c r="Y227" s="11" t="str"/>
      <x:c r="Z227" s="11" t="str"/>
      <x:c r="AA227" s="11" t="str">
        <x:v>https://arxiv.org/html/2605.30907v1</x:v>
      </x:c>
      <x:c r="AB227" s="11" t="str">
        <x:v>https://arxiv.org/abs/2605.30907</x:v>
      </x:c>
      <x:c r="AC227" s="8" t="str">
        <x:v>AIO-118</x:v>
      </x:c>
      <x:c r="AD227" s="8" t="str"/>
      <x:c r="AE227" s="8" t="str"/>
      <x:c r="AF227" s="8" t="str">
        <x:v>用于“领域覆盖与工作要求”：用金融电子表格任务检验代理生成与编辑可用工作簿的能力。</x:v>
      </x:c>
      <x:c r="AG227" s="8" t="str">
        <x:v>artifact</x:v>
      </x:c>
      <x:c r="AH227" s="8" t="str">
        <x:v>Financial spreadsheets</x:v>
      </x:c>
      <x:c r="AI227" s="8" t="str"/>
      <x:c r="AJ227" s="8" t="str">
        <x:v>previous README / supplementary search;2026-10-16 AI Office survey bibliography</x:v>
      </x:c>
      <x:c r="AK227" s="13" t="d">
        <x:v>2026-10-16T00:00:00.000Z</x:v>
      </x:c>
      <x:c r="AL227" s="8" t="str">
        <x:v>新增/保留README来源；论文身份与摘要已核验；分类为维护者判断。</x:v>
      </x:c>
      <x:c r="AM227" s="8" t="str">
        <x:v>6.1</x:v>
      </x:c>
    </x:row>
    <x:row r="228" ht="68" customHeight="1">
      <x:c r="A228" s="8" t="str">
        <x:v>WA-0234</x:v>
      </x:c>
      <x:c r="B228" s="8" t="str">
        <x:v>BrowseComp</x:v>
      </x:c>
      <x:c r="C228" s="8" t="str">
        <x:v>BrowseComp: A Simple Yet Challenging Benchmark for Browsing Agents</x:v>
      </x:c>
      <x:c r="D228" s="9" t="n">
        <x:v>2025</x:v>
      </x:c>
      <x:c r="E228" s="8" t="str">
        <x:v>OpenAI</x:v>
      </x:c>
      <x:c r="F228" s="10" t="str">
        <x:f>VLOOKUP(H228,'Taxonomy'!$A$6:$G$70,3,FALSE)</x:f>
        <x:v>基础：定义、工作条件与核心能力</x:v>
      </x:c>
      <x:c r="G228" s="10" t="str">
        <x:f>VLOOKUP(H228,'Taxonomy'!$A$6:$G$70,5,FALSE)</x:f>
        <x:v>五项核心能力</x:v>
      </x:c>
      <x:c r="H228" s="8" t="str">
        <x:v>2.3.1</x:v>
      </x:c>
      <x:c r="I228" s="10" t="str">
        <x:f>VLOOKUP(H228,'Taxonomy'!$A$6:$G$70,6,FALSE)</x:f>
        <x:v>感知与理解</x:v>
      </x:c>
      <x:c r="J228" s="8" t="str">
        <x:v>材料发现与证据定位;证据整合与推理</x:v>
      </x:c>
      <x:c r="K228" s="8" t="str">
        <x:v>感知与理解;推理与决策;规划与协调</x:v>
      </x:c>
      <x:c r="L228" s="8" t="str">
        <x:v>6.1 基准与任务构造</x:v>
      </x:c>
      <x:c r="M228" s="8" t="str"/>
      <x:c r="N228" s="8" t="str">
        <x:v>Benchmark</x:v>
      </x:c>
      <x:c r="O228" s="11" t="str">
        <x:v>https://arxiv.org/abs/2504.12516</x:v>
      </x:c>
      <x:c r="P228" s="8" t="str">
        <x:v>用难以直接检索的短答案问题测试持续浏览和信息发现能力。</x:v>
      </x:c>
      <x:c r="Q228" s="8" t="str"/>
      <x:c r="R228" s="8" t="str"/>
      <x:c r="S228" s="8" t="str"/>
      <x:c r="T228" s="12" t="str">
        <x:v>未分配</x:v>
      </x:c>
      <x:c r="U228" s="12" t="str"/>
      <x:c r="V228" s="12" t="str"/>
      <x:c r="W228" s="12" t="str"/>
      <x:c r="X228" s="8" t="str">
        <x:v>verified</x:v>
      </x:c>
      <x:c r="Y228" s="11" t="str"/>
      <x:c r="Z228" s="11" t="str"/>
      <x:c r="AA228" s="11" t="str">
        <x:v>https://arxiv.org/html/2504.12516v1</x:v>
      </x:c>
      <x:c r="AB228" s="11" t="str">
        <x:v>https://arxiv.org/abs/2504.12516</x:v>
      </x:c>
      <x:c r="AC228" s="8" t="str"/>
      <x:c r="AD228" s="8" t="str"/>
      <x:c r="AE228" s="8" t="str"/>
      <x:c r="AF228" s="8" t="str">
        <x:v>用于“感知与理解”：用难以直接检索的短答案问题测试持续浏览和信息发现能力。</x:v>
      </x:c>
      <x:c r="AG228" s="8" t="str">
        <x:v>related</x:v>
      </x:c>
      <x:c r="AH228" s="8" t="str">
        <x:v>Challenging web browsing</x:v>
      </x:c>
      <x:c r="AI228" s="8" t="str"/>
      <x:c r="AJ228" s="8" t="str">
        <x:v>previous README / supplementary search</x:v>
      </x:c>
      <x:c r="AK228" s="13" t="d">
        <x:v>2026-10-16T00:00:00.000Z</x:v>
      </x:c>
      <x:c r="AL228" s="8" t="str">
        <x:v>由workspace移至Related：最终短答案评估。</x:v>
      </x:c>
      <x:c r="AM228" s="8" t="str">
        <x:v>6.1</x:v>
      </x:c>
    </x:row>
    <x:row r="229" ht="68" customHeight="1">
      <x:c r="A229" s="8" t="str">
        <x:v>WA-0235</x:v>
      </x:c>
      <x:c r="B229" s="8" t="str">
        <x:v>CAMEL</x:v>
      </x:c>
      <x:c r="C229" s="8" t="str">
        <x:v>CAMEL: Communicative Agents for "Mind" Exploration of Large Language Model Society</x:v>
      </x:c>
      <x:c r="D229" s="9" t="n">
        <x:v>2023</x:v>
      </x:c>
      <x:c r="E229" s="8" t="str">
        <x:v>KAUST</x:v>
      </x:c>
      <x:c r="F229" s="10" t="str">
        <x:f>VLOOKUP(H229,'Taxonomy'!$A$6:$G$70,3,FALSE)</x:f>
        <x:v>基础：定义、工作条件与核心能力</x:v>
      </x:c>
      <x:c r="G229" s="10" t="str">
        <x:f>VLOOKUP(H229,'Taxonomy'!$A$6:$G$70,5,FALSE)</x:f>
        <x:v>五项核心能力</x:v>
      </x:c>
      <x:c r="H229" s="8" t="str">
        <x:v>2.3.3</x:v>
      </x:c>
      <x:c r="I229" s="10" t="str">
        <x:f>VLOOKUP(H229,'Taxonomy'!$A$6:$G$70,6,FALSE)</x:f>
        <x:v>规划与协调</x:v>
      </x:c>
      <x:c r="J229" s="8" t="str">
        <x:v>分布信息、澄清与协调;定义、系统职责与工作循环</x:v>
      </x:c>
      <x:c r="K229" s="8" t="str">
        <x:v>规划与协调;执行与状态管理</x:v>
      </x:c>
      <x:c r="L229" s="8" t="str">
        <x:v>6.4 开放框架与执行环境</x:v>
      </x:c>
      <x:c r="M229" s="8" t="str"/>
      <x:c r="N229" s="8" t="str">
        <x:v>Method;Framework</x:v>
      </x:c>
      <x:c r="O229" s="11" t="str">
        <x:v>https://arxiv.org/abs/2303.17760</x:v>
      </x:c>
      <x:c r="P229" s="8" t="str">
        <x:v>通过角色扮演与任务驱动对话组织多代理协作并生成协作数据。</x:v>
      </x:c>
      <x:c r="Q229" s="8" t="str"/>
      <x:c r="R229" s="8" t="str"/>
      <x:c r="S229" s="8" t="str"/>
      <x:c r="T229" s="12" t="str">
        <x:v>未分配</x:v>
      </x:c>
      <x:c r="U229" s="12" t="str"/>
      <x:c r="V229" s="12" t="str"/>
      <x:c r="W229" s="12" t="str"/>
      <x:c r="X229" s="8" t="str">
        <x:v>verified</x:v>
      </x:c>
      <x:c r="Y229" s="11" t="str"/>
      <x:c r="Z229" s="11" t="str"/>
      <x:c r="AA229" s="11" t="str">
        <x:v>https://arxiv.org/html/2303.17760v1</x:v>
      </x:c>
      <x:c r="AB229" s="11" t="str">
        <x:v>https://arxiv.org/abs/2303.17760</x:v>
      </x:c>
      <x:c r="AC229" s="8" t="str"/>
      <x:c r="AD229" s="8" t="str"/>
      <x:c r="AE229" s="8" t="str"/>
      <x:c r="AF229" s="8" t="str">
        <x:v>用于“规划与协调”：通过角色扮演与任务驱动对话组织多代理协作并生成协作数据。</x:v>
      </x:c>
      <x:c r="AG229" s="8" t="str">
        <x:v>harness</x:v>
      </x:c>
      <x:c r="AH229" s="8" t="str">
        <x:v>Role-playing multi-agent cooperation</x:v>
      </x:c>
      <x:c r="AI229" s="8" t="str"/>
      <x:c r="AJ229" s="8" t="str">
        <x:v>previous README / supplementary search</x:v>
      </x:c>
      <x:c r="AK229" s="13" t="d">
        <x:v>2026-10-16T00:00:00.000Z</x:v>
      </x:c>
      <x:c r="AL229" s="8" t="str">
        <x:v>新增/保留README来源；论文身份与摘要已核验；分类为维护者判断。</x:v>
      </x:c>
      <x:c r="AM229" s="8" t="str">
        <x:v>4.3;6.4</x:v>
      </x:c>
    </x:row>
    <x:row r="230" ht="68" customHeight="1">
      <x:c r="A230" s="8" t="str">
        <x:v>WA-0236</x:v>
      </x:c>
      <x:c r="B230" s="8" t="str">
        <x:v>CentaurBench</x:v>
      </x:c>
      <x:c r="C230" s="8" t="str">
        <x:v>CentaurBench: Benchmarking LLM Capabilities on Augmenting vs. Automating Real-World Work Tasks</x:v>
      </x:c>
      <x:c r="D230" s="9" t="n">
        <x:v>2026</x:v>
      </x:c>
      <x:c r="E230" s="8" t="str">
        <x:v>UC Berkeley; NBER</x:v>
      </x:c>
      <x:c r="F230" s="10" t="str">
        <x:f>VLOOKUP(H230,'Taxonomy'!$A$6:$G$70,3,FALSE)</x:f>
        <x:v>评估与资源：如何检验工作完成</x:v>
      </x:c>
      <x:c r="G230" s="10" t="str">
        <x:f>VLOOKUP(H230,'Taxonomy'!$A$6:$G$70,5,FALSE)</x:f>
        <x:v>结果对齐指标</x:v>
      </x:c>
      <x:c r="H230" s="8" t="str">
        <x:v>6.3.1</x:v>
      </x:c>
      <x:c r="I230" s="10" t="str">
        <x:f>VLOOKUP(H230,'Taxonomy'!$A$6:$G$70,6,FALSE)</x:f>
        <x:v>任务成功与成果质量</x:v>
      </x:c>
      <x:c r="J230" s="8" t="str">
        <x:v>分布信息、澄清与协调;质量、时间成本与使用价值;成功、部分进展与稳定性</x:v>
      </x:c>
      <x:c r="K230" s="8" t="str">
        <x:v>推理与决策;规划与协调</x:v>
      </x:c>
      <x:c r="L230" s="8" t="str">
        <x:v>6.1 基准与任务构造;7.3.3 质量判断与使用价值</x:v>
      </x:c>
      <x:c r="M230" s="8" t="str"/>
      <x:c r="N230" s="8" t="str">
        <x:v>Benchmark</x:v>
      </x:c>
      <x:c r="O230" s="11" t="str">
        <x:v>https://arxiv.org/abs/2608.18554</x:v>
      </x:c>
      <x:c r="P230" s="8" t="str">
        <x:v>比较代理独立自动化与辅助人类两类任务，避免将自主分数等同于人机协作价值。</x:v>
      </x:c>
      <x:c r="Q230" s="8" t="str"/>
      <x:c r="R230" s="8" t="str"/>
      <x:c r="S230" s="8" t="str"/>
      <x:c r="T230" s="12" t="str">
        <x:v>未分配</x:v>
      </x:c>
      <x:c r="U230" s="12" t="str"/>
      <x:c r="V230" s="12" t="str"/>
      <x:c r="W230" s="12" t="str"/>
      <x:c r="X230" s="8" t="str">
        <x:v>verified</x:v>
      </x:c>
      <x:c r="Y230" s="11" t="str">
        <x:v>https://github.com/kennywong524/best-player-not-best-coach</x:v>
      </x:c>
      <x:c r="Z230" s="11" t="str"/>
      <x:c r="AA230" s="11" t="str">
        <x:v>https://arxiv.org/html/2608.18554v1</x:v>
      </x:c>
      <x:c r="AB230" s="11" t="str">
        <x:v>https://arxiv.org/abs/2608.18554</x:v>
      </x:c>
      <x:c r="AC230" s="8" t="str"/>
      <x:c r="AD230" s="8" t="str"/>
      <x:c r="AE230" s="8" t="str"/>
      <x:c r="AF230" s="8" t="str">
        <x:v>用于“任务成功与成果质量”：比较代理独立自动化与辅助人类两类任务，避免将自主分数等同于人机协作价值。</x:v>
      </x:c>
      <x:c r="AG230" s="8" t="str">
        <x:v>workspace</x:v>
      </x:c>
      <x:c r="AH230" s="8" t="str">
        <x:v>Human augmentation versus automation</x:v>
      </x:c>
      <x:c r="AI230" s="8" t="str"/>
      <x:c r="AJ230" s="8" t="str">
        <x:v>previous README / supplementary search</x:v>
      </x:c>
      <x:c r="AK230" s="13" t="d">
        <x:v>2026-10-16T00:00:00.000Z</x:v>
      </x:c>
      <x:c r="AL230" s="8" t="str">
        <x:v>新增/保留README来源；论文身份与摘要已核验；分类为维护者判断。</x:v>
      </x:c>
      <x:c r="AM230" s="8" t="str">
        <x:v>6.1;7.3</x:v>
      </x:c>
    </x:row>
    <x:row r="231" ht="68" customHeight="1">
      <x:c r="A231" s="8" t="str">
        <x:v>WA-0237</x:v>
      </x:c>
      <x:c r="B231" s="8" t="str">
        <x:v>ChatDev</x:v>
      </x:c>
      <x:c r="C231" s="8" t="str">
        <x:v>ChatDev: Communicative Agents for Software Development</x:v>
      </x:c>
      <x:c r="D231" s="9" t="n">
        <x:v>2023</x:v>
      </x:c>
      <x:c r="E231" s="8" t="str">
        <x:v>Tsinghua University; Beijing University of Posts and Telecommunications; Brown University</x:v>
      </x:c>
      <x:c r="F231" s="10" t="str">
        <x:f>VLOOKUP(H231,'Taxonomy'!$A$6:$G$70,3,FALSE)</x:f>
        <x:v>基础：定义、工作条件与核心能力</x:v>
      </x:c>
      <x:c r="G231" s="10" t="str">
        <x:f>VLOOKUP(H231,'Taxonomy'!$A$6:$G$70,5,FALSE)</x:f>
        <x:v>五项核心能力</x:v>
      </x:c>
      <x:c r="H231" s="8" t="str">
        <x:v>2.3.3</x:v>
      </x:c>
      <x:c r="I231" s="10" t="str">
        <x:f>VLOOKUP(H231,'Taxonomy'!$A$6:$G$70,6,FALSE)</x:f>
        <x:v>规划与协调</x:v>
      </x:c>
      <x:c r="J231" s="8" t="str">
        <x:v>分布信息、澄清与协调;任务分解与行动依赖;原生工件生成与编辑</x:v>
      </x:c>
      <x:c r="K231" s="8" t="str">
        <x:v>规划与协调;执行与状态管理;验证、恢复与重新规划</x:v>
      </x:c>
      <x:c r="L231" s="8" t="str">
        <x:v>6.4 开放框架与执行环境</x:v>
      </x:c>
      <x:c r="M231" s="8" t="str"/>
      <x:c r="N231" s="8" t="str">
        <x:v>Method;Framework</x:v>
      </x:c>
      <x:c r="O231" s="11" t="str">
        <x:v>https://arxiv.org/abs/2307.07924</x:v>
      </x:c>
      <x:c r="P231" s="8" t="str">
        <x:v>以软件公司角色和对话流程协调多代理进行设计、实现、测试与文档编写。</x:v>
      </x:c>
      <x:c r="Q231" s="8" t="str"/>
      <x:c r="R231" s="8" t="str"/>
      <x:c r="S231" s="8" t="str"/>
      <x:c r="T231" s="12" t="str">
        <x:v>未分配</x:v>
      </x:c>
      <x:c r="U231" s="12" t="str"/>
      <x:c r="V231" s="12" t="str"/>
      <x:c r="W231" s="12" t="str"/>
      <x:c r="X231" s="8" t="str">
        <x:v>verified</x:v>
      </x:c>
      <x:c r="Y231" s="11" t="str"/>
      <x:c r="Z231" s="11" t="str"/>
      <x:c r="AA231" s="11" t="str">
        <x:v>https://arxiv.org/html/2307.07924v1</x:v>
      </x:c>
      <x:c r="AB231" s="11" t="str">
        <x:v>https://arxiv.org/abs/2307.07924</x:v>
      </x:c>
      <x:c r="AC231" s="8" t="str"/>
      <x:c r="AD231" s="8" t="str"/>
      <x:c r="AE231" s="8" t="str"/>
      <x:c r="AF231" s="8" t="str">
        <x:v>用于“规划与协调”：以软件公司角色和对话流程协调多代理进行设计、实现、测试与文档编写。</x:v>
      </x:c>
      <x:c r="AG231" s="8" t="str">
        <x:v>swe-science</x:v>
      </x:c>
      <x:c r="AH231" s="8" t="str">
        <x:v>Communicative software development</x:v>
      </x:c>
      <x:c r="AI231" s="8" t="str"/>
      <x:c r="AJ231" s="8" t="str">
        <x:v>previous README / supplementary search</x:v>
      </x:c>
      <x:c r="AK231" s="13" t="d">
        <x:v>2026-10-16T00:00:00.000Z</x:v>
      </x:c>
      <x:c r="AL231" s="8" t="str">
        <x:v>新增/保留README来源；论文身份与摘要已核验；分类为维护者判断。</x:v>
      </x:c>
      <x:c r="AM231" s="8" t="str">
        <x:v>4.3;6.4</x:v>
      </x:c>
    </x:row>
    <x:row r="232" ht="68" customHeight="1">
      <x:c r="A232" s="8" t="str">
        <x:v>WA-0238</x:v>
      </x:c>
      <x:c r="B232" s="8" t="str">
        <x:v>CI-Work</x:v>
      </x:c>
      <x:c r="C232" s="8" t="str">
        <x:v>CI-Work: Benchmarking Contextual Integrity in Enterprise LLM Agents</x:v>
      </x:c>
      <x:c r="D232" s="9" t="n">
        <x:v>2026</x:v>
      </x:c>
      <x:c r="E232" s="8" t="str">
        <x:v>Huazhong University of Science and Technology; Microsoft</x:v>
      </x:c>
      <x:c r="F232" s="10" t="str">
        <x:f>VLOOKUP(H232,'Taxonomy'!$A$6:$G$70,3,FALSE)</x:f>
        <x:v>评估与资源：如何检验工作完成</x:v>
      </x:c>
      <x:c r="G232" s="10" t="str">
        <x:f>VLOOKUP(H232,'Taxonomy'!$A$6:$G$70,5,FALSE)</x:f>
        <x:v>评估方法</x:v>
      </x:c>
      <x:c r="H232" s="8" t="str">
        <x:v>6.2.1</x:v>
      </x:c>
      <x:c r="I232" s="10" t="str">
        <x:f>VLOOKUP(H232,'Taxonomy'!$A$6:$G$70,6,FALSE)</x:f>
        <x:v>评估目标与可观察证据</x:v>
      </x:c>
      <x:c r="J232" s="8" t="str">
        <x:v>委托、责任与权限;安全、隐私与授权边界;答案、产物、状态与过程证据</x:v>
      </x:c>
      <x:c r="K232" s="8" t="str">
        <x:v>推理与决策;执行与状态管理;验证、恢复与重新规划</x:v>
      </x:c>
      <x:c r="L232" s="8" t="str">
        <x:v>6.1 基准与任务构造;7.4 以工作为中心的系统</x:v>
      </x:c>
      <x:c r="M232" s="8" t="str"/>
      <x:c r="N232" s="8" t="str">
        <x:v>Benchmark</x:v>
      </x:c>
      <x:c r="O232" s="11" t="str">
        <x:v>https://aclanthology.org/2026.acl-industry.103/</x:v>
      </x:c>
      <x:c r="P232" s="8" t="str">
        <x:v>在企业信息流中同时检查必要信息传递与敏感内容保护，测量隐私和任务效用的关系。</x:v>
      </x:c>
      <x:c r="Q232" s="8" t="str"/>
      <x:c r="R232" s="8" t="str"/>
      <x:c r="S232" s="8" t="str"/>
      <x:c r="T232" s="12" t="str">
        <x:v>未分配</x:v>
      </x:c>
      <x:c r="U232" s="12" t="str"/>
      <x:c r="V232" s="12" t="str"/>
      <x:c r="W232" s="12" t="str"/>
      <x:c r="X232" s="8" t="str">
        <x:v>verified</x:v>
      </x:c>
      <x:c r="Y232" s="11" t="str">
        <x:v>https://aka.ms/ci-work</x:v>
      </x:c>
      <x:c r="Z232" s="11" t="str"/>
      <x:c r="AA232" s="11" t="str">
        <x:v>https://aclanthology.org/2026.acl-industry.103.pdf</x:v>
      </x:c>
      <x:c r="AB232" s="11" t="str">
        <x:v>https://aclanthology.org/2026.acl-industry.103/</x:v>
      </x:c>
      <x:c r="AC232" s="8" t="str"/>
      <x:c r="AD232" s="8" t="str"/>
      <x:c r="AE232" s="8" t="str"/>
      <x:c r="AF232" s="8" t="str">
        <x:v>用于“评估目标与可观察证据”：在企业信息流中同时检查必要信息传递与敏感内容保护，测量隐私和任务效用的关系。</x:v>
      </x:c>
      <x:c r="AG232" s="8" t="str">
        <x:v>safety</x:v>
      </x:c>
      <x:c r="AH232" s="8" t="str">
        <x:v>Enterprise contextual integrity</x:v>
      </x:c>
      <x:c r="AI232" s="8" t="str"/>
      <x:c r="AJ232" s="8" t="str">
        <x:v>previous README / supplementary search</x:v>
      </x:c>
      <x:c r="AK232" s="13" t="d">
        <x:v>2026-10-16T00:00:00.000Z</x:v>
      </x:c>
      <x:c r="AL232" s="8" t="str">
        <x:v>ACL2026 Industry；核心为隐私边界，原Tool/API分类改Safety。</x:v>
      </x:c>
      <x:c r="AM232" s="8" t="str">
        <x:v>6.1;7.4</x:v>
      </x:c>
    </x:row>
    <x:row r="233" ht="68" customHeight="1">
      <x:c r="A233" s="8" t="str">
        <x:v>WA-0239</x:v>
      </x:c>
      <x:c r="B233" s="8" t="str">
        <x:v>Co-Evolution in Agentic Systems</x:v>
      </x:c>
      <x:c r="C233" s="8" t="str">
        <x:v>Co-Evolution in Agentic Systems: Toward Self-Directed Evolution Beyond Human Design</x:v>
      </x:c>
      <x:c r="D233" s="9" t="n">
        <x:v>2026</x:v>
      </x:c>
      <x:c r="E233" s="8" t="str">
        <x:v>HKUST; University of Illinois Urbana-Champaign; Chinese University of Hong Kong; The University of Hong Kong; Peking University</x:v>
      </x:c>
      <x:c r="F233" s="10" t="str">
        <x:f>VLOOKUP(H233,'Taxonomy'!$A$6:$G$70,3,FALSE)</x:f>
        <x:v>优化：从工作经验到系统能力</x:v>
      </x:c>
      <x:c r="G233" s="10" t="str">
        <x:f>VLOOKUP(H233,'Taxonomy'!$A$6:$G$70,5,FALSE)</x:f>
        <x:v>模型—运行框架耦合优化</x:v>
      </x:c>
      <x:c r="H233" s="8" t="str">
        <x:v>5.4</x:v>
      </x:c>
      <x:c r="I233" s="10" t="str">
        <x:f>VLOOKUP(H233,'Taxonomy'!$A$6:$G$70,6,FALSE)</x:f>
        <x:v>模型—运行框架耦合优化</x:v>
      </x:c>
      <x:c r="J233" s="8" t="str">
        <x:v>模型与运行框架耦合;跨任务个性化与自演化</x:v>
      </x:c>
      <x:c r="K233" s="8" t="str">
        <x:v>规划与协调</x:v>
      </x:c>
      <x:c r="L233" s="8" t="str">
        <x:v>7.2 从被动执行到持续责任</x:v>
      </x:c>
      <x:c r="M233" s="8" t="str"/>
      <x:c r="N233" s="8" t="str">
        <x:v>Survey</x:v>
      </x:c>
      <x:c r="O233" s="11" t="str">
        <x:v>https://arxiv.org/abs/2608.10299</x:v>
      </x:c>
      <x:c r="P233" s="8" t="str">
        <x:v>综述多组件或多代理共同演化及超越人工固定设计的系统路线。</x:v>
      </x:c>
      <x:c r="Q233" s="8" t="str"/>
      <x:c r="R233" s="8" t="str"/>
      <x:c r="S233" s="8" t="str"/>
      <x:c r="T233" s="12" t="str">
        <x:v>未分配</x:v>
      </x:c>
      <x:c r="U233" s="12" t="str"/>
      <x:c r="V233" s="12" t="str"/>
      <x:c r="W233" s="12" t="str"/>
      <x:c r="X233" s="8" t="str">
        <x:v>verified</x:v>
      </x:c>
      <x:c r="Y233" s="11" t="str"/>
      <x:c r="Z233" s="11" t="str"/>
      <x:c r="AA233" s="11" t="str">
        <x:v>https://arxiv.org/html/2608.10299v1</x:v>
      </x:c>
      <x:c r="AB233" s="11" t="str">
        <x:v>https://arxiv.org/abs/2608.10299</x:v>
      </x:c>
      <x:c r="AC233" s="8" t="str"/>
      <x:c r="AD233" s="8" t="str"/>
      <x:c r="AE233" s="8" t="str"/>
      <x:c r="AF233" s="8" t="str">
        <x:v>用于“模型—运行框架耦合优化”：综述多组件或多代理共同演化及超越人工固定设计的系统路线。</x:v>
      </x:c>
      <x:c r="AG233" s="8" t="str">
        <x:v>persistent</x:v>
      </x:c>
      <x:c r="AH233" s="8" t="str">
        <x:v>Agent co-evolution</x:v>
      </x:c>
      <x:c r="AI233" s="8" t="str"/>
      <x:c r="AJ233" s="8" t="str">
        <x:v>previous README / supplementary search</x:v>
      </x:c>
      <x:c r="AK233" s="13" t="d">
        <x:v>2026-10-16T00:00:00.000Z</x:v>
      </x:c>
      <x:c r="AL233" s="8" t="str">
        <x:v>新增/保留README来源；论文身份与摘要已核验；分类为维护者判断。</x:v>
      </x:c>
      <x:c r="AM233" s="8" t="str">
        <x:v>5;7.2</x:v>
      </x:c>
    </x:row>
    <x:row r="234" ht="68" customHeight="1">
      <x:c r="A234" s="8" t="str">
        <x:v>WA-0240</x:v>
      </x:c>
      <x:c r="B234" s="8" t="str">
        <x:v>Code as Agent Harness</x:v>
      </x:c>
      <x:c r="C234" s="8" t="str">
        <x:v>Code as Agent Harness</x:v>
      </x:c>
      <x:c r="D234" s="9" t="n">
        <x:v>2026</x:v>
      </x:c>
      <x:c r="E234" s="8" t="str">
        <x:v>University of Illinois Urbana-Champaign; Meta; Stanford University</x:v>
      </x:c>
      <x:c r="F234" s="10" t="str">
        <x:f>VLOOKUP(H234,'Taxonomy'!$A$6:$G$70,3,FALSE)</x:f>
        <x:v>基础：定义、工作条件与核心能力</x:v>
      </x:c>
      <x:c r="G234" s="10" t="str">
        <x:f>VLOOKUP(H234,'Taxonomy'!$A$6:$G$70,5,FALSE)</x:f>
        <x:v>定义与系统视角</x:v>
      </x:c>
      <x:c r="H234" s="8" t="str">
        <x:v>2.1.2</x:v>
      </x:c>
      <x:c r="I234" s="10" t="str">
        <x:f>VLOOKUP(H234,'Taxonomy'!$A$6:$G$70,6,FALSE)</x:f>
        <x:v>工作过程六要素</x:v>
      </x:c>
      <x:c r="J234" s="8" t="str">
        <x:v>定义、系统职责与工作循环;当前状态与版本有效性;成果与实际状态核验</x:v>
      </x:c>
      <x:c r="K234" s="8" t="str">
        <x:v>执行与状态管理;验证、恢复与重新规划</x:v>
      </x:c>
      <x:c r="L234" s="8" t="str">
        <x:v>6.4 开放框架与执行环境;7.1 环境扩展</x:v>
      </x:c>
      <x:c r="M234" s="8" t="str"/>
      <x:c r="N234" s="8" t="str">
        <x:v>Survey;Framework</x:v>
      </x:c>
      <x:c r="O234" s="11" t="str">
        <x:v>https://arxiv.org/abs/2605.18747</x:v>
      </x:c>
      <x:c r="P234" s="8" t="str">
        <x:v>讨论以代码承载代理编排、状态与验证的系统设计。</x:v>
      </x:c>
      <x:c r="Q234" s="8" t="str"/>
      <x:c r="R234" s="8" t="str"/>
      <x:c r="S234" s="8" t="str"/>
      <x:c r="T234" s="12" t="str">
        <x:v>未分配</x:v>
      </x:c>
      <x:c r="U234" s="12" t="str"/>
      <x:c r="V234" s="12" t="str"/>
      <x:c r="W234" s="12" t="str"/>
      <x:c r="X234" s="8" t="str">
        <x:v>verified</x:v>
      </x:c>
      <x:c r="Y234" s="11" t="str"/>
      <x:c r="Z234" s="11" t="str"/>
      <x:c r="AA234" s="11" t="str">
        <x:v>https://arxiv.org/html/2605.18747v1</x:v>
      </x:c>
      <x:c r="AB234" s="11" t="str">
        <x:v>https://arxiv.org/abs/2605.18747</x:v>
      </x:c>
      <x:c r="AC234" s="8" t="str"/>
      <x:c r="AD234" s="8" t="str"/>
      <x:c r="AE234" s="8" t="str"/>
      <x:c r="AF234" s="8" t="str">
        <x:v>用于“工作过程六要素”：讨论以代码承载代理编排、状态与验证的系统设计。</x:v>
      </x:c>
      <x:c r="AG234" s="8" t="str">
        <x:v>harness</x:v>
      </x:c>
      <x:c r="AH234" s="8" t="str">
        <x:v>Executable stateful harnesses</x:v>
      </x:c>
      <x:c r="AI234" s="8" t="str"/>
      <x:c r="AJ234" s="8" t="str">
        <x:v>previous README / supplementary search</x:v>
      </x:c>
      <x:c r="AK234" s="13" t="d">
        <x:v>2026-10-16T00:00:00.000Z</x:v>
      </x:c>
      <x:c r="AL234" s="8" t="str">
        <x:v>摘要页正式题名简写为Code as Agent Harness；正文前置副标题为Toward Executable, Verifiable, and Stateful Agent Systems。</x:v>
      </x:c>
      <x:c r="AM234" s="8" t="str">
        <x:v>6.4;7.1</x:v>
      </x:c>
    </x:row>
    <x:row r="235" ht="68" customHeight="1">
      <x:c r="A235" s="8" t="str">
        <x:v>WA-0241</x:v>
      </x:c>
      <x:c r="B235" s="8" t="str">
        <x:v>CoEdIT</x:v>
      </x:c>
      <x:c r="C235" s="8" t="str">
        <x:v>CoEdIT: Text Editing by Task-Specific Instruction Tuning</x:v>
      </x:c>
      <x:c r="D235" s="9" t="n">
        <x:v>2023</x:v>
      </x:c>
      <x:c r="E235" s="8" t="str">
        <x:v>Grammarly; University of Minnesota</x:v>
      </x:c>
      <x:c r="F235" s="10" t="str">
        <x:f>VLOOKUP(H235,'Taxonomy'!$A$6:$G$70,3,FALSE)</x:f>
        <x:v>优化：从工作经验到系统能力</x:v>
      </x:c>
      <x:c r="G235" s="10" t="str">
        <x:f>VLOOKUP(H235,'Taxonomy'!$A$6:$G$70,5,FALSE)</x:f>
        <x:v>模型优化</x:v>
      </x:c>
      <x:c r="H235" s="8" t="str">
        <x:v>5.2.1</x:v>
      </x:c>
      <x:c r="I235" s="10" t="str">
        <x:f>VLOOKUP(H235,'Taxonomy'!$A$6:$G$70,6,FALSE)</x:f>
        <x:v>中期训练与监督微调</x:v>
      </x:c>
      <x:c r="J235" s="8" t="str">
        <x:v>模型参数学习;原生工件生成与编辑</x:v>
      </x:c>
      <x:c r="K235" s="8" t="str">
        <x:v>执行与状态管理</x:v>
      </x:c>
      <x:c r="L235" s="8" t="str">
        <x:v>2.3.4 执行与状态管理</x:v>
      </x:c>
      <x:c r="M235" s="8" t="str"/>
      <x:c r="N235" s="8" t="str">
        <x:v>Method</x:v>
      </x:c>
      <x:c r="O235" s="11" t="str">
        <x:v>https://arxiv.org/abs/2305.09857</x:v>
      </x:c>
      <x:c r="P235" s="8" t="str">
        <x:v>以任务专门指令微调支持简化、改写、纠错及复合自然语言编辑。</x:v>
      </x:c>
      <x:c r="Q235" s="8" t="str"/>
      <x:c r="R235" s="8" t="str"/>
      <x:c r="S235" s="8" t="str"/>
      <x:c r="T235" s="12" t="str">
        <x:v>未分配</x:v>
      </x:c>
      <x:c r="U235" s="12" t="str"/>
      <x:c r="V235" s="12" t="str"/>
      <x:c r="W235" s="12" t="str"/>
      <x:c r="X235" s="8" t="str">
        <x:v>verified</x:v>
      </x:c>
      <x:c r="Y235" s="11" t="str"/>
      <x:c r="Z235" s="11" t="str"/>
      <x:c r="AA235" s="11" t="str">
        <x:v>https://arxiv.org/html/2305.09857v1</x:v>
      </x:c>
      <x:c r="AB235" s="11" t="str">
        <x:v>https://arxiv.org/abs/2305.09857</x:v>
      </x:c>
      <x:c r="AC235" s="8" t="str">
        <x:v>AIO-204</x:v>
      </x:c>
      <x:c r="AD235" s="8" t="str"/>
      <x:c r="AE235" s="8" t="str"/>
      <x:c r="AF235" s="8" t="str">
        <x:v>用于“中期训练与监督微调”：以任务专门指令微调支持简化、改写、纠错及复合自然语言编辑。</x:v>
      </x:c>
      <x:c r="AG235" s="8" t="str">
        <x:v>artifact</x:v>
      </x:c>
      <x:c r="AH235" s="8" t="str">
        <x:v>Instruction-driven text editing</x:v>
      </x:c>
      <x:c r="AI235" s="8" t="str"/>
      <x:c r="AJ235" s="8" t="str">
        <x:v>previous README / supplementary search;2026-10-16 AI Office survey bibliography</x:v>
      </x:c>
      <x:c r="AK235" s="13" t="d">
        <x:v>2026-10-16T00:00:00.000Z</x:v>
      </x:c>
      <x:c r="AL235" s="8" t="str">
        <x:v>新增/保留README来源；论文身份与摘要已核验；分类为维护者判断。</x:v>
      </x:c>
      <x:c r="AM235" s="8" t="str">
        <x:v>4.4</x:v>
      </x:c>
    </x:row>
    <x:row r="236" ht="68" customHeight="1">
      <x:c r="A236" s="8" t="str">
        <x:v>WA-0242</x:v>
      </x:c>
      <x:c r="B236" s="8" t="str">
        <x:v>ComputerRL</x:v>
      </x:c>
      <x:c r="C236" s="8" t="str">
        <x:v>ComputerRL: Scaling End-to-End Online Reinforcement Learning for Computer Use Agents</x:v>
      </x:c>
      <x:c r="D236" s="9" t="n">
        <x:v>2025</x:v>
      </x:c>
      <x:c r="E236" s="8" t="str">
        <x:v>Tsinghua University; Zhipu AI; University of Chinese Academy of Sciences</x:v>
      </x:c>
      <x:c r="F236" s="10" t="str">
        <x:f>VLOOKUP(H236,'Taxonomy'!$A$6:$G$70,3,FALSE)</x:f>
        <x:v>优化：从工作经验到系统能力</x:v>
      </x:c>
      <x:c r="G236" s="10" t="str">
        <x:f>VLOOKUP(H236,'Taxonomy'!$A$6:$G$70,5,FALSE)</x:f>
        <x:v>模型优化</x:v>
      </x:c>
      <x:c r="H236" s="8" t="str">
        <x:v>5.2.2</x:v>
      </x:c>
      <x:c r="I236" s="10" t="str">
        <x:f>VLOOKUP(H236,'Taxonomy'!$A$6:$G$70,6,FALSE)</x:f>
        <x:v>智能体强化学习</x:v>
      </x:c>
      <x:c r="J236" s="8" t="str">
        <x:v>模型参数学习;工具、界面与应用执行</x:v>
      </x:c>
      <x:c r="K236" s="8" t="str">
        <x:v>感知与理解;规划与协调;执行与状态管理</x:v>
      </x:c>
      <x:c r="L236" s="8" t="str"/>
      <x:c r="M236" s="8" t="str"/>
      <x:c r="N236" s="8" t="str">
        <x:v>Method</x:v>
      </x:c>
      <x:c r="O236" s="11" t="str">
        <x:v>https://arxiv.org/abs/2508.14040</x:v>
      </x:c>
      <x:c r="P236" s="8" t="str">
        <x:v>扩大端到端在线强化学习以训练计算机使用代理。</x:v>
      </x:c>
      <x:c r="Q236" s="8" t="str"/>
      <x:c r="R236" s="8" t="str"/>
      <x:c r="S236" s="8" t="str"/>
      <x:c r="T236" s="12" t="str">
        <x:v>未分配</x:v>
      </x:c>
      <x:c r="U236" s="12" t="str"/>
      <x:c r="V236" s="12" t="str"/>
      <x:c r="W236" s="12" t="str"/>
      <x:c r="X236" s="8" t="str">
        <x:v>verified</x:v>
      </x:c>
      <x:c r="Y236" s="11" t="str"/>
      <x:c r="Z236" s="11" t="str"/>
      <x:c r="AA236" s="11" t="str">
        <x:v>https://arxiv.org/html/2508.14040v1</x:v>
      </x:c>
      <x:c r="AB236" s="11" t="str">
        <x:v>https://arxiv.org/abs/2508.14040</x:v>
      </x:c>
      <x:c r="AC236" s="8" t="str">
        <x:v>AIO-120</x:v>
      </x:c>
      <x:c r="AD236" s="8" t="str"/>
      <x:c r="AE236" s="8" t="str"/>
      <x:c r="AF236" s="8" t="str">
        <x:v>用于“智能体强化学习”：扩大端到端在线强化学习以训练计算机使用代理。</x:v>
      </x:c>
      <x:c r="AG236" s="8" t="str">
        <x:v>computer-use</x:v>
      </x:c>
      <x:c r="AH236" s="8" t="str">
        <x:v>End-to-end computer-use RL</x:v>
      </x:c>
      <x:c r="AI236" s="8" t="str"/>
      <x:c r="AJ236" s="8" t="str">
        <x:v>previous README / supplementary search;2026-10-16 AI Office survey bibliography</x:v>
      </x:c>
      <x:c r="AK236" s="13" t="d">
        <x:v>2026-10-16T00:00:00.000Z</x:v>
      </x:c>
      <x:c r="AL236" s="8" t="str">
        <x:v>新增/保留README来源；论文身份与摘要已核验；分类为维护者判断。</x:v>
      </x:c>
      <x:c r="AM236" s="8" t="str">
        <x:v>5.2</x:v>
      </x:c>
    </x:row>
    <x:row r="237" ht="68" customHeight="1">
      <x:c r="A237" s="8" t="str">
        <x:v>WA-0243</x:v>
      </x:c>
      <x:c r="B237" s="8" t="str">
        <x:v>DigiRL</x:v>
      </x:c>
      <x:c r="C237" s="8" t="str">
        <x:v>DigiRL: Training In-The-Wild Device-Control Agents with Autonomous Reinforcement Learning</x:v>
      </x:c>
      <x:c r="D237" s="9" t="n">
        <x:v>2024</x:v>
      </x:c>
      <x:c r="E237" s="8" t="str">
        <x:v>UC Berkeley; University of Illinois Urbana-Champaign; Google DeepMind</x:v>
      </x:c>
      <x:c r="F237" s="10" t="str">
        <x:f>VLOOKUP(H237,'Taxonomy'!$A$6:$G$70,3,FALSE)</x:f>
        <x:v>优化：从工作经验到系统能力</x:v>
      </x:c>
      <x:c r="G237" s="10" t="str">
        <x:f>VLOOKUP(H237,'Taxonomy'!$A$6:$G$70,5,FALSE)</x:f>
        <x:v>模型优化</x:v>
      </x:c>
      <x:c r="H237" s="8" t="str">
        <x:v>5.2.2</x:v>
      </x:c>
      <x:c r="I237" s="10" t="str">
        <x:f>VLOOKUP(H237,'Taxonomy'!$A$6:$G$70,6,FALSE)</x:f>
        <x:v>智能体强化学习</x:v>
      </x:c>
      <x:c r="J237" s="8" t="str">
        <x:v>模型参数学习;工具、界面与应用执行</x:v>
      </x:c>
      <x:c r="K237" s="8" t="str">
        <x:v>感知与理解;执行与状态管理</x:v>
      </x:c>
      <x:c r="L237" s="8" t="str"/>
      <x:c r="M237" s="8" t="str"/>
      <x:c r="N237" s="8" t="str">
        <x:v>Method</x:v>
      </x:c>
      <x:c r="O237" s="11" t="str">
        <x:v>https://arxiv.org/abs/2406.11896</x:v>
      </x:c>
      <x:c r="P237" s="8" t="str">
        <x:v>利用自主强化学习改进真实设备控制，面向变化中的移动应用交互。</x:v>
      </x:c>
      <x:c r="Q237" s="8" t="str"/>
      <x:c r="R237" s="8" t="str"/>
      <x:c r="S237" s="8" t="str"/>
      <x:c r="T237" s="12" t="str">
        <x:v>未分配</x:v>
      </x:c>
      <x:c r="U237" s="12" t="str"/>
      <x:c r="V237" s="12" t="str"/>
      <x:c r="W237" s="12" t="str"/>
      <x:c r="X237" s="8" t="str">
        <x:v>verified</x:v>
      </x:c>
      <x:c r="Y237" s="11" t="str"/>
      <x:c r="Z237" s="11" t="str"/>
      <x:c r="AA237" s="11" t="str">
        <x:v>https://arxiv.org/html/2406.11896v1</x:v>
      </x:c>
      <x:c r="AB237" s="11" t="str">
        <x:v>https://arxiv.org/abs/2406.11896</x:v>
      </x:c>
      <x:c r="AC237" s="8" t="str">
        <x:v>AIO-026</x:v>
      </x:c>
      <x:c r="AD237" s="8" t="str"/>
      <x:c r="AE237" s="8" t="str"/>
      <x:c r="AF237" s="8" t="str">
        <x:v>用于“智能体强化学习”：利用自主强化学习改进真实设备控制，面向变化中的移动应用交互。</x:v>
      </x:c>
      <x:c r="AG237" s="8" t="str">
        <x:v>computer-use</x:v>
      </x:c>
      <x:c r="AH237" s="8" t="str">
        <x:v>Device-control reinforcement learning</x:v>
      </x:c>
      <x:c r="AI237" s="8" t="str"/>
      <x:c r="AJ237" s="8" t="str">
        <x:v>previous README / supplementary search;2026-10-16 AI Office survey bibliography</x:v>
      </x:c>
      <x:c r="AK237" s="13" t="d">
        <x:v>2026-10-16T00:00:00.000Z</x:v>
      </x:c>
      <x:c r="AL237" s="8" t="str">
        <x:v>新增/保留README来源；论文身份与摘要已核验；分类为维护者判断。</x:v>
      </x:c>
      <x:c r="AM237" s="8" t="str">
        <x:v>5.2</x:v>
      </x:c>
    </x:row>
    <x:row r="238" ht="68" customHeight="1">
      <x:c r="A238" s="8" t="str">
        <x:v>WA-0244</x:v>
      </x:c>
      <x:c r="B238" s="8" t="str">
        <x:v>DrugDiscoveryBench</x:v>
      </x:c>
      <x:c r="C238" s="8" t="str">
        <x:v>DrugDiscoveryBench: Can Coding Agents Assist Early-Stage Drug Discovery?</x:v>
      </x:c>
      <x:c r="D238" s="9" t="n">
        <x:v>2026</x:v>
      </x:c>
      <x:c r="E238" s="8" t="str">
        <x:v>Scale AI; Phylo</x:v>
      </x:c>
      <x:c r="F238" s="10" t="str">
        <x:f>VLOOKUP(H238,'Taxonomy'!$A$6:$G$70,3,FALSE)</x:f>
        <x:v>评估与资源：如何检验工作完成</x:v>
      </x:c>
      <x:c r="G238" s="10" t="str">
        <x:f>VLOOKUP(H238,'Taxonomy'!$A$6:$G$70,5,FALSE)</x:f>
        <x:v>基准与任务构造</x:v>
      </x:c>
      <x:c r="H238" s="8" t="str">
        <x:v>6.1.2</x:v>
      </x:c>
      <x:c r="I238" s="10" t="str">
        <x:f>VLOOKUP(H238,'Taxonomy'!$A$6:$G$70,6,FALSE)</x:f>
        <x:v>领域覆盖与工作要求</x:v>
      </x:c>
      <x:c r="J238" s="8" t="str">
        <x:v>职业知识与专业判断;工具、界面与应用执行;成果与实际状态核验</x:v>
      </x:c>
      <x:c r="K238" s="8" t="str">
        <x:v>感知与理解;推理与决策;执行与状态管理;验证、恢复与重新规划</x:v>
      </x:c>
      <x:c r="L238" s="8" t="str"/>
      <x:c r="M238" s="8" t="str"/>
      <x:c r="N238" s="8" t="str">
        <x:v>Benchmark</x:v>
      </x:c>
      <x:c r="O238" s="11" t="str">
        <x:v>https://labs.scale.com/leaderboard/drugdiscoverybench</x:v>
      </x:c>
      <x:c r="P238" s="8" t="str">
        <x:v>在生物医学工具环境中完成靶点、专利、构效关系等可验证药物发现任务。</x:v>
      </x:c>
      <x:c r="Q238" s="8" t="str"/>
      <x:c r="R238" s="8" t="str"/>
      <x:c r="S238" s="8" t="str"/>
      <x:c r="T238" s="12" t="str">
        <x:v>未分配</x:v>
      </x:c>
      <x:c r="U238" s="12" t="str"/>
      <x:c r="V238" s="12" t="str"/>
      <x:c r="W238" s="12" t="str"/>
      <x:c r="X238" s="8" t="str">
        <x:v>verified</x:v>
      </x:c>
      <x:c r="Y238" s="11" t="str">
        <x:v>https://github.com/scaleapi/DrugDiscoveryBench</x:v>
      </x:c>
      <x:c r="Z238" s="11" t="str">
        <x:v>https://huggingface.co/datasets/ScaleAI/DrugDiscoveryBench-Preview</x:v>
      </x:c>
      <x:c r="AA238" s="11" t="str">
        <x:v>https://static.scale.com/uploads/6691558a94899f2f65a87a75/DrugDiscoveryBench.pdf</x:v>
      </x:c>
      <x:c r="AB238" s="11" t="str">
        <x:v>https://labs.scale.com/leaderboard/drugdiscoverybench</x:v>
      </x:c>
      <x:c r="AC238" s="8" t="str"/>
      <x:c r="AD238" s="8" t="str"/>
      <x:c r="AE238" s="8" t="str"/>
      <x:c r="AF238" s="8" t="str">
        <x:v>用于“领域覆盖与工作要求”：在生物医学工具环境中完成靶点、专利、构效关系等可验证药物发现任务。</x:v>
      </x:c>
      <x:c r="AG238" s="8" t="str">
        <x:v>swe-science</x:v>
      </x:c>
      <x:c r="AH238" s="8" t="str">
        <x:v>Early-stage drug discovery workflows</x:v>
      </x:c>
      <x:c r="AI238" s="8" t="str"/>
      <x:c r="AJ238" s="8" t="str">
        <x:v>previous README / supplementary search</x:v>
      </x:c>
      <x:c r="AK238" s="13" t="d">
        <x:v>2026-10-16T00:00:00.000Z</x:v>
      </x:c>
      <x:c r="AL238" s="8" t="str">
        <x:v>正式研究论文由官方页面及PDF核验；非arXiv链接不影响论文身份。</x:v>
      </x:c>
      <x:c r="AM238" s="8" t="str">
        <x:v>6.1</x:v>
      </x:c>
    </x:row>
    <x:row r="239" ht="68" customHeight="1">
      <x:c r="A239" s="8" t="str">
        <x:v>WA-0245</x:v>
      </x:c>
      <x:c r="B239" s="8" t="str">
        <x:v>E-Bench</x:v>
      </x:c>
      <x:c r="C239" s="8" t="str">
        <x:v>E-Bench: Benchmarking Multi-Step Tool-Use Agents in Real-World Product Scenarios</x:v>
      </x:c>
      <x:c r="D239" s="9" t="n">
        <x:v>2026</x:v>
      </x:c>
      <x:c r="E239" s="8" t="str">
        <x:v>Tencent Hunyuan; Tsinghua University; Southeast University</x:v>
      </x:c>
      <x:c r="F239" s="10" t="str">
        <x:f>VLOOKUP(H239,'Taxonomy'!$A$6:$G$70,3,FALSE)</x:f>
        <x:v>评估与资源：如何检验工作完成</x:v>
      </x:c>
      <x:c r="G239" s="10" t="str">
        <x:f>VLOOKUP(H239,'Taxonomy'!$A$6:$G$70,5,FALSE)</x:f>
        <x:v>基准与任务构造</x:v>
      </x:c>
      <x:c r="H239" s="8" t="str">
        <x:v>6.1.2</x:v>
      </x:c>
      <x:c r="I239" s="10" t="str">
        <x:f>VLOOKUP(H239,'Taxonomy'!$A$6:$G$70,6,FALSE)</x:f>
        <x:v>领域覆盖与工作要求</x:v>
      </x:c>
      <x:c r="J239" s="8" t="str">
        <x:v>工具、界面与应用执行;任务分解与行动依赖;任务、环境与扰动构造</x:v>
      </x:c>
      <x:c r="K239" s="8" t="str">
        <x:v>规划与协调;执行与状态管理</x:v>
      </x:c>
      <x:c r="L239" s="8" t="str"/>
      <x:c r="M239" s="8" t="str"/>
      <x:c r="N239" s="8" t="str">
        <x:v>Benchmark</x:v>
      </x:c>
      <x:c r="O239" s="11" t="str">
        <x:v>https://arxiv.org/abs/2607.23722</x:v>
      </x:c>
      <x:c r="P239" s="8" t="str">
        <x:v>以真实产品场景测试多步骤工具使用和任务完成。</x:v>
      </x:c>
      <x:c r="Q239" s="8" t="str"/>
      <x:c r="R239" s="8" t="str"/>
      <x:c r="S239" s="8" t="str"/>
      <x:c r="T239" s="12" t="str">
        <x:v>未分配</x:v>
      </x:c>
      <x:c r="U239" s="12" t="str"/>
      <x:c r="V239" s="12" t="str"/>
      <x:c r="W239" s="12" t="str"/>
      <x:c r="X239" s="8" t="str">
        <x:v>verified</x:v>
      </x:c>
      <x:c r="Y239" s="11" t="str"/>
      <x:c r="Z239" s="11" t="str"/>
      <x:c r="AA239" s="11" t="str">
        <x:v>https://arxiv.org/html/2607.23722v1</x:v>
      </x:c>
      <x:c r="AB239" s="11" t="str">
        <x:v>https://arxiv.org/abs/2607.23722</x:v>
      </x:c>
      <x:c r="AC239" s="8" t="str"/>
      <x:c r="AD239" s="8" t="str"/>
      <x:c r="AE239" s="8" t="str"/>
      <x:c r="AF239" s="8" t="str">
        <x:v>用于“领域覆盖与工作要求”：以真实产品场景测试多步骤工具使用和任务完成。</x:v>
      </x:c>
      <x:c r="AG239" s="8" t="str">
        <x:v>tool-enterprise</x:v>
      </x:c>
      <x:c r="AH239" s="8" t="str">
        <x:v>Real product tool workflows</x:v>
      </x:c>
      <x:c r="AI239" s="8" t="str"/>
      <x:c r="AJ239" s="8" t="str">
        <x:v>previous README / supplementary search</x:v>
      </x:c>
      <x:c r="AK239" s="13" t="d">
        <x:v>2026-10-16T00:00:00.000Z</x:v>
      </x:c>
      <x:c r="AL239" s="8" t="str">
        <x:v>新增/保留README来源；论文身份与摘要已核验；分类为维护者判断。</x:v>
      </x:c>
      <x:c r="AM239" s="8" t="str">
        <x:v>6.1</x:v>
      </x:c>
    </x:row>
    <x:row r="240" ht="68" customHeight="1">
      <x:c r="A240" s="8" t="str">
        <x:v>WA-0246</x:v>
      </x:c>
      <x:c r="B240" s="8" t="str">
        <x:v>E-Commerce Bench</x:v>
      </x:c>
      <x:c r="C240" s="8" t="str">
        <x:v>E-Commerce Bench: Evaluating LLM Agents on Long-Horizon Autonomous Business Operation</x:v>
      </x:c>
      <x:c r="D240" s="9" t="n">
        <x:v>2026</x:v>
      </x:c>
      <x:c r="E240" s="8" t="str">
        <x:v>Alibaba Group (Qwen; Taobao &amp; Tmall); HKUST</x:v>
      </x:c>
      <x:c r="F240" s="10" t="str">
        <x:f>VLOOKUP(H240,'Taxonomy'!$A$6:$G$70,3,FALSE)</x:f>
        <x:v>评估与资源：如何检验工作完成</x:v>
      </x:c>
      <x:c r="G240" s="10" t="str">
        <x:f>VLOOKUP(H240,'Taxonomy'!$A$6:$G$70,5,FALSE)</x:f>
        <x:v>基准与任务构造</x:v>
      </x:c>
      <x:c r="H240" s="8" t="str">
        <x:v>6.1.2</x:v>
      </x:c>
      <x:c r="I240" s="10" t="str">
        <x:f>VLOOKUP(H240,'Taxonomy'!$A$6:$G$70,6,FALSE)</x:f>
        <x:v>领域覆盖与工作要求</x:v>
      </x:c>
      <x:c r="J240" s="8" t="str">
        <x:v>工具、界面与应用执行;当前状态与版本有效性;工作形态与验收组织</x:v>
      </x:c>
      <x:c r="K240" s="8" t="str">
        <x:v>规划与协调;执行与状态管理</x:v>
      </x:c>
      <x:c r="L240" s="8" t="str"/>
      <x:c r="M240" s="8" t="str"/>
      <x:c r="N240" s="8" t="str">
        <x:v>Benchmark</x:v>
      </x:c>
      <x:c r="O240" s="11" t="str">
        <x:v>https://arxiv.org/abs/2608.30730</x:v>
      </x:c>
      <x:c r="P240" s="8" t="str">
        <x:v>让代理在电商业务环境中执行长程自主运营任务，检验连续业务状态变化。</x:v>
      </x:c>
      <x:c r="Q240" s="8" t="str"/>
      <x:c r="R240" s="8" t="str"/>
      <x:c r="S240" s="8" t="str"/>
      <x:c r="T240" s="12" t="str">
        <x:v>未分配</x:v>
      </x:c>
      <x:c r="U240" s="12" t="str"/>
      <x:c r="V240" s="12" t="str"/>
      <x:c r="W240" s="12" t="str"/>
      <x:c r="X240" s="8" t="str">
        <x:v>verified</x:v>
      </x:c>
      <x:c r="Y240" s="11" t="str"/>
      <x:c r="Z240" s="11" t="str"/>
      <x:c r="AA240" s="11" t="str">
        <x:v>https://arxiv.org/html/2608.30730v1</x:v>
      </x:c>
      <x:c r="AB240" s="11" t="str">
        <x:v>https://arxiv.org/abs/2608.30730</x:v>
      </x:c>
      <x:c r="AC240" s="8" t="str"/>
      <x:c r="AD240" s="8" t="str"/>
      <x:c r="AE240" s="8" t="str"/>
      <x:c r="AF240" s="8" t="str">
        <x:v>用于“领域覆盖与工作要求”：让代理在电商业务环境中执行长程自主运营任务，检验连续业务状态变化。</x:v>
      </x:c>
      <x:c r="AG240" s="8" t="str">
        <x:v>tool-enterprise</x:v>
      </x:c>
      <x:c r="AH240" s="8" t="str">
        <x:v>Autonomous ecommerce operations</x:v>
      </x:c>
      <x:c r="AI240" s="8" t="str"/>
      <x:c r="AJ240" s="8" t="str">
        <x:v>previous README / supplementary search</x:v>
      </x:c>
      <x:c r="AK240" s="13" t="d">
        <x:v>2026-10-16T00:00:00.000Z</x:v>
      </x:c>
      <x:c r="AL240" s="8" t="str">
        <x:v>新增/保留README来源；论文身份与摘要已核验；分类为维护者判断。</x:v>
      </x:c>
      <x:c r="AM240" s="8" t="str">
        <x:v>6.1</x:v>
      </x:c>
    </x:row>
    <x:row r="241" ht="68" customHeight="1">
      <x:c r="A241" s="8" t="str">
        <x:v>WA-0247</x:v>
      </x:c>
      <x:c r="B241" s="8" t="str">
        <x:v>EnterpriseBench</x:v>
      </x:c>
      <x:c r="C241" s="8" t="str">
        <x:v>Can LLMs Help You at Work? A Sandbox for Evaluating LLM Agents in Enterprise Environments</x:v>
      </x:c>
      <x:c r="D241" s="9" t="n">
        <x:v>2025</x:v>
      </x:c>
      <x:c r="E241" s="8" t="str">
        <x:v>Fujitsu Research</x:v>
      </x:c>
      <x:c r="F241" s="10" t="str">
        <x:f>VLOOKUP(H241,'Taxonomy'!$A$6:$G$70,3,FALSE)</x:f>
        <x:v>评估与资源：如何检验工作完成</x:v>
      </x:c>
      <x:c r="G241" s="10" t="str">
        <x:f>VLOOKUP(H241,'Taxonomy'!$A$6:$G$70,5,FALSE)</x:f>
        <x:v>基准与任务构造</x:v>
      </x:c>
      <x:c r="H241" s="8" t="str">
        <x:v>6.1.1</x:v>
      </x:c>
      <x:c r="I241" s="10" t="str">
        <x:f>VLOOKUP(H241,'Taxonomy'!$A$6:$G$70,6,FALSE)</x:f>
        <x:v>任务构造策略</x:v>
      </x:c>
      <x:c r="J241" s="8" t="str">
        <x:v>任务、环境与扰动构造;委托、责任与权限;任务分解与行动依赖</x:v>
      </x:c>
      <x:c r="K241" s="8" t="str">
        <x:v>规划与协调;执行与状态管理</x:v>
      </x:c>
      <x:c r="L241" s="8" t="str">
        <x:v>6.4 开放框架与执行环境</x:v>
      </x:c>
      <x:c r="M241" s="8" t="str"/>
      <x:c r="N241" s="8" t="str">
        <x:v>Benchmark;Framework</x:v>
      </x:c>
      <x:c r="O241" s="11" t="str">
        <x:v>https://aclanthology.org/2025.emnlp-main.466/</x:v>
      </x:c>
      <x:c r="P241" s="8" t="str">
        <x:v>模拟企业碎片化数据、权限层级与跨部门任务，支持环境与任务合成。</x:v>
      </x:c>
      <x:c r="Q241" s="8" t="str"/>
      <x:c r="R241" s="8" t="str"/>
      <x:c r="S241" s="8" t="str"/>
      <x:c r="T241" s="12" t="str">
        <x:v>未分配</x:v>
      </x:c>
      <x:c r="U241" s="12" t="str"/>
      <x:c r="V241" s="12" t="str"/>
      <x:c r="W241" s="12" t="str"/>
      <x:c r="X241" s="8" t="str">
        <x:v>verified</x:v>
      </x:c>
      <x:c r="Y241" s="11" t="str"/>
      <x:c r="Z241" s="11" t="str"/>
      <x:c r="AA241" s="11" t="str">
        <x:v>https://aclanthology.org/2025.emnlp-main.466.pdf</x:v>
      </x:c>
      <x:c r="AB241" s="11" t="str">
        <x:v>https://aclanthology.org/2025.emnlp-main.466/</x:v>
      </x:c>
      <x:c r="AC241" s="8" t="str"/>
      <x:c r="AD241" s="8" t="str"/>
      <x:c r="AE241" s="8" t="str"/>
      <x:c r="AF241" s="8" t="str">
        <x:v>用于“任务构造策略”：模拟企业碎片化数据、权限层级与跨部门任务，支持环境与任务合成。</x:v>
      </x:c>
      <x:c r="AG241" s="8" t="str">
        <x:v>tool-enterprise</x:v>
      </x:c>
      <x:c r="AH241" s="8" t="str">
        <x:v>Enterprise sandbox and access control</x:v>
      </x:c>
      <x:c r="AI241" s="8" t="str"/>
      <x:c r="AJ241" s="8" t="str">
        <x:v>previous README / supplementary search</x:v>
      </x:c>
      <x:c r="AK241" s="13" t="d">
        <x:v>2026-10-16T00:00:00.000Z</x:v>
      </x:c>
      <x:c r="AL241" s="8" t="str">
        <x:v>论文全名补齐；EMNLP2025。</x:v>
      </x:c>
      <x:c r="AM241" s="8" t="str">
        <x:v>6.1;6.4</x:v>
      </x:c>
    </x:row>
    <x:row r="242" ht="68" customHeight="1">
      <x:c r="A242" s="8" t="str">
        <x:v>WA-0248</x:v>
      </x:c>
      <x:c r="B242" s="8" t="str">
        <x:v>EnterpriseClawBench</x:v>
      </x:c>
      <x:c r="C242" s="8" t="str">
        <x:v>EnterpriseClawBench: Benchmarking Agents from Real Workplace Sessions</x:v>
      </x:c>
      <x:c r="D242" s="9" t="n">
        <x:v>2026</x:v>
      </x:c>
      <x:c r="E242" s="8" t="str">
        <x:v>Horizon Research, Frontis.AI</x:v>
      </x:c>
      <x:c r="F242" s="10" t="str">
        <x:f>VLOOKUP(H242,'Taxonomy'!$A$6:$G$70,3,FALSE)</x:f>
        <x:v>评估与资源：如何检验工作完成</x:v>
      </x:c>
      <x:c r="G242" s="10" t="str">
        <x:f>VLOOKUP(H242,'Taxonomy'!$A$6:$G$70,5,FALSE)</x:f>
        <x:v>基准与任务构造</x:v>
      </x:c>
      <x:c r="H242" s="8" t="str">
        <x:v>6.1.2</x:v>
      </x:c>
      <x:c r="I242" s="10" t="str">
        <x:f>VLOOKUP(H242,'Taxonomy'!$A$6:$G$70,6,FALSE)</x:f>
        <x:v>领域覆盖与工作要求</x:v>
      </x:c>
      <x:c r="J242" s="8" t="str">
        <x:v>任务覆盖与泛化边界;答案、产物、状态与过程证据</x:v>
      </x:c>
      <x:c r="K242" s="8" t="str">
        <x:v>规划与协调;执行与状态管理</x:v>
      </x:c>
      <x:c r="L242" s="8" t="str"/>
      <x:c r="M242" s="8" t="str"/>
      <x:c r="N242" s="8" t="str">
        <x:v>Benchmark</x:v>
      </x:c>
      <x:c r="O242" s="11" t="str">
        <x:v>https://arxiv.org/abs/2606.23654</x:v>
      </x:c>
      <x:c r="P242" s="8" t="str">
        <x:v>从真实职场会话设计代理评测，研究企业任务分布与执行协议。</x:v>
      </x:c>
      <x:c r="Q242" s="8" t="str"/>
      <x:c r="R242" s="8" t="str"/>
      <x:c r="S242" s="8" t="str"/>
      <x:c r="T242" s="12" t="str">
        <x:v>未分配</x:v>
      </x:c>
      <x:c r="U242" s="12" t="str"/>
      <x:c r="V242" s="12" t="str"/>
      <x:c r="W242" s="12" t="str"/>
      <x:c r="X242" s="8" t="str">
        <x:v>verified</x:v>
      </x:c>
      <x:c r="Y242" s="11" t="str"/>
      <x:c r="Z242" s="11" t="str"/>
      <x:c r="AA242" s="11" t="str">
        <x:v>https://arxiv.org/html/2606.23654v1</x:v>
      </x:c>
      <x:c r="AB242" s="11" t="str">
        <x:v>https://arxiv.org/abs/2606.23654</x:v>
      </x:c>
      <x:c r="AC242" s="8" t="str"/>
      <x:c r="AD242" s="8" t="str"/>
      <x:c r="AE242" s="8" t="str"/>
      <x:c r="AF242" s="8" t="str">
        <x:v>用于“领域覆盖与工作要求”：从真实职场会话设计代理评测，研究企业任务分布与执行协议。</x:v>
      </x:c>
      <x:c r="AG242" s="8" t="str">
        <x:v>tool-enterprise</x:v>
      </x:c>
      <x:c r="AH242" s="8" t="str">
        <x:v>Workplace-session evaluation</x:v>
      </x:c>
      <x:c r="AI242" s="8" t="str"/>
      <x:c r="AJ242" s="8" t="str">
        <x:v>previous README / supplementary search</x:v>
      </x:c>
      <x:c r="AK242" s="13" t="d">
        <x:v>2026-10-16T00:00:00.000Z</x:v>
      </x:c>
      <x:c r="AL242" s="8" t="str">
        <x:v>新增/保留README来源；论文身份与摘要已核验；分类为维护者判断。</x:v>
      </x:c>
      <x:c r="AM242" s="8" t="str">
        <x:v>6.1</x:v>
      </x:c>
    </x:row>
    <x:row r="243" ht="68" customHeight="1">
      <x:c r="A243" s="8" t="str">
        <x:v>WA-0250</x:v>
      </x:c>
      <x:c r="B243" s="8" t="str">
        <x:v>Externalization in LLM Agents</x:v>
      </x:c>
      <x:c r="C243" s="8" t="str">
        <x:v>Externalization in LLM Agents: A Unified Review of Memory, Skills, Protocols and Harness Engineering</x:v>
      </x:c>
      <x:c r="D243" s="9" t="n">
        <x:v>2026</x:v>
      </x:c>
      <x:c r="E243" s="8" t="str">
        <x:v>Shanghai Jiao Tong University; Sun Yat-Sen University; Shanghai Innovation Institute; Carnegie Mellon University; OPPO</x:v>
      </x:c>
      <x:c r="F243" s="10" t="str">
        <x:f>VLOOKUP(H243,'Taxonomy'!$A$6:$G$70,3,FALSE)</x:f>
        <x:v>基础：定义、工作条件与核心能力</x:v>
      </x:c>
      <x:c r="G243" s="10" t="str">
        <x:f>VLOOKUP(H243,'Taxonomy'!$A$6:$G$70,5,FALSE)</x:f>
        <x:v>定义与系统视角</x:v>
      </x:c>
      <x:c r="H243" s="8" t="str">
        <x:v>2.1.2</x:v>
      </x:c>
      <x:c r="I243" s="10" t="str">
        <x:f>VLOOKUP(H243,'Taxonomy'!$A$6:$G$70,6,FALSE)</x:f>
        <x:v>工作过程六要素</x:v>
      </x:c>
      <x:c r="J243" s="8" t="str">
        <x:v>定义、系统职责与工作循环;上下文与记忆管理;工具、界面与应用执行</x:v>
      </x:c>
      <x:c r="K243" s="8" t="str">
        <x:v>执行与状态管理</x:v>
      </x:c>
      <x:c r="L243" s="8" t="str">
        <x:v>2.3.4 执行与状态管理;6.4 开放框架与执行环境</x:v>
      </x:c>
      <x:c r="M243" s="8" t="str"/>
      <x:c r="N243" s="8" t="str">
        <x:v>Survey</x:v>
      </x:c>
      <x:c r="O243" s="11" t="str">
        <x:v>https://arxiv.org/abs/2604.08224</x:v>
      </x:c>
      <x:c r="P243" s="8" t="str">
        <x:v>统一讨论将记忆、技能、协议和执行编排从模型外化为系统组件的路线。</x:v>
      </x:c>
      <x:c r="Q243" s="8" t="str"/>
      <x:c r="R243" s="8" t="str"/>
      <x:c r="S243" s="8" t="str"/>
      <x:c r="T243" s="12" t="str">
        <x:v>未分配</x:v>
      </x:c>
      <x:c r="U243" s="12" t="str"/>
      <x:c r="V243" s="12" t="str"/>
      <x:c r="W243" s="12" t="str"/>
      <x:c r="X243" s="8" t="str">
        <x:v>verified</x:v>
      </x:c>
      <x:c r="Y243" s="11" t="str"/>
      <x:c r="Z243" s="11" t="str"/>
      <x:c r="AA243" s="11" t="str">
        <x:v>https://arxiv.org/html/2604.08224v1</x:v>
      </x:c>
      <x:c r="AB243" s="11" t="str">
        <x:v>https://arxiv.org/abs/2604.08224</x:v>
      </x:c>
      <x:c r="AC243" s="8" t="str"/>
      <x:c r="AD243" s="8" t="str"/>
      <x:c r="AE243" s="8" t="str"/>
      <x:c r="AF243" s="8" t="str">
        <x:v>用于“工作过程六要素”：统一讨论将记忆、技能、协议和执行编排从模型外化为系统组件的路线。</x:v>
      </x:c>
      <x:c r="AG243" s="8" t="str">
        <x:v>harness</x:v>
      </x:c>
      <x:c r="AH243" s="8" t="str">
        <x:v>Memory skills protocols and harnesses</x:v>
      </x:c>
      <x:c r="AI243" s="8" t="str"/>
      <x:c r="AJ243" s="8" t="str">
        <x:v>previous README / supplementary search</x:v>
      </x:c>
      <x:c r="AK243" s="13" t="d">
        <x:v>2026-10-16T00:00:00.000Z</x:v>
      </x:c>
      <x:c r="AL243" s="8" t="str">
        <x:v>新增/保留README来源；论文身份与摘要已核验；分类为维护者判断。</x:v>
      </x:c>
      <x:c r="AM243" s="8" t="str">
        <x:v>4.4;6.4</x:v>
      </x:c>
    </x:row>
    <x:row r="244" ht="68" customHeight="1">
      <x:c r="A244" s="8" t="str">
        <x:v>WA-0251</x:v>
      </x:c>
      <x:c r="B244" s="8" t="str">
        <x:v>FieldWorkArena</x:v>
      </x:c>
      <x:c r="C244" s="8" t="str">
        <x:v>FieldWorkArena: Agentic AI Benchmark for Real Field Work Tasks</x:v>
      </x:c>
      <x:c r="D244" s="9" t="n">
        <x:v>2025</x:v>
      </x:c>
      <x:c r="E244" s="8" t="str">
        <x:v>Fujitsu; Fujitsu Research of America; Carnegie Mellon University</x:v>
      </x:c>
      <x:c r="F244" s="10" t="str">
        <x:f>VLOOKUP(H244,'Taxonomy'!$A$6:$G$70,3,FALSE)</x:f>
        <x:v>评估与资源：如何检验工作完成</x:v>
      </x:c>
      <x:c r="G244" s="10" t="str">
        <x:f>VLOOKUP(H244,'Taxonomy'!$A$6:$G$70,5,FALSE)</x:f>
        <x:v>基准与任务构造</x:v>
      </x:c>
      <x:c r="H244" s="8" t="str">
        <x:v>6.1.2</x:v>
      </x:c>
      <x:c r="I244" s="10" t="str">
        <x:f>VLOOKUP(H244,'Taxonomy'!$A$6:$G$70,6,FALSE)</x:f>
        <x:v>领域覆盖与工作要求</x:v>
      </x:c>
      <x:c r="J244" s="8" t="str">
        <x:v>职业知识与专业判断;工具、界面与应用执行;对象结构、模态与语义</x:v>
      </x:c>
      <x:c r="K244" s="8" t="str">
        <x:v>感知与理解;推理与决策;执行与状态管理</x:v>
      </x:c>
      <x:c r="L244" s="8" t="str"/>
      <x:c r="M244" s="8" t="str"/>
      <x:c r="N244" s="8" t="str">
        <x:v>Benchmark</x:v>
      </x:c>
      <x:c r="O244" s="11" t="str">
        <x:v>https://arxiv.org/abs/2505.19662</x:v>
      </x:c>
      <x:c r="P244" s="8" t="str">
        <x:v>把实际现场业务任务转为代理评测，覆盖专业场景下的信息理解与系统操作。</x:v>
      </x:c>
      <x:c r="Q244" s="8" t="str"/>
      <x:c r="R244" s="8" t="str"/>
      <x:c r="S244" s="8" t="str"/>
      <x:c r="T244" s="12" t="str">
        <x:v>未分配</x:v>
      </x:c>
      <x:c r="U244" s="12" t="str"/>
      <x:c r="V244" s="12" t="str"/>
      <x:c r="W244" s="12" t="str"/>
      <x:c r="X244" s="8" t="str">
        <x:v>verified</x:v>
      </x:c>
      <x:c r="Y244" s="11" t="str"/>
      <x:c r="Z244" s="11" t="str"/>
      <x:c r="AA244" s="11" t="str">
        <x:v>https://arxiv.org/html/2505.19662v1</x:v>
      </x:c>
      <x:c r="AB244" s="11" t="str">
        <x:v>https://arxiv.org/abs/2505.19662</x:v>
      </x:c>
      <x:c r="AC244" s="8" t="str"/>
      <x:c r="AD244" s="8" t="str"/>
      <x:c r="AE244" s="8" t="str"/>
      <x:c r="AF244" s="8" t="str">
        <x:v>用于“领域覆盖与工作要求”：把实际现场业务任务转为代理评测，覆盖专业场景下的信息理解与系统操作。</x:v>
      </x:c>
      <x:c r="AG244" s="8" t="str">
        <x:v>computer-use</x:v>
      </x:c>
      <x:c r="AH244" s="8" t="str">
        <x:v>Field-work applications</x:v>
      </x:c>
      <x:c r="AI244" s="8" t="str"/>
      <x:c r="AJ244" s="8" t="str">
        <x:v>previous README / supplementary search</x:v>
      </x:c>
      <x:c r="AK244" s="13" t="d">
        <x:v>2026-10-16T00:00:00.000Z</x:v>
      </x:c>
      <x:c r="AL244" s="8" t="str">
        <x:v>新增/保留README来源；论文身份与摘要已核验；分类为维护者判断。</x:v>
      </x:c>
      <x:c r="AM244" s="8" t="str">
        <x:v>6.1</x:v>
      </x:c>
    </x:row>
    <x:row r="245" ht="82" customHeight="1">
      <x:c r="A245" s="8" t="str">
        <x:v>WA-0252</x:v>
      </x:c>
      <x:c r="B245" s="8" t="str">
        <x:v>FINCH / FinWorkBench</x:v>
      </x:c>
      <x:c r="C245" s="8" t="str">
        <x:v>Finch: Benchmarking Finance &amp; Accounting across Spreadsheet-Centric Enterprise Workflows</x:v>
      </x:c>
      <x:c r="D245" s="9" t="n">
        <x:v>2025</x:v>
      </x:c>
      <x:c r="E245" s="8" t="str">
        <x:v>University of Chinese Academy of Sciences; Microsoft; South China University of Technology; Zhongguancun Academy; Zhongguancun Institute of Artificial Intelligence; Harvest Fund; Fudan University; Hugging Face</x:v>
      </x:c>
      <x:c r="F245" s="10" t="str">
        <x:f>VLOOKUP(H245,'Taxonomy'!$A$6:$G$70,3,FALSE)</x:f>
        <x:v>评估与资源：如何检验工作完成</x:v>
      </x:c>
      <x:c r="G245" s="10" t="str">
        <x:f>VLOOKUP(H245,'Taxonomy'!$A$6:$G$70,5,FALSE)</x:f>
        <x:v>基准与任务构造</x:v>
      </x:c>
      <x:c r="H245" s="8" t="str">
        <x:v>6.1.2</x:v>
      </x:c>
      <x:c r="I245" s="10" t="str">
        <x:f>VLOOKUP(H245,'Taxonomy'!$A$6:$G$70,6,FALSE)</x:f>
        <x:v>领域覆盖与工作要求</x:v>
      </x:c>
      <x:c r="J245" s="8" t="str">
        <x:v>职业知识与专业判断;对象关系、来源与依赖;工作形态与验收组织</x:v>
      </x:c>
      <x:c r="K245" s="8" t="str">
        <x:v>感知与理解;推理与决策;执行与状态管理;验证、恢复与重新规划</x:v>
      </x:c>
      <x:c r="L245" s="8" t="str"/>
      <x:c r="M245" s="8" t="str"/>
      <x:c r="N245" s="8" t="str">
        <x:v>Benchmark</x:v>
      </x:c>
      <x:c r="O245" s="11" t="str">
        <x:v>https://arxiv.org/abs/2512.13168</x:v>
      </x:c>
      <x:c r="P245" s="8" t="str">
        <x:v>保留真实企业财务资料的混杂性，评估跨表格、邮件和其他文件的完整财务工作流。</x:v>
      </x:c>
      <x:c r="Q245" s="8" t="str"/>
      <x:c r="R245" s="8" t="str"/>
      <x:c r="S245" s="8" t="str"/>
      <x:c r="T245" s="12" t="str">
        <x:v>未分配</x:v>
      </x:c>
      <x:c r="U245" s="12" t="str"/>
      <x:c r="V245" s="12" t="str"/>
      <x:c r="W245" s="12" t="str"/>
      <x:c r="X245" s="8" t="str">
        <x:v>verified</x:v>
      </x:c>
      <x:c r="Y245" s="11" t="str">
        <x:v>https://github.com/FinWorkBench/Finch</x:v>
      </x:c>
      <x:c r="Z245" s="11" t="str">
        <x:v>https://huggingface.co/datasets/FinWorkBench/Finch</x:v>
      </x:c>
      <x:c r="AA245" s="11" t="str">
        <x:v>https://aclanthology.org/2026.findings-acl.523.pdf</x:v>
      </x:c>
      <x:c r="AB245" s="11" t="str">
        <x:v>https://arxiv.org/abs/2512.13168</x:v>
      </x:c>
      <x:c r="AC245" s="8" t="str">
        <x:v>AIO-062</x:v>
      </x:c>
      <x:c r="AD245" s="8" t="str"/>
      <x:c r="AE245" s="8" t="str"/>
      <x:c r="AF245" s="8" t="str">
        <x:v>用于“领域覆盖与工作要求”：保留真实企业财务资料的混杂性，评估跨表格、邮件和其他文件的完整财务工作流。</x:v>
      </x:c>
      <x:c r="AG245" s="8" t="str">
        <x:v>workspace</x:v>
      </x:c>
      <x:c r="AH245" s="8" t="str">
        <x:v>Spreadsheet-centric finance workflows</x:v>
      </x:c>
      <x:c r="AI245" s="8" t="str"/>
      <x:c r="AJ245" s="8" t="str">
        <x:v>previous README / supplementary search;2026-10-16 AI Office survey bibliography</x:v>
      </x:c>
      <x:c r="AK245" s="13" t="d">
        <x:v>2026-10-16T00:00:00.000Z</x:v>
      </x:c>
      <x:c r="AL245" s="8" t="str">
        <x:v>原README误标not released；已发现公开论文、代码和数据。机构以ACL2026论文前置信息核验。</x:v>
      </x:c>
      <x:c r="AM245" s="8" t="str">
        <x:v>6.1</x:v>
      </x:c>
    </x:row>
    <x:row r="246" ht="68" customHeight="1">
      <x:c r="A246" s="8" t="str">
        <x:v>WA-0253</x:v>
      </x:c>
      <x:c r="B246" s="8" t="str">
        <x:v>FireAct</x:v>
      </x:c>
      <x:c r="C246" s="8" t="str">
        <x:v>FireAct: Toward Language Agent Fine-tuning</x:v>
      </x:c>
      <x:c r="D246" s="9" t="n">
        <x:v>2023</x:v>
      </x:c>
      <x:c r="E246" s="8" t="str">
        <x:v>System2 Research; University of Cambridge; Monash University; Princeton University (PLI)</x:v>
      </x:c>
      <x:c r="F246" s="10" t="str">
        <x:f>VLOOKUP(H246,'Taxonomy'!$A$6:$G$70,3,FALSE)</x:f>
        <x:v>优化：从工作经验到系统能力</x:v>
      </x:c>
      <x:c r="G246" s="10" t="str">
        <x:f>VLOOKUP(H246,'Taxonomy'!$A$6:$G$70,5,FALSE)</x:f>
        <x:v>模型优化</x:v>
      </x:c>
      <x:c r="H246" s="8" t="str">
        <x:v>5.2.1</x:v>
      </x:c>
      <x:c r="I246" s="10" t="str">
        <x:f>VLOOKUP(H246,'Taxonomy'!$A$6:$G$70,6,FALSE)</x:f>
        <x:v>中期训练与监督微调</x:v>
      </x:c>
      <x:c r="J246" s="8" t="str">
        <x:v>模型参数学习;轨迹采集与策划</x:v>
      </x:c>
      <x:c r="K246" s="8" t="str">
        <x:v>规划与协调;执行与状态管理</x:v>
      </x:c>
      <x:c r="L246" s="8" t="str">
        <x:v>5.1 训练环境、数据与奖励</x:v>
      </x:c>
      <x:c r="M246" s="8" t="str"/>
      <x:c r="N246" s="8" t="str">
        <x:v>Method</x:v>
      </x:c>
      <x:c r="O246" s="11" t="str">
        <x:v>https://arxiv.org/abs/2310.05915</x:v>
      </x:c>
      <x:c r="P246" s="8" t="str">
        <x:v>用多种代理推理轨迹微调语言模型，研究面向代理行为的训练。</x:v>
      </x:c>
      <x:c r="Q246" s="8" t="str"/>
      <x:c r="R246" s="8" t="str"/>
      <x:c r="S246" s="8" t="str"/>
      <x:c r="T246" s="12" t="str">
        <x:v>未分配</x:v>
      </x:c>
      <x:c r="U246" s="12" t="str"/>
      <x:c r="V246" s="12" t="str"/>
      <x:c r="W246" s="12" t="str"/>
      <x:c r="X246" s="8" t="str">
        <x:v>verified</x:v>
      </x:c>
      <x:c r="Y246" s="11" t="str"/>
      <x:c r="Z246" s="11" t="str"/>
      <x:c r="AA246" s="11" t="str">
        <x:v>https://arxiv.org/html/2310.05915v1</x:v>
      </x:c>
      <x:c r="AB246" s="11" t="str">
        <x:v>https://arxiv.org/abs/2310.05915</x:v>
      </x:c>
      <x:c r="AC246" s="8" t="str"/>
      <x:c r="AD246" s="8" t="str"/>
      <x:c r="AE246" s="8" t="str"/>
      <x:c r="AF246" s="8" t="str">
        <x:v>用于“中期训练与监督微调”：用多种代理推理轨迹微调语言模型，研究面向代理行为的训练。</x:v>
      </x:c>
      <x:c r="AG246" s="8" t="str">
        <x:v>tool-enterprise</x:v>
      </x:c>
      <x:c r="AH246" s="8" t="str">
        <x:v>Agent trajectory fine-tuning</x:v>
      </x:c>
      <x:c r="AI246" s="8" t="str"/>
      <x:c r="AJ246" s="8" t="str">
        <x:v>previous README / supplementary search</x:v>
      </x:c>
      <x:c r="AK246" s="13" t="d">
        <x:v>2026-10-16T00:00:00.000Z</x:v>
      </x:c>
      <x:c r="AL246" s="8" t="str">
        <x:v>新增/保留README来源；论文身份与摘要已核验；分类为维护者判断。</x:v>
      </x:c>
      <x:c r="AM246" s="8" t="str">
        <x:v>5.1;5.2</x:v>
      </x:c>
    </x:row>
    <x:row r="247" ht="68" customHeight="1">
      <x:c r="A247" s="8" t="str">
        <x:v>WA-0254</x:v>
      </x:c>
      <x:c r="B247" s="8" t="str">
        <x:v>Flex-TravelPlanner</x:v>
      </x:c>
      <x:c r="C247" s="8" t="str">
        <x:v>Flex-TravelPlanner: A Benchmark for Flexible Planning with Language Agents</x:v>
      </x:c>
      <x:c r="D247" s="9" t="n">
        <x:v>2025</x:v>
      </x:c>
      <x:c r="E247" s="8" t="str">
        <x:v>KAIST</x:v>
      </x:c>
      <x:c r="F247" s="10" t="str">
        <x:f>VLOOKUP(H247,'Taxonomy'!$A$6:$G$70,3,FALSE)</x:f>
        <x:v>基础：定义、工作条件与核心能力</x:v>
      </x:c>
      <x:c r="G247" s="10" t="str">
        <x:f>VLOOKUP(H247,'Taxonomy'!$A$6:$G$70,5,FALSE)</x:f>
        <x:v>五项核心能力</x:v>
      </x:c>
      <x:c r="H247" s="8" t="str">
        <x:v>2.3.3</x:v>
      </x:c>
      <x:c r="I247" s="10" t="str">
        <x:f>VLOOKUP(H247,'Taxonomy'!$A$6:$G$70,6,FALSE)</x:f>
        <x:v>规划与协调</x:v>
      </x:c>
      <x:c r="J247" s="8" t="str">
        <x:v>任务分解与行动依赖;分布信息、澄清与协调;开放与变化条件</x:v>
      </x:c>
      <x:c r="K247" s="8" t="str">
        <x:v>推理与决策;规划与协调</x:v>
      </x:c>
      <x:c r="L247" s="8" t="str">
        <x:v>6.1.2 领域覆盖与工作要求</x:v>
      </x:c>
      <x:c r="M247" s="8" t="str"/>
      <x:c r="N247" s="8" t="str">
        <x:v>Benchmark</x:v>
      </x:c>
      <x:c r="O247" s="11" t="str">
        <x:v>https://arxiv.org/abs/2506.04649</x:v>
      </x:c>
      <x:c r="P247" s="8" t="str">
        <x:v>评估旅行规划代理处理变化需求与灵活约束的能力。</x:v>
      </x:c>
      <x:c r="Q247" s="8" t="str"/>
      <x:c r="R247" s="8" t="str"/>
      <x:c r="S247" s="8" t="str"/>
      <x:c r="T247" s="12" t="str">
        <x:v>未分配</x:v>
      </x:c>
      <x:c r="U247" s="12" t="str"/>
      <x:c r="V247" s="12" t="str"/>
      <x:c r="W247" s="12" t="str"/>
      <x:c r="X247" s="8" t="str">
        <x:v>verified</x:v>
      </x:c>
      <x:c r="Y247" s="11" t="str"/>
      <x:c r="Z247" s="11" t="str"/>
      <x:c r="AA247" s="11" t="str">
        <x:v>https://arxiv.org/html/2506.04649v1</x:v>
      </x:c>
      <x:c r="AB247" s="11" t="str">
        <x:v>https://arxiv.org/abs/2506.04649</x:v>
      </x:c>
      <x:c r="AC247" s="8" t="str"/>
      <x:c r="AD247" s="8" t="str"/>
      <x:c r="AE247" s="8" t="str"/>
      <x:c r="AF247" s="8" t="str">
        <x:v>用于“规划与协调”：评估旅行规划代理处理变化需求与灵活约束的能力。</x:v>
      </x:c>
      <x:c r="AG247" s="8" t="str">
        <x:v>tool-enterprise</x:v>
      </x:c>
      <x:c r="AH247" s="8" t="str">
        <x:v>Flexible interactive planning</x:v>
      </x:c>
      <x:c r="AI247" s="8" t="str"/>
      <x:c r="AJ247" s="8" t="str">
        <x:v>previous README / supplementary search</x:v>
      </x:c>
      <x:c r="AK247" s="13" t="d">
        <x:v>2026-10-16T00:00:00.000Z</x:v>
      </x:c>
      <x:c r="AL247" s="8" t="str">
        <x:v>新增/保留README来源；论文身份与摘要已核验；分类为维护者判断。</x:v>
      </x:c>
      <x:c r="AM247" s="8" t="str">
        <x:v>6.1</x:v>
      </x:c>
    </x:row>
    <x:row r="248" ht="68" customHeight="1">
      <x:c r="A248" s="8" t="str">
        <x:v>WA-0255</x:v>
      </x:c>
      <x:c r="B248" s="8" t="str">
        <x:v>GDP.pdf</x:v>
      </x:c>
      <x:c r="C248" s="8" t="str">
        <x:v>GDP.pdf: Benchmarking Grounded Multimodal Reasoning over Professional PDF Documents</x:v>
      </x:c>
      <x:c r="D248" s="9" t="n">
        <x:v>2026</x:v>
      </x:c>
      <x:c r="E248" s="8" t="str">
        <x:v>Surge AI</x:v>
      </x:c>
      <x:c r="F248" s="10" t="str">
        <x:f>VLOOKUP(H248,'Taxonomy'!$A$6:$G$70,3,FALSE)</x:f>
        <x:v>基础：定义、工作条件与核心能力</x:v>
      </x:c>
      <x:c r="G248" s="10" t="str">
        <x:f>VLOOKUP(H248,'Taxonomy'!$A$6:$G$70,5,FALSE)</x:f>
        <x:v>五项核心能力</x:v>
      </x:c>
      <x:c r="H248" s="8" t="str">
        <x:v>2.3.1</x:v>
      </x:c>
      <x:c r="I248" s="10" t="str">
        <x:f>VLOOKUP(H248,'Taxonomy'!$A$6:$G$70,6,FALSE)</x:f>
        <x:v>感知与理解</x:v>
      </x:c>
      <x:c r="J248" s="8" t="str">
        <x:v>对象结构、模态与语义;证据整合与推理;职业知识与专业判断</x:v>
      </x:c>
      <x:c r="K248" s="8" t="str">
        <x:v>感知与理解;推理与决策;验证、恢复与重新规划</x:v>
      </x:c>
      <x:c r="L248" s="8" t="str">
        <x:v>2.3.2 推理与决策;6.1.2 领域覆盖与工作要求</x:v>
      </x:c>
      <x:c r="M248" s="8" t="str"/>
      <x:c r="N248" s="8" t="str">
        <x:v>Benchmark</x:v>
      </x:c>
      <x:c r="O248" s="11" t="str">
        <x:v>https://arxiv.org/abs/2607.11192</x:v>
      </x:c>
      <x:c r="P248" s="8" t="str">
        <x:v>用专业人士编写的PDF问题和原子rubric测试实际文档阅读、证据整合及推理。</x:v>
      </x:c>
      <x:c r="Q248" s="8" t="str">
        <x:v>在阅读文件和专业判断之间增加来自工作材料的连接，补充一般学术文档。</x:v>
      </x:c>
      <x:c r="R248" s="8" t="str">
        <x:v>是PDF专业推理，不是OpenAI GDPval或GDPval子集；不测试交付文件制作。</x:v>
      </x:c>
      <x:c r="S248" s="8" t="str">
        <x:v>补充</x:v>
      </x:c>
      <x:c r="T248" s="12" t="str">
        <x:v>未分配</x:v>
      </x:c>
      <x:c r="U248" s="12" t="str"/>
      <x:c r="V248" s="12" t="str"/>
      <x:c r="W248" s="12" t="str"/>
      <x:c r="X248" s="8" t="str">
        <x:v>verified</x:v>
      </x:c>
      <x:c r="Y248" s="11" t="str"/>
      <x:c r="Z248" s="11" t="str">
        <x:v>https://huggingface.co/datasets/surgeai/GDP.pdf</x:v>
      </x:c>
      <x:c r="AA248" s="11" t="str">
        <x:v>https://arxiv.org/html/2607.11192v1</x:v>
      </x:c>
      <x:c r="AB248" s="11" t="str">
        <x:v>https://arxiv.org/abs/2607.11192</x:v>
      </x:c>
      <x:c r="AC248" s="8" t="str">
        <x:v>L070</x:v>
      </x:c>
      <x:c r="AD248" s="8" t="str">
        <x:v>本轮新增候选；官方摘要。</x:v>
      </x:c>
      <x:c r="AE248" s="8" t="str">
        <x:v>2.3.1工作材料；2.3.2专业知识。</x:v>
      </x:c>
      <x:c r="AF248" s="8" t="str">
        <x:v>按补充清单 L070 的论证用途归入“感知与理解”：在阅读文件和专业判断之间增加来自工作材料的连接，补充一般学术文档。</x:v>
      </x:c>
      <x:c r="AG248" s="8" t="str">
        <x:v>related</x:v>
      </x:c>
      <x:c r="AH248" s="8" t="str">
        <x:v>Professional PDF reasoning</x:v>
      </x:c>
      <x:c r="AI248" s="8" t="str"/>
      <x:c r="AJ248" s="8" t="str">
        <x:v>previous README / supplementary search;2026-10-16 chapter 2 / former chapter 4 supplement</x:v>
      </x:c>
      <x:c r="AK248" s="13" t="d">
        <x:v>2026-10-16T00:00:00.000Z</x:v>
      </x:c>
      <x:c r="AL248" s="8" t="str">
        <x:v>原README无链接，现补齐正式论文与数据卡；最终问答评分，保留Related。</x:v>
      </x:c>
      <x:c r="AM248" s="8" t="str">
        <x:v>6.1</x:v>
      </x:c>
    </x:row>
    <x:row r="249" ht="68" customHeight="1">
      <x:c r="A249" s="8" t="str">
        <x:v>WA-0256</x:v>
      </x:c>
      <x:c r="B249" s="8" t="str">
        <x:v>Generative Agents</x:v>
      </x:c>
      <x:c r="C249" s="8" t="str">
        <x:v>Generative Agents: Interactive Simulacra of Human Behavior</x:v>
      </x:c>
      <x:c r="D249" s="9" t="n">
        <x:v>2023</x:v>
      </x:c>
      <x:c r="E249" s="8" t="str">
        <x:v>Stanford University; Google Research</x:v>
      </x:c>
      <x:c r="F249" s="10" t="str">
        <x:f>VLOOKUP(H249,'Taxonomy'!$A$6:$G$70,3,FALSE)</x:f>
        <x:v>基础：定义、工作条件与核心能力</x:v>
      </x:c>
      <x:c r="G249" s="10" t="str">
        <x:f>VLOOKUP(H249,'Taxonomy'!$A$6:$G$70,5,FALSE)</x:f>
        <x:v>五项核心能力</x:v>
      </x:c>
      <x:c r="H249" s="8" t="str">
        <x:v>2.3.4</x:v>
      </x:c>
      <x:c r="I249" s="10" t="str">
        <x:f>VLOOKUP(H249,'Taxonomy'!$A$6:$G$70,6,FALSE)</x:f>
        <x:v>执行与状态管理</x:v>
      </x:c>
      <x:c r="J249" s="8" t="str">
        <x:v>上下文与记忆管理;任务分解与行动依赖;分布信息、澄清与协调</x:v>
      </x:c>
      <x:c r="K249" s="8" t="str">
        <x:v>规划与协调;执行与状态管理</x:v>
      </x:c>
      <x:c r="L249" s="8" t="str">
        <x:v>7.2 从被动执行到持续责任</x:v>
      </x:c>
      <x:c r="M249" s="8" t="str"/>
      <x:c r="N249" s="8" t="str">
        <x:v>Method</x:v>
      </x:c>
      <x:c r="O249" s="11" t="str">
        <x:v>https://arxiv.org/abs/2304.03442</x:v>
      </x:c>
      <x:c r="P249" s="8" t="str">
        <x:v>在交互仿真社会中用记忆、反思与规划生成持续一致的行为。</x:v>
      </x:c>
      <x:c r="Q249" s="8" t="str"/>
      <x:c r="R249" s="8" t="str"/>
      <x:c r="S249" s="8" t="str"/>
      <x:c r="T249" s="12" t="str">
        <x:v>未分配</x:v>
      </x:c>
      <x:c r="U249" s="12" t="str"/>
      <x:c r="V249" s="12" t="str"/>
      <x:c r="W249" s="12" t="str"/>
      <x:c r="X249" s="8" t="str">
        <x:v>verified</x:v>
      </x:c>
      <x:c r="Y249" s="11" t="str"/>
      <x:c r="Z249" s="11" t="str"/>
      <x:c r="AA249" s="11" t="str">
        <x:v>https://arxiv.org/html/2304.03442v1</x:v>
      </x:c>
      <x:c r="AB249" s="11" t="str">
        <x:v>https://arxiv.org/abs/2304.03442</x:v>
      </x:c>
      <x:c r="AC249" s="8" t="str"/>
      <x:c r="AD249" s="8" t="str"/>
      <x:c r="AE249" s="8" t="str"/>
      <x:c r="AF249" s="8" t="str">
        <x:v>用于“执行与状态管理”：在交互仿真社会中用记忆、反思与规划生成持续一致的行为。</x:v>
      </x:c>
      <x:c r="AG249" s="8" t="str">
        <x:v>persistent</x:v>
      </x:c>
      <x:c r="AH249" s="8" t="str">
        <x:v>Long-term interactive memory</x:v>
      </x:c>
      <x:c r="AI249" s="8" t="str"/>
      <x:c r="AJ249" s="8" t="str">
        <x:v>previous README / supplementary search</x:v>
      </x:c>
      <x:c r="AK249" s="13" t="d">
        <x:v>2026-10-16T00:00:00.000Z</x:v>
      </x:c>
      <x:c r="AL249" s="8" t="str">
        <x:v>新增/保留README来源；论文身份与摘要已核验；分类为维护者判断。</x:v>
      </x:c>
      <x:c r="AM249" s="8" t="str">
        <x:v>4.4;7.2</x:v>
      </x:c>
    </x:row>
    <x:row r="250" ht="68" customHeight="1">
      <x:c r="A250" s="8" t="str">
        <x:v>WA-0258</x:v>
      </x:c>
      <x:c r="B250" s="8" t="str">
        <x:v>HiL-Bench</x:v>
      </x:c>
      <x:c r="C250" s="8" t="str">
        <x:v>HiL-Bench (Human-in-Loop Benchmark): Do Agents Know When to Ask for Help?</x:v>
      </x:c>
      <x:c r="D250" s="9" t="n">
        <x:v>2026</x:v>
      </x:c>
      <x:c r="E250" s="8" t="str">
        <x:v>Scale AI</x:v>
      </x:c>
      <x:c r="F250" s="10" t="str">
        <x:f>VLOOKUP(H250,'Taxonomy'!$A$6:$G$70,3,FALSE)</x:f>
        <x:v>基础：定义、工作条件与核心能力</x:v>
      </x:c>
      <x:c r="G250" s="10" t="str">
        <x:f>VLOOKUP(H250,'Taxonomy'!$A$6:$G$70,5,FALSE)</x:f>
        <x:v>五项核心能力</x:v>
      </x:c>
      <x:c r="H250" s="8" t="str">
        <x:v>2.3.3</x:v>
      </x:c>
      <x:c r="I250" s="10" t="str">
        <x:f>VLOOKUP(H250,'Taxonomy'!$A$6:$G$70,6,FALSE)</x:f>
        <x:v>规划与协调</x:v>
      </x:c>
      <x:c r="J250" s="8" t="str">
        <x:v>分布信息、澄清与协调;开放与变化条件;证据与规则约束下的决策</x:v>
      </x:c>
      <x:c r="K250" s="8" t="str">
        <x:v>推理与决策;规划与协调;执行与状态管理</x:v>
      </x:c>
      <x:c r="L250" s="8" t="str">
        <x:v>6.1 基准与任务构造;7.4 以工作为中心的系统</x:v>
      </x:c>
      <x:c r="M250" s="8" t="str"/>
      <x:c r="N250" s="8" t="str">
        <x:v>Benchmark</x:v>
      </x:c>
      <x:c r="O250" s="11" t="str">
        <x:v>https://arxiv.org/abs/2604.09408</x:v>
      </x:c>
      <x:c r="P250" s="8" t="str">
        <x:v>人为引入缺失、模糊或冲突的需求，用Ask-F1检验代理是否在合适时机请求帮助。</x:v>
      </x:c>
      <x:c r="Q250" s="8" t="str"/>
      <x:c r="R250" s="8" t="str"/>
      <x:c r="S250" s="8" t="str"/>
      <x:c r="T250" s="12" t="str">
        <x:v>未分配</x:v>
      </x:c>
      <x:c r="U250" s="12" t="str"/>
      <x:c r="V250" s="12" t="str"/>
      <x:c r="W250" s="12" t="str"/>
      <x:c r="X250" s="8" t="str">
        <x:v>verified</x:v>
      </x:c>
      <x:c r="Y250" s="11" t="str">
        <x:v>https://github.com/hilbenchauthors/hil-bench</x:v>
      </x:c>
      <x:c r="Z250" s="11" t="str">
        <x:v>https://huggingface.co/datasets/ScaleAI/hil-bench</x:v>
      </x:c>
      <x:c r="AA250" s="11" t="str">
        <x:v>https://arxiv.org/html/2604.09408v1</x:v>
      </x:c>
      <x:c r="AB250" s="11" t="str">
        <x:v>https://arxiv.org/abs/2604.09408</x:v>
      </x:c>
      <x:c r="AC250" s="8" t="str"/>
      <x:c r="AD250" s="8" t="str"/>
      <x:c r="AE250" s="8" t="str"/>
      <x:c r="AF250" s="8" t="str">
        <x:v>用于“规划与协调”：人为引入缺失、模糊或冲突的需求，用Ask-F1检验代理是否在合适时机请求帮助。</x:v>
      </x:c>
      <x:c r="AG250" s="8" t="str">
        <x:v>swe-science</x:v>
      </x:c>
      <x:c r="AH250" s="8" t="str">
        <x:v>Selective escalation and clarification</x:v>
      </x:c>
      <x:c r="AI250" s="8" t="str"/>
      <x:c r="AJ250" s="8" t="str">
        <x:v>previous README / supplementary search</x:v>
      </x:c>
      <x:c r="AK250" s="13" t="d">
        <x:v>2026-10-16T00:00:00.000Z</x:v>
      </x:c>
      <x:c r="AL250" s="8" t="str">
        <x:v>由README末尾待展开条目补全；身份和机构以论文首版前置信息核验。</x:v>
      </x:c>
      <x:c r="AM250" s="8" t="str">
        <x:v>6.1;7.4</x:v>
      </x:c>
    </x:row>
    <x:row r="251" ht="68" customHeight="1">
      <x:c r="A251" s="8" t="str">
        <x:v>WA-0259</x:v>
      </x:c>
      <x:c r="B251" s="8" t="str">
        <x:v>InjecAgent</x:v>
      </x:c>
      <x:c r="C251" s="8" t="str">
        <x:v>InjecAgent: Benchmarking Indirect Prompt Injections in Tool-Integrated Large Language Model Agents</x:v>
      </x:c>
      <x:c r="D251" s="9" t="n">
        <x:v>2024</x:v>
      </x:c>
      <x:c r="E251" s="8" t="str">
        <x:v>University of Illinois Urbana-Champaign</x:v>
      </x:c>
      <x:c r="F251" s="10" t="str">
        <x:f>VLOOKUP(H251,'Taxonomy'!$A$6:$G$70,3,FALSE)</x:f>
        <x:v>评估与资源：如何检验工作完成</x:v>
      </x:c>
      <x:c r="G251" s="10" t="str">
        <x:f>VLOOKUP(H251,'Taxonomy'!$A$6:$G$70,5,FALSE)</x:f>
        <x:v>评估方法</x:v>
      </x:c>
      <x:c r="H251" s="8" t="str">
        <x:v>6.2.1</x:v>
      </x:c>
      <x:c r="I251" s="10" t="str">
        <x:f>VLOOKUP(H251,'Taxonomy'!$A$6:$G$70,6,FALSE)</x:f>
        <x:v>评估目标与可观察证据</x:v>
      </x:c>
      <x:c r="J251" s="8" t="str">
        <x:v>安全、隐私与授权边界;开放与变化条件</x:v>
      </x:c>
      <x:c r="K251" s="8" t="str">
        <x:v>执行与状态管理;验证、恢复与重新规划</x:v>
      </x:c>
      <x:c r="L251" s="8" t="str">
        <x:v>6.1 基准与任务构造;7.4 以工作为中心的系统</x:v>
      </x:c>
      <x:c r="M251" s="8" t="str"/>
      <x:c r="N251" s="8" t="str">
        <x:v>Benchmark</x:v>
      </x:c>
      <x:c r="O251" s="11" t="str">
        <x:v>https://arxiv.org/abs/2403.02691</x:v>
      </x:c>
      <x:c r="P251" s="8" t="str">
        <x:v>用工具输出中的间接提示注入测试代理是否将外部数据误当成指令。</x:v>
      </x:c>
      <x:c r="Q251" s="8" t="str"/>
      <x:c r="R251" s="8" t="str"/>
      <x:c r="S251" s="8" t="str"/>
      <x:c r="T251" s="12" t="str">
        <x:v>未分配</x:v>
      </x:c>
      <x:c r="U251" s="12" t="str"/>
      <x:c r="V251" s="12" t="str"/>
      <x:c r="W251" s="12" t="str"/>
      <x:c r="X251" s="8" t="str">
        <x:v>verified</x:v>
      </x:c>
      <x:c r="Y251" s="11" t="str"/>
      <x:c r="Z251" s="11" t="str"/>
      <x:c r="AA251" s="11" t="str">
        <x:v>https://arxiv.org/html/2403.02691v1</x:v>
      </x:c>
      <x:c r="AB251" s="11" t="str">
        <x:v>https://arxiv.org/abs/2403.02691</x:v>
      </x:c>
      <x:c r="AC251" s="8" t="str"/>
      <x:c r="AD251" s="8" t="str"/>
      <x:c r="AE251" s="8" t="str"/>
      <x:c r="AF251" s="8" t="str">
        <x:v>用于“评估目标与可观察证据”：用工具输出中的间接提示注入测试代理是否将外部数据误当成指令。</x:v>
      </x:c>
      <x:c r="AG251" s="8" t="str">
        <x:v>safety</x:v>
      </x:c>
      <x:c r="AH251" s="8" t="str">
        <x:v>Indirect prompt injection</x:v>
      </x:c>
      <x:c r="AI251" s="8" t="str"/>
      <x:c r="AJ251" s="8" t="str">
        <x:v>previous README / supplementary search</x:v>
      </x:c>
      <x:c r="AK251" s="13" t="d">
        <x:v>2026-10-16T00:00:00.000Z</x:v>
      </x:c>
      <x:c r="AL251" s="8" t="str">
        <x:v>新增/保留README来源；论文身份与摘要已核验；分类为维护者判断。</x:v>
      </x:c>
      <x:c r="AM251" s="8" t="str">
        <x:v>6.1;7.4</x:v>
      </x:c>
    </x:row>
    <x:row r="252" ht="110" customHeight="1">
      <x:c r="A252" s="8" t="str">
        <x:v>WA-0260</x:v>
      </x:c>
      <x:c r="B252" s="8" t="str">
        <x:v>JobBench</x:v>
      </x:c>
      <x:c r="C252" s="8" t="str">
        <x:v>JobBench: Aligning Agent Work With Human Will</x:v>
      </x:c>
      <x:c r="D252" s="9" t="n">
        <x:v>2026</x:v>
      </x:c>
      <x:c r="E252" s="8" t="str">
        <x:v>University of Washington; UC Santa Barbara; Stanford University; Carnegie Mellon University; Northwestern University; University of Notre Dame; UC Berkeley; Michigan State University; MIT-IBM Watson AI Lab; Bake AI; King Abdulaziz City for Science and Technology; Western Washington University; University of Chicago</x:v>
      </x:c>
      <x:c r="F252" s="10" t="str">
        <x:f>VLOOKUP(H252,'Taxonomy'!$A$6:$G$70,3,FALSE)</x:f>
        <x:v>基础：定义、工作条件与核心能力</x:v>
      </x:c>
      <x:c r="G252" s="10" t="str">
        <x:f>VLOOKUP(H252,'Taxonomy'!$A$6:$G$70,5,FALSE)</x:f>
        <x:v>定义与系统视角</x:v>
      </x:c>
      <x:c r="H252" s="8" t="str">
        <x:v>2.1.2</x:v>
      </x:c>
      <x:c r="I252" s="10" t="str">
        <x:f>VLOOKUP(H252,'Taxonomy'!$A$6:$G$70,6,FALSE)</x:f>
        <x:v>工作过程六要素</x:v>
      </x:c>
      <x:c r="J252" s="8" t="str">
        <x:v>委托、责任与权限;对象关系、来源与依赖;标准、量规与裁判</x:v>
      </x:c>
      <x:c r="K252" s="8" t="str">
        <x:v>感知与理解;推理与决策;执行与状态管理;验证、恢复与重新规划</x:v>
      </x:c>
      <x:c r="L252" s="8" t="str">
        <x:v>7.3 从专业质量到使用价值;2.3.1 感知与理解;6.1.2 领域覆盖与工作要求</x:v>
      </x:c>
      <x:c r="M252" s="8" t="str"/>
      <x:c r="N252" s="8" t="str">
        <x:v>Benchmark</x:v>
      </x:c>
      <x:c r="O252" s="11" t="str">
        <x:v>https://arxiv.org/abs/2605.26329</x:v>
      </x:c>
      <x:c r="P252" s="8" t="str">
        <x:v>按专家希望委托的工作构造异构文件工作区，以事实锚定的rubric评估职业交付。</x:v>
      </x:c>
      <x:c r="Q252" s="8" t="str">
        <x:v>补足仅按GDP或工资选任务：用户希望委托什么，以及结果为何可接受，都影响研究对象。</x:v>
      </x:c>
      <x:c r="R252" s="8" t="str">
        <x:v>作者把GDPval称为replacement属于研究立场；不能直接当作本稿对GDPval的事实结论。</x:v>
      </x:c>
      <x:c r="S252" s="8" t="str">
        <x:v>核心</x:v>
      </x:c>
      <x:c r="T252" s="12" t="str">
        <x:v>未分配</x:v>
      </x:c>
      <x:c r="U252" s="12" t="str"/>
      <x:c r="V252" s="12" t="str"/>
      <x:c r="W252" s="12" t="str"/>
      <x:c r="X252" s="8" t="str">
        <x:v>verified</x:v>
      </x:c>
      <x:c r="Y252" s="11" t="str">
        <x:v>https://github.com/Job-Bench/job-bench-eval</x:v>
      </x:c>
      <x:c r="Z252" s="11" t="str">
        <x:v>https://huggingface.co/datasets/JobBench/job-bench</x:v>
      </x:c>
      <x:c r="AA252" s="11" t="str">
        <x:v>https://arxiv.org/html/2605.26329v1</x:v>
      </x:c>
      <x:c r="AB252" s="11" t="str">
        <x:v>https://arxiv.org/abs/2605.26329</x:v>
      </x:c>
      <x:c r="AC252" s="8" t="str">
        <x:v>L011</x:v>
      </x:c>
      <x:c r="AD252" s="8" t="str">
        <x:v>本轮新增候选；原文相关章节。</x:v>
      </x:c>
      <x:c r="AE252" s="8" t="str">
        <x:v>2.1 委托目标；2.3 来源解释；第六章任务选取。</x:v>
      </x:c>
      <x:c r="AF252" s="8" t="str">
        <x:v>按补充清单 L011 的论证用途归入“工作过程六要素”：补足仅按GDP或工资选任务：用户希望委托什么，以及结果为何可接受，都影响研究对象。</x:v>
      </x:c>
      <x:c r="AG252" s="8" t="str">
        <x:v>workspace</x:v>
      </x:c>
      <x:c r="AH252" s="8" t="str">
        <x:v>Human-prioritized delegated work</x:v>
      </x:c>
      <x:c r="AI252" s="8" t="str"/>
      <x:c r="AJ252" s="8" t="str">
        <x:v>previous README / supplementary search;2026-10-16 chapter 2 / former chapter 4 supplement</x:v>
      </x:c>
      <x:c r="AK252" s="13" t="d">
        <x:v>2026-10-16T00:00:00.000Z</x:v>
      </x:c>
      <x:c r="AL252" s="8" t="str">
        <x:v>原README标2025；论文首发2026年5月。</x:v>
      </x:c>
      <x:c r="AM252" s="8" t="str">
        <x:v>6.1;7.3</x:v>
      </x:c>
    </x:row>
    <x:row r="253" ht="68" customHeight="1">
      <x:c r="A253" s="8" t="str">
        <x:v>WA-0261</x:v>
      </x:c>
      <x:c r="B253" s="8" t="str">
        <x:v>Legal Research Bench</x:v>
      </x:c>
      <x:c r="C253" s="8" t="str">
        <x:v>Legal Research Bench: Measuring End-to-End Reliability in Long-Horizon Legal Research Agents</x:v>
      </x:c>
      <x:c r="D253" s="9" t="n">
        <x:v>2026</x:v>
      </x:c>
      <x:c r="E253" s="8" t="str">
        <x:v>Vals AI</x:v>
      </x:c>
      <x:c r="F253" s="10" t="str">
        <x:f>VLOOKUP(H253,'Taxonomy'!$A$6:$G$70,3,FALSE)</x:f>
        <x:v>基础：定义、工作条件与核心能力</x:v>
      </x:c>
      <x:c r="G253" s="10" t="str">
        <x:f>VLOOKUP(H253,'Taxonomy'!$A$6:$G$70,5,FALSE)</x:f>
        <x:v>五项核心能力</x:v>
      </x:c>
      <x:c r="H253" s="8" t="str">
        <x:v>2.3.2</x:v>
      </x:c>
      <x:c r="I253" s="10" t="str">
        <x:f>VLOOKUP(H253,'Taxonomy'!$A$6:$G$70,6,FALSE)</x:f>
        <x:v>推理与决策</x:v>
      </x:c>
      <x:c r="J253" s="8" t="str">
        <x:v>职业知识与专业判断;材料发现与证据定位;成果与实际状态核验</x:v>
      </x:c>
      <x:c r="K253" s="8" t="str">
        <x:v>感知与理解;推理与决策;验证、恢复与重新规划</x:v>
      </x:c>
      <x:c r="L253" s="8" t="str">
        <x:v>6.1 基准与任务构造;6.3 结果对齐指标;2.3.5 验证、恢复与重新规划;6.2.2 评判程序</x:v>
      </x:c>
      <x:c r="M253" s="8" t="str"/>
      <x:c r="N253" s="8" t="str">
        <x:v>Benchmark</x:v>
      </x:c>
      <x:c r="O253" s="11" t="str">
        <x:v>https://arxiv.org/abs/2610.00609</x:v>
      </x:c>
      <x:c r="P253" s="8" t="str">
        <x:v>以多步骤美国法律检索问题、全项通过评分与引用真实性检查评价研究答案可靠性。</x:v>
      </x:c>
      <x:c r="Q253" s="8" t="str">
        <x:v>直接支撑专业知识决定有效结果：还须判断权威适用性、时效及冲突，而不只是找到资料。</x:v>
      </x:c>
      <x:c r="R253" s="8" t="str">
        <x:v>美国法且偏可达客观共识问题；多数题目未公开；all-pass与部分分数回答不同问题。</x:v>
      </x:c>
      <x:c r="S253" s="8" t="str">
        <x:v>核心</x:v>
      </x:c>
      <x:c r="T253" s="12" t="str">
        <x:v>未分配</x:v>
      </x:c>
      <x:c r="U253" s="12" t="str"/>
      <x:c r="V253" s="12" t="str"/>
      <x:c r="W253" s="12" t="str"/>
      <x:c r="X253" s="8" t="str">
        <x:v>verified</x:v>
      </x:c>
      <x:c r="Y253" s="11" t="str">
        <x:v>https://github.com/vals-ai/legal-research-bench</x:v>
      </x:c>
      <x:c r="Z253" s="11" t="str"/>
      <x:c r="AA253" s="11" t="str">
        <x:v>https://arxiv.org/html/2610.00609v1</x:v>
      </x:c>
      <x:c r="AB253" s="11" t="str">
        <x:v>https://arxiv.org/abs/2610.00609</x:v>
      </x:c>
      <x:c r="AC253" s="8" t="str">
        <x:v>L012</x:v>
      </x:c>
      <x:c r="AD253" s="8" t="str">
        <x:v>本轮新增候选；原文相关章节。</x:v>
      </x:c>
      <x:c r="AE253" s="8" t="str">
        <x:v>2.3 专业判断/验证；第六章验收。</x:v>
      </x:c>
      <x:c r="AF253" s="8" t="str">
        <x:v>按补充清单 L012 的论证用途归入“推理与决策”：直接支撑专业知识决定有效结果：还须判断权威适用性、时效及冲突，而不只是找到资料。</x:v>
      </x:c>
      <x:c r="AG253" s="8" t="str">
        <x:v>related</x:v>
      </x:c>
      <x:c r="AH253" s="8" t="str">
        <x:v>Long-horizon legal research</x:v>
      </x:c>
      <x:c r="AI253" s="8" t="str"/>
      <x:c r="AJ253" s="8" t="str">
        <x:v>previous README / supplementary search;2026-10-16 chapter 2 / former chapter 4 supplement</x:v>
      </x:c>
      <x:c r="AK253" s="13" t="d">
        <x:v>2026-10-16T00:00:00.000Z</x:v>
      </x:c>
      <x:c r="AL253" s="8" t="str">
        <x:v>原README仅列资源，现已发现2026年正式预印本；公开代码含样例，完整评测集受限。</x:v>
      </x:c>
      <x:c r="AM253" s="8" t="str">
        <x:v>6.1;6.3</x:v>
      </x:c>
    </x:row>
    <x:row r="254" ht="68" customHeight="1">
      <x:c r="A254" s="8" t="str">
        <x:v>WA-0262</x:v>
      </x:c>
      <x:c r="B254" s="8" t="str">
        <x:v>Lifelong Learning of LLM Agents</x:v>
      </x:c>
      <x:c r="C254" s="8" t="str">
        <x:v>Lifelong Learning of Large Language Model based Agents: A Roadmap</x:v>
      </x:c>
      <x:c r="D254" s="9" t="n">
        <x:v>2025</x:v>
      </x:c>
      <x:c r="E254" s="8" t="str">
        <x:v>South China University of Technology; MBZUAI; Tencent AI Lab</x:v>
      </x:c>
      <x:c r="F254" s="10" t="str">
        <x:f>VLOOKUP(H254,'Taxonomy'!$A$6:$G$70,3,FALSE)</x:f>
        <x:v>前沿：下一代 Working Agents</x:v>
      </x:c>
      <x:c r="G254" s="10" t="str">
        <x:f>VLOOKUP(H254,'Taxonomy'!$A$6:$G$70,5,FALSE)</x:f>
        <x:v>从被动执行到持续责任</x:v>
      </x:c>
      <x:c r="H254" s="8" t="str">
        <x:v>7.2.3</x:v>
      </x:c>
      <x:c r="I254" s="10" t="str">
        <x:f>VLOOKUP(H254,'Taxonomy'!$A$6:$G$70,6,FALSE)</x:f>
        <x:v>持续个性化与自我演化</x:v>
      </x:c>
      <x:c r="J254" s="8" t="str">
        <x:v>跨任务个性化与自演化;上下文与记忆管理</x:v>
      </x:c>
      <x:c r="K254" s="8" t="str">
        <x:v>执行与状态管理</x:v>
      </x:c>
      <x:c r="L254" s="8" t="str">
        <x:v>5.3 运行框架优化</x:v>
      </x:c>
      <x:c r="M254" s="8" t="str"/>
      <x:c r="N254" s="8" t="str">
        <x:v>Survey</x:v>
      </x:c>
      <x:c r="O254" s="11" t="str">
        <x:v>https://arxiv.org/abs/2501.07278</x:v>
      </x:c>
      <x:c r="P254" s="8" t="str">
        <x:v>梳理LLM代理终身学习的能力、记忆和持续适应路线。</x:v>
      </x:c>
      <x:c r="Q254" s="8" t="str"/>
      <x:c r="R254" s="8" t="str"/>
      <x:c r="S254" s="8" t="str"/>
      <x:c r="T254" s="12" t="str">
        <x:v>未分配</x:v>
      </x:c>
      <x:c r="U254" s="12" t="str"/>
      <x:c r="V254" s="12" t="str"/>
      <x:c r="W254" s="12" t="str"/>
      <x:c r="X254" s="8" t="str">
        <x:v>verified</x:v>
      </x:c>
      <x:c r="Y254" s="11" t="str"/>
      <x:c r="Z254" s="11" t="str"/>
      <x:c r="AA254" s="11" t="str">
        <x:v>https://arxiv.org/html/2501.07278v1</x:v>
      </x:c>
      <x:c r="AB254" s="11" t="str">
        <x:v>https://arxiv.org/abs/2501.07278</x:v>
      </x:c>
      <x:c r="AC254" s="8" t="str"/>
      <x:c r="AD254" s="8" t="str"/>
      <x:c r="AE254" s="8" t="str"/>
      <x:c r="AF254" s="8" t="str">
        <x:v>用于“持续个性化与自我演化”：梳理LLM代理终身学习的能力、记忆和持续适应路线。</x:v>
      </x:c>
      <x:c r="AG254" s="8" t="str">
        <x:v>persistent</x:v>
      </x:c>
      <x:c r="AH254" s="8" t="str">
        <x:v>Lifelong-learning roadmap</x:v>
      </x:c>
      <x:c r="AI254" s="8" t="str"/>
      <x:c r="AJ254" s="8" t="str">
        <x:v>previous README / supplementary search</x:v>
      </x:c>
      <x:c r="AK254" s="13" t="d">
        <x:v>2026-10-16T00:00:00.000Z</x:v>
      </x:c>
      <x:c r="AL254" s="8" t="str">
        <x:v>新增/保留README来源；论文身份与摘要已核验；分类为维护者判断。</x:v>
      </x:c>
      <x:c r="AM254" s="8" t="str">
        <x:v>5.3;7.2</x:v>
      </x:c>
    </x:row>
    <x:row r="255" ht="68" customHeight="1">
      <x:c r="A255" s="8" t="str">
        <x:v>WA-0263</x:v>
      </x:c>
      <x:c r="B255" s="8" t="str">
        <x:v>LLM+P</x:v>
      </x:c>
      <x:c r="C255" s="8" t="str">
        <x:v>LLM+P: Empowering Large Language Models with Optimal Planning Proficiency</x:v>
      </x:c>
      <x:c r="D255" s="9" t="n">
        <x:v>2023</x:v>
      </x:c>
      <x:c r="E255" s="8" t="str">
        <x:v>University of Texas at Austin; State University of New York at Binghamton</x:v>
      </x:c>
      <x:c r="F255" s="10" t="str">
        <x:f>VLOOKUP(H255,'Taxonomy'!$A$6:$G$70,3,FALSE)</x:f>
        <x:v>基础：定义、工作条件与核心能力</x:v>
      </x:c>
      <x:c r="G255" s="10" t="str">
        <x:f>VLOOKUP(H255,'Taxonomy'!$A$6:$G$70,5,FALSE)</x:f>
        <x:v>五项核心能力</x:v>
      </x:c>
      <x:c r="H255" s="8" t="str">
        <x:v>2.3.3</x:v>
      </x:c>
      <x:c r="I255" s="10" t="str">
        <x:f>VLOOKUP(H255,'Taxonomy'!$A$6:$G$70,6,FALSE)</x:f>
        <x:v>规划与协调</x:v>
      </x:c>
      <x:c r="J255" s="8" t="str">
        <x:v>任务分解与行动依赖;证据与规则约束下的决策</x:v>
      </x:c>
      <x:c r="K255" s="8" t="str">
        <x:v>推理与决策;规划与协调;验证、恢复与重新规划</x:v>
      </x:c>
      <x:c r="L255" s="8" t="str"/>
      <x:c r="M255" s="8" t="str"/>
      <x:c r="N255" s="8" t="str">
        <x:v>Method</x:v>
      </x:c>
      <x:c r="O255" s="11" t="str">
        <x:v>https://arxiv.org/abs/2304.11477</x:v>
      </x:c>
      <x:c r="P255" s="8" t="str">
        <x:v>将语言任务转成形式规划问题，调用经典规划器后再转回可读计划。</x:v>
      </x:c>
      <x:c r="Q255" s="8" t="str"/>
      <x:c r="R255" s="8" t="str"/>
      <x:c r="S255" s="8" t="str"/>
      <x:c r="T255" s="12" t="str">
        <x:v>未分配</x:v>
      </x:c>
      <x:c r="U255" s="12" t="str"/>
      <x:c r="V255" s="12" t="str"/>
      <x:c r="W255" s="12" t="str"/>
      <x:c r="X255" s="8" t="str">
        <x:v>verified</x:v>
      </x:c>
      <x:c r="Y255" s="11" t="str"/>
      <x:c r="Z255" s="11" t="str"/>
      <x:c r="AA255" s="11" t="str">
        <x:v>https://arxiv.org/html/2304.11477v1</x:v>
      </x:c>
      <x:c r="AB255" s="11" t="str">
        <x:v>https://arxiv.org/abs/2304.11477</x:v>
      </x:c>
      <x:c r="AC255" s="8" t="str"/>
      <x:c r="AD255" s="8" t="str"/>
      <x:c r="AE255" s="8" t="str"/>
      <x:c r="AF255" s="8" t="str">
        <x:v>用于“规划与协调”：将语言任务转成形式规划问题，调用经典规划器后再转回可读计划。</x:v>
      </x:c>
      <x:c r="AG255" s="8" t="str">
        <x:v>tool-enterprise</x:v>
      </x:c>
      <x:c r="AH255" s="8" t="str">
        <x:v>LLM and symbolic planning</x:v>
      </x:c>
      <x:c r="AI255" s="8" t="str"/>
      <x:c r="AJ255" s="8" t="str">
        <x:v>previous README / supplementary search</x:v>
      </x:c>
      <x:c r="AK255" s="13" t="d">
        <x:v>2026-10-16T00:00:00.000Z</x:v>
      </x:c>
      <x:c r="AL255" s="8" t="str">
        <x:v>新增/保留README来源；论文身份与摘要已核验；分类为维护者判断。</x:v>
      </x:c>
      <x:c r="AM255" s="8" t="str">
        <x:v>4.3</x:v>
      </x:c>
    </x:row>
    <x:row r="256" ht="68" customHeight="1">
      <x:c r="A256" s="8" t="str">
        <x:v>WA-0264</x:v>
      </x:c>
      <x:c r="B256" s="8" t="str">
        <x:v>MCP-Atlas</x:v>
      </x:c>
      <x:c r="C256" s="8" t="str">
        <x:v>MCP-Atlas: A Large-Scale Benchmark for Tool-Use Competency with Real MCP Servers</x:v>
      </x:c>
      <x:c r="D256" s="9" t="n">
        <x:v>2026</x:v>
      </x:c>
      <x:c r="E256" s="8" t="str">
        <x:v>Scale AI</x:v>
      </x:c>
      <x:c r="F256" s="10" t="str">
        <x:f>VLOOKUP(H256,'Taxonomy'!$A$6:$G$70,3,FALSE)</x:f>
        <x:v>评估与资源：如何检验工作完成</x:v>
      </x:c>
      <x:c r="G256" s="10" t="str">
        <x:f>VLOOKUP(H256,'Taxonomy'!$A$6:$G$70,5,FALSE)</x:f>
        <x:v>基准与任务构造</x:v>
      </x:c>
      <x:c r="H256" s="8" t="str">
        <x:v>6.1.2</x:v>
      </x:c>
      <x:c r="I256" s="10" t="str">
        <x:f>VLOOKUP(H256,'Taxonomy'!$A$6:$G$70,6,FALSE)</x:f>
        <x:v>领域覆盖与工作要求</x:v>
      </x:c>
      <x:c r="J256" s="8" t="str">
        <x:v>工具、界面与应用执行;任务、环境与扰动构造;任务覆盖与泛化边界</x:v>
      </x:c>
      <x:c r="K256" s="8" t="str">
        <x:v>推理与决策;规划与协调;执行与状态管理</x:v>
      </x:c>
      <x:c r="L256" s="8" t="str"/>
      <x:c r="M256" s="8" t="str"/>
      <x:c r="N256" s="8" t="str">
        <x:v>Benchmark</x:v>
      </x:c>
      <x:c r="O256" s="11" t="str">
        <x:v>https://arxiv.org/abs/2602.00933</x:v>
      </x:c>
      <x:c r="P256" s="8" t="str">
        <x:v>用真实MCP服务器构建大规模工具能力评测；工具调用不意味着每题都修改业务状态。</x:v>
      </x:c>
      <x:c r="Q256" s="8" t="str"/>
      <x:c r="R256" s="8" t="str"/>
      <x:c r="S256" s="8" t="str"/>
      <x:c r="T256" s="12" t="str">
        <x:v>未分配</x:v>
      </x:c>
      <x:c r="U256" s="12" t="str"/>
      <x:c r="V256" s="12" t="str"/>
      <x:c r="W256" s="12" t="str"/>
      <x:c r="X256" s="8" t="str">
        <x:v>verified</x:v>
      </x:c>
      <x:c r="Y256" s="11" t="str"/>
      <x:c r="Z256" s="11" t="str"/>
      <x:c r="AA256" s="11" t="str">
        <x:v>https://arxiv.org/html/2602.00933v1</x:v>
      </x:c>
      <x:c r="AB256" s="11" t="str">
        <x:v>https://arxiv.org/abs/2602.00933</x:v>
      </x:c>
      <x:c r="AC256" s="8" t="str"/>
      <x:c r="AD256" s="8" t="str"/>
      <x:c r="AE256" s="8" t="str"/>
      <x:c r="AF256" s="8" t="str">
        <x:v>用于“领域覆盖与工作要求”：用真实MCP服务器构建大规模工具能力评测；工具调用不意味着每题都修改业务状态。</x:v>
      </x:c>
      <x:c r="AG256" s="8" t="str">
        <x:v>tool-enterprise</x:v>
      </x:c>
      <x:c r="AH256" s="8" t="str">
        <x:v>Real MCP-server tool use</x:v>
      </x:c>
      <x:c r="AI256" s="8" t="str"/>
      <x:c r="AJ256" s="8" t="str">
        <x:v>previous README / supplementary search</x:v>
      </x:c>
      <x:c r="AK256" s="13" t="d">
        <x:v>2026-10-16T00:00:00.000Z</x:v>
      </x:c>
      <x:c r="AL256" s="8" t="str">
        <x:v>新增/保留README来源；论文身份与摘要已核验；分类为维护者判断。</x:v>
      </x:c>
      <x:c r="AM256" s="8" t="str">
        <x:v>6.1</x:v>
      </x:c>
    </x:row>
    <x:row r="257" ht="96" customHeight="1">
      <x:c r="A257" s="8" t="str">
        <x:v>WA-0267</x:v>
      </x:c>
      <x:c r="B257" s="8" t="str">
        <x:v>Memory in the Age of AI Agents</x:v>
      </x:c>
      <x:c r="C257" s="8" t="str">
        <x:v>Memory in the Age of AI Agents</x:v>
      </x:c>
      <x:c r="D257" s="9" t="n">
        <x:v>2025</x:v>
      </x:c>
      <x:c r="E257" s="8" t="str">
        <x:v>National University of Singapore; Renmin University of China; Fudan University; Peking University; Nanyang Technological University; Tongji University; UC San Diego; HKUST (Guangzhou); Griffith University; Georgia Institute of Technology; OPPO; University of Oxford</x:v>
      </x:c>
      <x:c r="F257" s="10" t="str">
        <x:f>VLOOKUP(H257,'Taxonomy'!$A$6:$G$70,3,FALSE)</x:f>
        <x:v>基础：定义、工作条件与核心能力</x:v>
      </x:c>
      <x:c r="G257" s="10" t="str">
        <x:f>VLOOKUP(H257,'Taxonomy'!$A$6:$G$70,5,FALSE)</x:f>
        <x:v>五项核心能力</x:v>
      </x:c>
      <x:c r="H257" s="8" t="str">
        <x:v>2.3.4</x:v>
      </x:c>
      <x:c r="I257" s="10" t="str">
        <x:f>VLOOKUP(H257,'Taxonomy'!$A$6:$G$70,6,FALSE)</x:f>
        <x:v>执行与状态管理</x:v>
      </x:c>
      <x:c r="J257" s="8" t="str">
        <x:v>上下文与记忆管理;当前状态与版本有效性;跨请求工作连续性</x:v>
      </x:c>
      <x:c r="K257" s="8" t="str">
        <x:v>执行与状态管理</x:v>
      </x:c>
      <x:c r="L257" s="8" t="str">
        <x:v>5.3 运行框架优化;2.2.1 工作持久性;7.2.1 持久用户记忆与工作状态</x:v>
      </x:c>
      <x:c r="M257" s="8" t="str"/>
      <x:c r="N257" s="8" t="str">
        <x:v>Survey</x:v>
      </x:c>
      <x:c r="O257" s="11" t="str">
        <x:v>https://arxiv.org/abs/2512.13564</x:v>
      </x:c>
      <x:c r="P257" s="8" t="str">
        <x:v>系统整理代理记忆的形式、功能与演化机制。</x:v>
      </x:c>
      <x:c r="Q257" s="8" t="str">
        <x:v>为持久性所需的信息保留提供术语框架，再用LongDS等补充外部工作状态证据。</x:v>
      </x:c>
      <x:c r="R257" s="8" t="str">
        <x:v>记忆问答成绩不能替代持续任务接续或对象完整性评价。</x:v>
      </x:c>
      <x:c r="S257" s="8" t="str">
        <x:v>核心</x:v>
      </x:c>
      <x:c r="T257" s="12" t="str">
        <x:v>未分配</x:v>
      </x:c>
      <x:c r="U257" s="12" t="str"/>
      <x:c r="V257" s="12" t="str"/>
      <x:c r="W257" s="12" t="str"/>
      <x:c r="X257" s="8" t="str">
        <x:v>verified</x:v>
      </x:c>
      <x:c r="Y257" s="11" t="str"/>
      <x:c r="Z257" s="11" t="str"/>
      <x:c r="AA257" s="11" t="str">
        <x:v>https://arxiv.org/html/2512.13564v1</x:v>
      </x:c>
      <x:c r="AB257" s="11" t="str">
        <x:v>https://arxiv.org/abs/2512.13564</x:v>
      </x:c>
      <x:c r="AC257" s="8" t="str">
        <x:v>L033</x:v>
      </x:c>
      <x:c r="AD257" s="8" t="str">
        <x:v>文献库已有，2／4未引；官方摘要。</x:v>
      </x:c>
      <x:c r="AE257" s="8" t="str">
        <x:v>2.2持久性；2.3.4状态管理。</x:v>
      </x:c>
      <x:c r="AF257" s="8" t="str">
        <x:v>按补充清单 L033 的论证用途归入“执行与状态管理”：为持久性所需的信息保留提供术语框架，再用LongDS等补充外部工作状态证据。 会话/历史记忆作为工作状态管理的参照，不能单独证明外部状态或持续责任。</x:v>
      </x:c>
      <x:c r="AG257" s="8" t="str">
        <x:v>persistent</x:v>
      </x:c>
      <x:c r="AH257" s="8" t="str">
        <x:v>Agent-memory taxonomy</x:v>
      </x:c>
      <x:c r="AI257" s="8" t="str"/>
      <x:c r="AJ257" s="8" t="str">
        <x:v>previous README / supplementary search;2026-10-16 chapter 2 / former chapter 4 supplement</x:v>
      </x:c>
      <x:c r="AK257" s="13" t="d">
        <x:v>2026-10-16T00:00:00.000Z</x:v>
      </x:c>
      <x:c r="AL257" s="8" t="str">
        <x:v>当前arXiv正式题名不包含原README的Forms, Functions and Dynamics副标题。</x:v>
      </x:c>
      <x:c r="AM257" s="8" t="str">
        <x:v>4.4;5.3;7.2</x:v>
      </x:c>
    </x:row>
    <x:row r="258" ht="68" customHeight="1">
      <x:c r="A258" s="8" t="str">
        <x:v>WA-0268</x:v>
      </x:c>
      <x:c r="B258" s="8" t="str">
        <x:v>Mind2Web</x:v>
      </x:c>
      <x:c r="C258" s="8" t="str">
        <x:v>Mind2Web: Towards a Generalist Agent for the Web</x:v>
      </x:c>
      <x:c r="D258" s="9" t="n">
        <x:v>2023</x:v>
      </x:c>
      <x:c r="E258" s="8" t="str">
        <x:v>The Ohio State University</x:v>
      </x:c>
      <x:c r="F258" s="10" t="str">
        <x:f>VLOOKUP(H258,'Taxonomy'!$A$6:$G$70,3,FALSE)</x:f>
        <x:v>评估与资源：如何检验工作完成</x:v>
      </x:c>
      <x:c r="G258" s="10" t="str">
        <x:f>VLOOKUP(H258,'Taxonomy'!$A$6:$G$70,5,FALSE)</x:f>
        <x:v>基准与任务构造</x:v>
      </x:c>
      <x:c r="H258" s="8" t="str">
        <x:v>6.1.2</x:v>
      </x:c>
      <x:c r="I258" s="10" t="str">
        <x:f>VLOOKUP(H258,'Taxonomy'!$A$6:$G$70,6,FALSE)</x:f>
        <x:v>领域覆盖与工作要求</x:v>
      </x:c>
      <x:c r="J258" s="8" t="str">
        <x:v>对象结构、模态与语义;工具、界面与应用执行;任务覆盖与泛化边界</x:v>
      </x:c>
      <x:c r="K258" s="8" t="str">
        <x:v>感知与理解;规划与协调;执行与状态管理</x:v>
      </x:c>
      <x:c r="L258" s="8" t="str"/>
      <x:c r="M258" s="8" t="str"/>
      <x:c r="N258" s="8" t="str">
        <x:v>Benchmark</x:v>
      </x:c>
      <x:c r="O258" s="11" t="str">
        <x:v>https://arxiv.org/abs/2306.06070</x:v>
      </x:c>
      <x:c r="P258" s="8" t="str">
        <x:v>收集跨网站真实任务与动作演示，测试网页代理的跨站点泛化。</x:v>
      </x:c>
      <x:c r="Q258" s="8" t="str"/>
      <x:c r="R258" s="8" t="str"/>
      <x:c r="S258" s="8" t="str"/>
      <x:c r="T258" s="12" t="str">
        <x:v>未分配</x:v>
      </x:c>
      <x:c r="U258" s="12" t="str"/>
      <x:c r="V258" s="12" t="str"/>
      <x:c r="W258" s="12" t="str"/>
      <x:c r="X258" s="8" t="str">
        <x:v>verified</x:v>
      </x:c>
      <x:c r="Y258" s="11" t="str"/>
      <x:c r="Z258" s="11" t="str"/>
      <x:c r="AA258" s="11" t="str">
        <x:v>https://arxiv.org/html/2306.06070v1</x:v>
      </x:c>
      <x:c r="AB258" s="11" t="str">
        <x:v>https://arxiv.org/abs/2306.06070</x:v>
      </x:c>
      <x:c r="AC258" s="8" t="str">
        <x:v>AIO-058</x:v>
      </x:c>
      <x:c r="AD258" s="8" t="str"/>
      <x:c r="AE258" s="8" t="str"/>
      <x:c r="AF258" s="8" t="str">
        <x:v>用于“领域覆盖与工作要求”：收集跨网站真实任务与动作演示，测试网页代理的跨站点泛化。</x:v>
      </x:c>
      <x:c r="AG258" s="8" t="str">
        <x:v>computer-use</x:v>
      </x:c>
      <x:c r="AH258" s="8" t="str">
        <x:v>Generalist web action prediction</x:v>
      </x:c>
      <x:c r="AI258" s="8" t="str"/>
      <x:c r="AJ258" s="8" t="str">
        <x:v>previous README / supplementary search;2026-10-16 AI Office survey bibliography</x:v>
      </x:c>
      <x:c r="AK258" s="13" t="d">
        <x:v>2026-10-16T00:00:00.000Z</x:v>
      </x:c>
      <x:c r="AL258" s="8" t="str">
        <x:v>新增/保留README来源；论文身份与摘要已核验；分类为维护者判断。</x:v>
      </x:c>
      <x:c r="AM258" s="8" t="str">
        <x:v>6.1</x:v>
      </x:c>
    </x:row>
    <x:row r="259" ht="68" customHeight="1">
      <x:c r="A259" s="8" t="str">
        <x:v>WA-0270</x:v>
      </x:c>
      <x:c r="B259" s="8" t="str">
        <x:v>MLE-bench</x:v>
      </x:c>
      <x:c r="C259" s="8" t="str">
        <x:v>MLE-bench: Evaluating Machine Learning Agents on Machine Learning Engineering</x:v>
      </x:c>
      <x:c r="D259" s="9" t="n">
        <x:v>2024</x:v>
      </x:c>
      <x:c r="E259" s="8" t="str">
        <x:v>OpenAI</x:v>
      </x:c>
      <x:c r="F259" s="10" t="str">
        <x:f>VLOOKUP(H259,'Taxonomy'!$A$6:$G$70,3,FALSE)</x:f>
        <x:v>评估与资源：如何检验工作完成</x:v>
      </x:c>
      <x:c r="G259" s="10" t="str">
        <x:f>VLOOKUP(H259,'Taxonomy'!$A$6:$G$70,5,FALSE)</x:f>
        <x:v>基准与任务构造</x:v>
      </x:c>
      <x:c r="H259" s="8" t="str">
        <x:v>6.1.2</x:v>
      </x:c>
      <x:c r="I259" s="10" t="str">
        <x:f>VLOOKUP(H259,'Taxonomy'!$A$6:$G$70,6,FALSE)</x:f>
        <x:v>领域覆盖与工作要求</x:v>
      </x:c>
      <x:c r="J259" s="8" t="str">
        <x:v>模型参数学习;任务分解与行动依赖;工具、界面与应用执行</x:v>
      </x:c>
      <x:c r="K259" s="8" t="str">
        <x:v>规划与协调;执行与状态管理</x:v>
      </x:c>
      <x:c r="L259" s="8" t="str"/>
      <x:c r="M259" s="8" t="str"/>
      <x:c r="N259" s="8" t="str">
        <x:v>Benchmark</x:v>
      </x:c>
      <x:c r="O259" s="11" t="str">
        <x:v>https://arxiv.org/abs/2410.07095</x:v>
      </x:c>
      <x:c r="P259" s="8" t="str">
        <x:v>在Kaggle任务中评估代理训练模型、运行实验及组织机器学习工程的能力。</x:v>
      </x:c>
      <x:c r="Q259" s="8" t="str"/>
      <x:c r="R259" s="8" t="str"/>
      <x:c r="S259" s="8" t="str"/>
      <x:c r="T259" s="12" t="str">
        <x:v>未分配</x:v>
      </x:c>
      <x:c r="U259" s="12" t="str"/>
      <x:c r="V259" s="12" t="str"/>
      <x:c r="W259" s="12" t="str"/>
      <x:c r="X259" s="8" t="str">
        <x:v>verified</x:v>
      </x:c>
      <x:c r="Y259" s="11" t="str"/>
      <x:c r="Z259" s="11" t="str"/>
      <x:c r="AA259" s="11" t="str">
        <x:v>https://arxiv.org/html/2410.07095v1</x:v>
      </x:c>
      <x:c r="AB259" s="11" t="str">
        <x:v>https://arxiv.org/abs/2410.07095</x:v>
      </x:c>
      <x:c r="AC259" s="8" t="str"/>
      <x:c r="AD259" s="8" t="str"/>
      <x:c r="AE259" s="8" t="str"/>
      <x:c r="AF259" s="8" t="str">
        <x:v>用于“领域覆盖与工作要求”：在Kaggle任务中评估代理训练模型、运行实验及组织机器学习工程的能力。</x:v>
      </x:c>
      <x:c r="AG259" s="8" t="str">
        <x:v>swe-science</x:v>
      </x:c>
      <x:c r="AH259" s="8" t="str">
        <x:v>Machine-learning engineering</x:v>
      </x:c>
      <x:c r="AI259" s="8" t="str"/>
      <x:c r="AJ259" s="8" t="str">
        <x:v>previous README / supplementary search</x:v>
      </x:c>
      <x:c r="AK259" s="13" t="d">
        <x:v>2026-10-16T00:00:00.000Z</x:v>
      </x:c>
      <x:c r="AL259" s="8" t="str">
        <x:v>新增/保留README来源；论文身份与摘要已核验；分类为维护者判断。</x:v>
      </x:c>
      <x:c r="AM259" s="8" t="str">
        <x:v>6.1</x:v>
      </x:c>
    </x:row>
    <x:row r="260" ht="68" customHeight="1">
      <x:c r="A260" s="8" t="str">
        <x:v>WA-0271</x:v>
      </x:c>
      <x:c r="B260" s="8" t="str">
        <x:v>MLGym</x:v>
      </x:c>
      <x:c r="C260" s="8" t="str">
        <x:v>MLGym: A New Framework and Benchmark for Advancing AI Research Agents</x:v>
      </x:c>
      <x:c r="D260" s="9" t="n">
        <x:v>2025</x:v>
      </x:c>
      <x:c r="E260" s="8" t="str">
        <x:v>Meta; UC Santa Barbara; University College London; University of Wisconsin–Madison; University of Oxford</x:v>
      </x:c>
      <x:c r="F260" s="10" t="str">
        <x:f>VLOOKUP(H260,'Taxonomy'!$A$6:$G$70,3,FALSE)</x:f>
        <x:v>评估与资源：如何检验工作完成</x:v>
      </x:c>
      <x:c r="G260" s="10" t="str">
        <x:f>VLOOKUP(H260,'Taxonomy'!$A$6:$G$70,5,FALSE)</x:f>
        <x:v>基准与任务构造</x:v>
      </x:c>
      <x:c r="H260" s="8" t="str">
        <x:v>6.1.2</x:v>
      </x:c>
      <x:c r="I260" s="10" t="str">
        <x:f>VLOOKUP(H260,'Taxonomy'!$A$6:$G$70,6,FALSE)</x:f>
        <x:v>领域覆盖与工作要求</x:v>
      </x:c>
      <x:c r="J260" s="8" t="str">
        <x:v>任务、环境与扰动构造;模型参数学习;成果与实际状态核验</x:v>
      </x:c>
      <x:c r="K260" s="8" t="str">
        <x:v>规划与协调;执行与状态管理;验证、恢复与重新规划</x:v>
      </x:c>
      <x:c r="L260" s="8" t="str">
        <x:v>6.4 开放框架与执行环境</x:v>
      </x:c>
      <x:c r="M260" s="8" t="str"/>
      <x:c r="N260" s="8" t="str">
        <x:v>Framework;Benchmark</x:v>
      </x:c>
      <x:c r="O260" s="11" t="str">
        <x:v>https://arxiv.org/abs/2502.14499</x:v>
      </x:c>
      <x:c r="P260" s="8" t="str">
        <x:v>提供开放式AI研究任务与Gym环境，评估假设、实验、数据与模型改进的完整过程。</x:v>
      </x:c>
      <x:c r="Q260" s="8" t="str"/>
      <x:c r="R260" s="8" t="str"/>
      <x:c r="S260" s="8" t="str"/>
      <x:c r="T260" s="12" t="str">
        <x:v>未分配</x:v>
      </x:c>
      <x:c r="U260" s="12" t="str"/>
      <x:c r="V260" s="12" t="str"/>
      <x:c r="W260" s="12" t="str"/>
      <x:c r="X260" s="8" t="str">
        <x:v>verified</x:v>
      </x:c>
      <x:c r="Y260" s="11" t="str">
        <x:v>https://github.com/facebookresearch/MLGym</x:v>
      </x:c>
      <x:c r="Z260" s="11" t="str"/>
      <x:c r="AA260" s="11" t="str">
        <x:v>https://arxiv.org/html/2502.14499v1</x:v>
      </x:c>
      <x:c r="AB260" s="11" t="str">
        <x:v>https://arxiv.org/abs/2502.14499</x:v>
      </x:c>
      <x:c r="AC260" s="8" t="str"/>
      <x:c r="AD260" s="8" t="str"/>
      <x:c r="AE260" s="8" t="str"/>
      <x:c r="AF260" s="8" t="str">
        <x:v>用于“领域覆盖与工作要求”：提供开放式AI研究任务与Gym环境，评估假设、实验、数据与模型改进的完整过程。</x:v>
      </x:c>
      <x:c r="AG260" s="8" t="str">
        <x:v>swe-science</x:v>
      </x:c>
      <x:c r="AH260" s="8" t="str">
        <x:v>AI research gym</x:v>
      </x:c>
      <x:c r="AI260" s="8" t="str"/>
      <x:c r="AJ260" s="8" t="str">
        <x:v>previous README / supplementary search</x:v>
      </x:c>
      <x:c r="AK260" s="13" t="d">
        <x:v>2026-10-16T00:00:00.000Z</x:v>
      </x:c>
      <x:c r="AL260" s="8" t="str">
        <x:v>由README末尾待展开条目补全；身份和机构以论文首版前置信息核验。</x:v>
      </x:c>
      <x:c r="AM260" s="8" t="str">
        <x:v>6.1;6.4</x:v>
      </x:c>
    </x:row>
    <x:row r="261" ht="68" customHeight="1">
      <x:c r="A261" s="8" t="str">
        <x:v>WA-0272</x:v>
      </x:c>
      <x:c r="B261" s="8" t="str">
        <x:v>OdysseyBench</x:v>
      </x:c>
      <x:c r="C261" s="8" t="str">
        <x:v>OdysseyBench: Evaluating LLM Agents on Long-Horizon Complex Office Application Workflows</x:v>
      </x:c>
      <x:c r="D261" s="9" t="n">
        <x:v>2025</x:v>
      </x:c>
      <x:c r="E261" s="8" t="str">
        <x:v>University of Edinburgh; Microsoft</x:v>
      </x:c>
      <x:c r="F261" s="10" t="str">
        <x:f>VLOOKUP(H261,'Taxonomy'!$A$6:$G$70,3,FALSE)</x:f>
        <x:v>评估与资源：如何检验工作完成</x:v>
      </x:c>
      <x:c r="G261" s="10" t="str">
        <x:f>VLOOKUP(H261,'Taxonomy'!$A$6:$G$70,5,FALSE)</x:f>
        <x:v>基准与任务构造</x:v>
      </x:c>
      <x:c r="H261" s="8" t="str">
        <x:v>6.1.2</x:v>
      </x:c>
      <x:c r="I261" s="10" t="str">
        <x:f>VLOOKUP(H261,'Taxonomy'!$A$6:$G$70,6,FALSE)</x:f>
        <x:v>领域覆盖与工作要求</x:v>
      </x:c>
      <x:c r="J261" s="8" t="str">
        <x:v>任务分解与行动依赖;工具、界面与应用执行;工作形态与验收组织</x:v>
      </x:c>
      <x:c r="K261" s="8" t="str">
        <x:v>规划与协调;执行与状态管理</x:v>
      </x:c>
      <x:c r="L261" s="8" t="str"/>
      <x:c r="M261" s="8" t="str"/>
      <x:c r="N261" s="8" t="str">
        <x:v>Benchmark</x:v>
      </x:c>
      <x:c r="O261" s="11" t="str">
        <x:v>https://arxiv.org/abs/2508.09124</x:v>
      </x:c>
      <x:c r="P261" s="8" t="str">
        <x:v>覆盖Word、Excel、PDF、邮件及日历等办公应用的长程复杂工作流。</x:v>
      </x:c>
      <x:c r="Q261" s="8" t="str"/>
      <x:c r="R261" s="8" t="str"/>
      <x:c r="S261" s="8" t="str"/>
      <x:c r="T261" s="12" t="str">
        <x:v>未分配</x:v>
      </x:c>
      <x:c r="U261" s="12" t="str"/>
      <x:c r="V261" s="12" t="str"/>
      <x:c r="W261" s="12" t="str"/>
      <x:c r="X261" s="8" t="str">
        <x:v>verified</x:v>
      </x:c>
      <x:c r="Y261" s="11" t="str"/>
      <x:c r="Z261" s="11" t="str"/>
      <x:c r="AA261" s="11" t="str">
        <x:v>https://arxiv.org/html/2508.09124v1</x:v>
      </x:c>
      <x:c r="AB261" s="11" t="str">
        <x:v>https://arxiv.org/abs/2508.09124</x:v>
      </x:c>
      <x:c r="AC261" s="8" t="str">
        <x:v>AIO-246</x:v>
      </x:c>
      <x:c r="AD261" s="8" t="str"/>
      <x:c r="AE261" s="8" t="str"/>
      <x:c r="AF261" s="8" t="str">
        <x:v>用于“领域覆盖与工作要求”：覆盖Word、Excel、PDF、邮件及日历等办公应用的长程复杂工作流。</x:v>
      </x:c>
      <x:c r="AG261" s="8" t="str">
        <x:v>workspace</x:v>
      </x:c>
      <x:c r="AH261" s="8" t="str">
        <x:v>Long-horizon office workflows</x:v>
      </x:c>
      <x:c r="AI261" s="8" t="str"/>
      <x:c r="AJ261" s="8" t="str">
        <x:v>previous README / supplementary search;2026-10-16 AI Office survey bibliography</x:v>
      </x:c>
      <x:c r="AK261" s="13" t="d">
        <x:v>2026-10-16T00:00:00.000Z</x:v>
      </x:c>
      <x:c r="AL261" s="8" t="str">
        <x:v>长程任务不自动代表跨会话持续责任，主类按跨应用办公工作区。</x:v>
      </x:c>
      <x:c r="AM261" s="8" t="str">
        <x:v>6.1</x:v>
      </x:c>
    </x:row>
    <x:row r="262" ht="68" customHeight="1">
      <x:c r="A262" s="8" t="str">
        <x:v>WA-0273</x:v>
      </x:c>
      <x:c r="B262" s="8" t="str">
        <x:v>OfficeQA Pro</x:v>
      </x:c>
      <x:c r="C262" s="8" t="str">
        <x:v>OfficeQA Pro: An Enterprise Benchmark for End-to-End Grounded Reasoning</x:v>
      </x:c>
      <x:c r="D262" s="9" t="n">
        <x:v>2026</x:v>
      </x:c>
      <x:c r="E262" s="8" t="str">
        <x:v>Databricks</x:v>
      </x:c>
      <x:c r="F262" s="10" t="str">
        <x:f>VLOOKUP(H262,'Taxonomy'!$A$6:$G$70,3,FALSE)</x:f>
        <x:v>基础：定义、工作条件与核心能力</x:v>
      </x:c>
      <x:c r="G262" s="10" t="str">
        <x:f>VLOOKUP(H262,'Taxonomy'!$A$6:$G$70,5,FALSE)</x:f>
        <x:v>五项核心能力</x:v>
      </x:c>
      <x:c r="H262" s="8" t="str">
        <x:v>2.3.1</x:v>
      </x:c>
      <x:c r="I262" s="10" t="str">
        <x:f>VLOOKUP(H262,'Taxonomy'!$A$6:$G$70,6,FALSE)</x:f>
        <x:v>感知与理解</x:v>
      </x:c>
      <x:c r="J262" s="8" t="str">
        <x:v>材料发现与证据定位;对象结构、模态与语义;证据整合与推理</x:v>
      </x:c>
      <x:c r="K262" s="8" t="str">
        <x:v>感知与理解;推理与决策;执行与状态管理</x:v>
      </x:c>
      <x:c r="L262" s="8" t="str">
        <x:v>2.3.2 推理与决策;6.1.2 领域覆盖与工作要求</x:v>
      </x:c>
      <x:c r="M262" s="8" t="str"/>
      <x:c r="N262" s="8" t="str">
        <x:v>Benchmark</x:v>
      </x:c>
      <x:c r="O262" s="11" t="str">
        <x:v>https://arxiv.org/abs/2603.08655</x:v>
      </x:c>
      <x:c r="P262" s="8" t="str">
        <x:v>在大型美国财政公报语料上评估跨文档检索、解析和分析推理，以答案正确性计分。</x:v>
      </x:c>
      <x:c r="Q262" s="8" t="str">
        <x:v>把解析/证据定位的错误与后续专业推理联系起来，避免把一切失败归为知识不足。</x:v>
      </x:c>
      <x:c r="R262" s="8" t="str">
        <x:v>不是Word/PPT制作benchmark；Pro、Full和后续版本不能混用。</x:v>
      </x:c>
      <x:c r="S262" s="8" t="str">
        <x:v>核心</x:v>
      </x:c>
      <x:c r="T262" s="12" t="str">
        <x:v>未分配</x:v>
      </x:c>
      <x:c r="U262" s="12" t="str"/>
      <x:c r="V262" s="12" t="str"/>
      <x:c r="W262" s="12" t="str"/>
      <x:c r="X262" s="8" t="str">
        <x:v>verified</x:v>
      </x:c>
      <x:c r="Y262" s="11" t="str">
        <x:v>https://github.com/databricks/officeqa</x:v>
      </x:c>
      <x:c r="Z262" s="11" t="str">
        <x:v>https://huggingface.co/datasets/databricks/officeqa</x:v>
      </x:c>
      <x:c r="AA262" s="11" t="str">
        <x:v>https://arxiv.org/pdf/2603.08655</x:v>
      </x:c>
      <x:c r="AB262" s="11" t="str">
        <x:v>https://arxiv.org/abs/2603.08655</x:v>
      </x:c>
      <x:c r="AC262" s="8" t="str">
        <x:v>L016;AIO-184</x:v>
      </x:c>
      <x:c r="AD262" s="8" t="str">
        <x:v>本轮新增候选；原文相关章节。</x:v>
      </x:c>
      <x:c r="AE262" s="8" t="str">
        <x:v>2.3 理解到推理的连接；Workspace材料表示；2.3.1检索与原生语义；2.3.2证据推理。</x:v>
      </x:c>
      <x:c r="AF262" s="8" t="str">
        <x:v>按补充清单 L016 的论证用途归入“感知与理解”：把解析/证据定位的错误与后续专业推理联系起来，避免把一切失败归为知识不足。</x:v>
      </x:c>
      <x:c r="AG262" s="8" t="str">
        <x:v>related</x:v>
      </x:c>
      <x:c r="AH262" s="8" t="str">
        <x:v>Enterprise grounded document reasoning</x:v>
      </x:c>
      <x:c r="AI262" s="8" t="str"/>
      <x:c r="AJ262" s="8" t="str">
        <x:v>previous README / supplementary search;2026-10-16 chapter 2 / former chapter 4 supplement;2026-10-16 AI Office survey bibliography</x:v>
      </x:c>
      <x:c r="AK262" s="13" t="d">
        <x:v>2026-10-16T00:00:00.000Z</x:v>
      </x:c>
      <x:c r="AL262" s="8" t="str">
        <x:v>OfficeQA于2025有官方发布；此条论文OfficeQA Pro首发2026年3月。</x:v>
      </x:c>
      <x:c r="AM262" s="8" t="str">
        <x:v>6.1</x:v>
      </x:c>
    </x:row>
    <x:row r="263" ht="68" customHeight="1">
      <x:c r="A263" s="8" t="str">
        <x:v>WA-0274</x:v>
      </x:c>
      <x:c r="B263" s="8" t="str">
        <x:v>OmegaUse-OfficeVal</x:v>
      </x:c>
      <x:c r="C263" s="8" t="str">
        <x:v>OmegaUse-OfficeVal: Benchmarking LLM Agents on Long-Horizon Office-Suite Tasks with Economic Grounding</x:v>
      </x:c>
      <x:c r="D263" s="9" t="n">
        <x:v>2026</x:v>
      </x:c>
      <x:c r="E263" s="8" t="str">
        <x:v>Baidu</x:v>
      </x:c>
      <x:c r="F263" s="10" t="str">
        <x:f>VLOOKUP(H263,'Taxonomy'!$A$6:$G$70,3,FALSE)</x:f>
        <x:v>基础：定义、工作条件与核心能力</x:v>
      </x:c>
      <x:c r="G263" s="10" t="str">
        <x:f>VLOOKUP(H263,'Taxonomy'!$A$6:$G$70,5,FALSE)</x:f>
        <x:v>相关智能体范式</x:v>
      </x:c>
      <x:c r="H263" s="8" t="str">
        <x:v>2.4.3</x:v>
      </x:c>
      <x:c r="I263" s="10" t="str">
        <x:f>VLOOKUP(H263,'Taxonomy'!$A$6:$G$70,6,FALSE)</x:f>
        <x:v>办公智能体</x:v>
      </x:c>
      <x:c r="J263" s="8" t="str">
        <x:v>范式与自主性边界;原生工件生成与编辑;质量、时间成本与使用价值</x:v>
      </x:c>
      <x:c r="K263" s="8" t="str">
        <x:v>规划与协调;执行与状态管理;验证、恢复与重新规划</x:v>
      </x:c>
      <x:c r="L263" s="8" t="str">
        <x:v>6.1 基准与任务构造;6.3.1 任务成功与成果质量;7.3.3 质量判断与使用价值</x:v>
      </x:c>
      <x:c r="M263" s="8" t="str"/>
      <x:c r="N263" s="8" t="str">
        <x:v>Benchmark</x:v>
      </x:c>
      <x:c r="O263" s="11" t="str">
        <x:v>https://arxiv.org/abs/2607.27155</x:v>
      </x:c>
      <x:c r="P263" s="8" t="str">
        <x:v>将真实办公需求与人工劳动时间和价格信号关联，用代码验证器评估工作质量与成本。</x:v>
      </x:c>
      <x:c r="Q263" s="8" t="str">
        <x:v>支持“可交付质量、成本、速度分别观察”，为6章ROI提供材料。</x:v>
      </x:c>
      <x:c r="R263" s="8" t="str">
        <x:v>价格代理不是已实现商业回报；允许的GUI/脚本/API路径不等于任务本身指定每一种。</x:v>
      </x:c>
      <x:c r="S263" s="8" t="str">
        <x:v>核心</x:v>
      </x:c>
      <x:c r="T263" s="12" t="str">
        <x:v>未分配</x:v>
      </x:c>
      <x:c r="U263" s="12" t="str"/>
      <x:c r="V263" s="12" t="str"/>
      <x:c r="W263" s="12" t="str"/>
      <x:c r="X263" s="8" t="str">
        <x:v>verified</x:v>
      </x:c>
      <x:c r="Y263" s="11" t="str">
        <x:v>https://github.com/baidu-frontier-research/OmegaUse-OfficeVal</x:v>
      </x:c>
      <x:c r="Z263" s="11" t="str">
        <x:v>https://huggingface.co/datasets/baidu-frontier-research/OmegaUse-OfficeVal</x:v>
      </x:c>
      <x:c r="AA263" s="11" t="str">
        <x:v>https://arxiv.org/html/2607.27155v1</x:v>
      </x:c>
      <x:c r="AB263" s="11" t="str">
        <x:v>https://arxiv.org/abs/2607.27155</x:v>
      </x:c>
      <x:c r="AC263" s="8" t="str">
        <x:v>L017</x:v>
      </x:c>
      <x:c r="AD263" s="8" t="str">
        <x:v>本轮新增候选；官方项目。</x:v>
      </x:c>
      <x:c r="AE263" s="8" t="str">
        <x:v>2.4.3办公智能体；评估章成果质量/ROI。</x:v>
      </x:c>
      <x:c r="AF263" s="8" t="str">
        <x:v>按补充清单 L017 的论证用途归入“办公智能体”：支持“可交付质量、成本、速度分别观察”，为6章ROI提供材料。</x:v>
      </x:c>
      <x:c r="AG263" s="8" t="str">
        <x:v>workspace</x:v>
      </x:c>
      <x:c r="AH263" s="8" t="str">
        <x:v>Economically grounded office work</x:v>
      </x:c>
      <x:c r="AI263" s="8" t="str"/>
      <x:c r="AJ263" s="8" t="str">
        <x:v>previous README / supplementary search;2026-10-16 chapter 2 / former chapter 4 supplement</x:v>
      </x:c>
      <x:c r="AK263" s="13" t="d">
        <x:v>2026-10-16T00:00:00.000Z</x:v>
      </x:c>
      <x:c r="AL263" s="8" t="str">
        <x:v>原README标2025；论文首发2026年7月。</x:v>
      </x:c>
      <x:c r="AM263" s="8" t="str">
        <x:v>6.1;7.3</x:v>
      </x:c>
    </x:row>
    <x:row r="264" ht="68" customHeight="1">
      <x:c r="A264" s="8" t="str">
        <x:v>WA-0275</x:v>
      </x:c>
      <x:c r="B264" s="8" t="str">
        <x:v>OmniaBench</x:v>
      </x:c>
      <x:c r="C264" s="8" t="str">
        <x:v>OmniaBench: Benchmarking General AI Agents Across Diverse Scenarios</x:v>
      </x:c>
      <x:c r="D264" s="9" t="n">
        <x:v>2026</x:v>
      </x:c>
      <x:c r="E264" s="8" t="str">
        <x:v>Huawei Cloud; Peking University</x:v>
      </x:c>
      <x:c r="F264" s="10" t="str">
        <x:f>VLOOKUP(H264,'Taxonomy'!$A$6:$G$70,3,FALSE)</x:f>
        <x:v>评估与资源：如何检验工作完成</x:v>
      </x:c>
      <x:c r="G264" s="10" t="str">
        <x:f>VLOOKUP(H264,'Taxonomy'!$A$6:$G$70,5,FALSE)</x:f>
        <x:v>基准与任务构造</x:v>
      </x:c>
      <x:c r="H264" s="8" t="str">
        <x:v>6.1.1</x:v>
      </x:c>
      <x:c r="I264" s="10" t="str">
        <x:f>VLOOKUP(H264,'Taxonomy'!$A$6:$G$70,6,FALSE)</x:f>
        <x:v>任务构造策略</x:v>
      </x:c>
      <x:c r="J264" s="8" t="str">
        <x:v>任务、环境与扰动构造;任务分解与行动依赖;当前状态与版本有效性</x:v>
      </x:c>
      <x:c r="K264" s="8" t="str">
        <x:v>规划与协调;执行与状态管理</x:v>
      </x:c>
      <x:c r="L264" s="8" t="str"/>
      <x:c r="M264" s="8" t="str"/>
      <x:c r="N264" s="8" t="str">
        <x:v>Benchmark</x:v>
      </x:c>
      <x:c r="O264" s="11" t="str">
        <x:v>https://arxiv.org/abs/2607.14989</x:v>
      </x:c>
      <x:c r="P264" s="8" t="str">
        <x:v>按广泛应用场景构建显式状态环境，结合能力分类与难度因子评价通用代理。</x:v>
      </x:c>
      <x:c r="Q264" s="8" t="str"/>
      <x:c r="R264" s="8" t="str"/>
      <x:c r="S264" s="8" t="str"/>
      <x:c r="T264" s="12" t="str">
        <x:v>未分配</x:v>
      </x:c>
      <x:c r="U264" s="12" t="str"/>
      <x:c r="V264" s="12" t="str"/>
      <x:c r="W264" s="12" t="str"/>
      <x:c r="X264" s="8" t="str">
        <x:v>verified</x:v>
      </x:c>
      <x:c r="Y264" s="11" t="str"/>
      <x:c r="Z264" s="11" t="str"/>
      <x:c r="AA264" s="11" t="str">
        <x:v>https://arxiv.org/html/2607.14989v1</x:v>
      </x:c>
      <x:c r="AB264" s="11" t="str">
        <x:v>https://arxiv.org/abs/2607.14989</x:v>
      </x:c>
      <x:c r="AC264" s="8" t="str"/>
      <x:c r="AD264" s="8" t="str"/>
      <x:c r="AE264" s="8" t="str"/>
      <x:c r="AF264" s="8" t="str">
        <x:v>用于“任务构造策略”：按广泛应用场景构建显式状态环境，结合能力分类与难度因子评价通用代理。</x:v>
      </x:c>
      <x:c r="AG264" s="8" t="str">
        <x:v>tool-enterprise</x:v>
      </x:c>
      <x:c r="AH264" s="8" t="str">
        <x:v>General explicit-state agent environments</x:v>
      </x:c>
      <x:c r="AI264" s="8" t="str"/>
      <x:c r="AJ264" s="8" t="str">
        <x:v>previous README / supplementary search</x:v>
      </x:c>
      <x:c r="AK264" s="13" t="d">
        <x:v>2026-10-16T00:00:00.000Z</x:v>
      </x:c>
      <x:c r="AL264" s="8" t="str">
        <x:v>原README标2025；论文首发2026年7月。</x:v>
      </x:c>
      <x:c r="AM264" s="8" t="str">
        <x:v>6.1</x:v>
      </x:c>
    </x:row>
    <x:row r="265" ht="68" customHeight="1">
      <x:c r="A265" s="8" t="str">
        <x:v>WA-0276</x:v>
      </x:c>
      <x:c r="B265" s="8" t="str">
        <x:v>On-Policy Distillation</x:v>
      </x:c>
      <x:c r="C265" s="8" t="str">
        <x:v>Rethinking On-Policy Distillation of Large Language Models: Phenomenology, Mechanism, and Recipe</x:v>
      </x:c>
      <x:c r="D265" s="9" t="n">
        <x:v>2026</x:v>
      </x:c>
      <x:c r="E265" s="8" t="str">
        <x:v>ShanghaiTech University; Tsinghua University; University of Illinois Urbana-Champaign; Renmin University of China</x:v>
      </x:c>
      <x:c r="F265" s="10" t="str">
        <x:f>VLOOKUP(H265,'Taxonomy'!$A$6:$G$70,3,FALSE)</x:f>
        <x:v>优化：从工作经验到系统能力</x:v>
      </x:c>
      <x:c r="G265" s="10" t="str">
        <x:f>VLOOKUP(H265,'Taxonomy'!$A$6:$G$70,5,FALSE)</x:f>
        <x:v>模型优化</x:v>
      </x:c>
      <x:c r="H265" s="8" t="str">
        <x:v>5.2.3</x:v>
      </x:c>
      <x:c r="I265" s="10" t="str">
        <x:f>VLOOKUP(H265,'Taxonomy'!$A$6:$G$70,6,FALSE)</x:f>
        <x:v>同策略蒸馏</x:v>
      </x:c>
      <x:c r="J265" s="8" t="str">
        <x:v>模型参数学习</x:v>
      </x:c>
      <x:c r="K265" s="8" t="str">
        <x:v>推理与决策</x:v>
      </x:c>
      <x:c r="L265" s="8" t="str"/>
      <x:c r="M265" s="8" t="str"/>
      <x:c r="N265" s="8" t="str">
        <x:v>Method</x:v>
      </x:c>
      <x:c r="O265" s="11" t="str">
        <x:v>https://arxiv.org/abs/2604.13016</x:v>
      </x:c>
      <x:c r="P265" s="8" t="str">
        <x:v>分析大模型on-policy蒸馏的现象与机制并给出训练配方；属于优化方法背景。</x:v>
      </x:c>
      <x:c r="Q265" s="8" t="str"/>
      <x:c r="R265" s="8" t="str"/>
      <x:c r="S265" s="8" t="str"/>
      <x:c r="T265" s="12" t="str">
        <x:v>未分配</x:v>
      </x:c>
      <x:c r="U265" s="12" t="str"/>
      <x:c r="V265" s="12" t="str"/>
      <x:c r="W265" s="12" t="str"/>
      <x:c r="X265" s="8" t="str">
        <x:v>verified</x:v>
      </x:c>
      <x:c r="Y265" s="11" t="str">
        <x:v>https://github.com/thunlp/OPD</x:v>
      </x:c>
      <x:c r="Z265" s="11" t="str"/>
      <x:c r="AA265" s="11" t="str">
        <x:v>https://arxiv.org/html/2604.13016v1</x:v>
      </x:c>
      <x:c r="AB265" s="11" t="str">
        <x:v>https://arxiv.org/abs/2604.13016</x:v>
      </x:c>
      <x:c r="AC265" s="8" t="str">
        <x:v>AIO-131</x:v>
      </x:c>
      <x:c r="AD265" s="8" t="str"/>
      <x:c r="AE265" s="8" t="str"/>
      <x:c r="AF265" s="8" t="str">
        <x:v>用于“同策略蒸馏”：分析大模型on-policy蒸馏的现象与机制并给出训练配方；属于优化方法背景。</x:v>
      </x:c>
      <x:c r="AG265" s="8" t="str">
        <x:v>persistent</x:v>
      </x:c>
      <x:c r="AH265" s="8" t="str">
        <x:v>Policy distillation and adaptation</x:v>
      </x:c>
      <x:c r="AI265" s="8" t="str"/>
      <x:c r="AJ265" s="8" t="str">
        <x:v>previous README / supplementary search;2026-10-16 AI Office survey bibliography</x:v>
      </x:c>
      <x:c r="AK265" s="13" t="d">
        <x:v>2026-10-16T00:00:00.000Z</x:v>
      </x:c>
      <x:c r="AL265" s="8" t="str">
        <x:v>完整题名已由arXiv修正；优化方法的相邻背景。</x:v>
      </x:c>
      <x:c r="AM265" s="8" t="str">
        <x:v>5.2</x:v>
      </x:c>
    </x:row>
    <x:row r="266" ht="68" customHeight="1">
      <x:c r="A266" s="8" t="str">
        <x:v>WA-0277</x:v>
      </x:c>
      <x:c r="B266" s="8" t="str">
        <x:v>OS-Copilot</x:v>
      </x:c>
      <x:c r="C266" s="8" t="str">
        <x:v>OS-Copilot: Towards Generalist Computer Agents with Self-Improvement</x:v>
      </x:c>
      <x:c r="D266" s="9" t="n">
        <x:v>2024</x:v>
      </x:c>
      <x:c r="E266" s="8" t="str">
        <x:v>Shanghai AI Laboratory; East China Normal University; Princeton University; The University of Hong Kong</x:v>
      </x:c>
      <x:c r="F266" s="10" t="str">
        <x:f>VLOOKUP(H266,'Taxonomy'!$A$6:$G$70,3,FALSE)</x:f>
        <x:v>优化：从工作经验到系统能力</x:v>
      </x:c>
      <x:c r="G266" s="10" t="str">
        <x:f>VLOOKUP(H266,'Taxonomy'!$A$6:$G$70,5,FALSE)</x:f>
        <x:v>运行框架优化</x:v>
      </x:c>
      <x:c r="H266" s="8" t="str">
        <x:v>5.3.3</x:v>
      </x:c>
      <x:c r="I266" s="10" t="str">
        <x:f>VLOOKUP(H266,'Taxonomy'!$A$6:$G$70,6,FALSE)</x:f>
        <x:v>记忆与技能优化</x:v>
      </x:c>
      <x:c r="J266" s="8" t="str">
        <x:v>工具、界面与应用执行;经验记忆与技能优化;跨任务个性化与自演化</x:v>
      </x:c>
      <x:c r="K266" s="8" t="str">
        <x:v>规划与协调;执行与状态管理</x:v>
      </x:c>
      <x:c r="L266" s="8" t="str">
        <x:v>2.3.4 执行与状态管理</x:v>
      </x:c>
      <x:c r="M266" s="8" t="str"/>
      <x:c r="N266" s="8" t="str">
        <x:v>Method;Framework</x:v>
      </x:c>
      <x:c r="O266" s="11" t="str">
        <x:v>https://arxiv.org/abs/2402.07456</x:v>
      </x:c>
      <x:c r="P266" s="8" t="str">
        <x:v>通过操作系统工具与可积累技能构建可自我改进的通用计算机助手。</x:v>
      </x:c>
      <x:c r="Q266" s="8" t="str"/>
      <x:c r="R266" s="8" t="str"/>
      <x:c r="S266" s="8" t="str"/>
      <x:c r="T266" s="12" t="str">
        <x:v>未分配</x:v>
      </x:c>
      <x:c r="U266" s="12" t="str"/>
      <x:c r="V266" s="12" t="str"/>
      <x:c r="W266" s="12" t="str"/>
      <x:c r="X266" s="8" t="str">
        <x:v>verified</x:v>
      </x:c>
      <x:c r="Y266" s="11" t="str"/>
      <x:c r="Z266" s="11" t="str"/>
      <x:c r="AA266" s="11" t="str">
        <x:v>https://arxiv.org/html/2402.07456v1</x:v>
      </x:c>
      <x:c r="AB266" s="11" t="str">
        <x:v>https://arxiv.org/abs/2402.07456</x:v>
      </x:c>
      <x:c r="AC266" s="8" t="str"/>
      <x:c r="AD266" s="8" t="str"/>
      <x:c r="AE266" s="8" t="str"/>
      <x:c r="AF266" s="8" t="str">
        <x:v>用于“记忆与技能优化”：通过操作系统工具与可积累技能构建可自我改进的通用计算机助手。</x:v>
      </x:c>
      <x:c r="AG266" s="8" t="str">
        <x:v>computer-use</x:v>
      </x:c>
      <x:c r="AH266" s="8" t="str">
        <x:v>Self-improving OS assistance</x:v>
      </x:c>
      <x:c r="AI266" s="8" t="str"/>
      <x:c r="AJ266" s="8" t="str">
        <x:v>previous README / supplementary search</x:v>
      </x:c>
      <x:c r="AK266" s="13" t="d">
        <x:v>2026-10-16T00:00:00.000Z</x:v>
      </x:c>
      <x:c r="AL266" s="8" t="str">
        <x:v>新增/保留README来源；论文身份与摘要已核验；分类为维护者判断。</x:v>
      </x:c>
      <x:c r="AM266" s="8" t="str">
        <x:v>4.4;5.3</x:v>
      </x:c>
    </x:row>
    <x:row r="267" ht="68" customHeight="1">
      <x:c r="A267" s="8" t="str">
        <x:v>WA-0278</x:v>
      </x:c>
      <x:c r="B267" s="8" t="str">
        <x:v>PEER</x:v>
      </x:c>
      <x:c r="C267" s="8" t="str">
        <x:v>PEER: A Collaborative Language Model</x:v>
      </x:c>
      <x:c r="D267" s="9" t="n">
        <x:v>2022</x:v>
      </x:c>
      <x:c r="E267" s="8" t="str">
        <x:v>Meta AI Research; Carnegie Mellon University; Inria; ENS, PSL University; University College London</x:v>
      </x:c>
      <x:c r="F267" s="10" t="str">
        <x:f>VLOOKUP(H267,'Taxonomy'!$A$6:$G$70,3,FALSE)</x:f>
        <x:v>基础：定义、工作条件与核心能力</x:v>
      </x:c>
      <x:c r="G267" s="10" t="str">
        <x:f>VLOOKUP(H267,'Taxonomy'!$A$6:$G$70,5,FALSE)</x:f>
        <x:v>五项核心能力</x:v>
      </x:c>
      <x:c r="H267" s="8" t="str">
        <x:v>2.3.4</x:v>
      </x:c>
      <x:c r="I267" s="10" t="str">
        <x:f>VLOOKUP(H267,'Taxonomy'!$A$6:$G$70,6,FALSE)</x:f>
        <x:v>执行与状态管理</x:v>
      </x:c>
      <x:c r="J267" s="8" t="str">
        <x:v>任务分解与行动依赖;原生工件生成与编辑;连续编辑与内容保持</x:v>
      </x:c>
      <x:c r="K267" s="8" t="str">
        <x:v>规划与协调;执行与状态管理;验证、恢复与重新规划</x:v>
      </x:c>
      <x:c r="L267" s="8" t="str"/>
      <x:c r="M267" s="8" t="str"/>
      <x:c r="N267" s="8" t="str">
        <x:v>Method</x:v>
      </x:c>
      <x:c r="O267" s="11" t="str">
        <x:v>https://arxiv.org/abs/2208.11663</x:v>
      </x:c>
      <x:c r="P267" s="8" t="str">
        <x:v>将写作建模为计划、编辑、解释与重复修订的协作过程。</x:v>
      </x:c>
      <x:c r="Q267" s="8" t="str"/>
      <x:c r="R267" s="8" t="str"/>
      <x:c r="S267" s="8" t="str"/>
      <x:c r="T267" s="12" t="str">
        <x:v>未分配</x:v>
      </x:c>
      <x:c r="U267" s="12" t="str"/>
      <x:c r="V267" s="12" t="str"/>
      <x:c r="W267" s="12" t="str"/>
      <x:c r="X267" s="8" t="str">
        <x:v>verified</x:v>
      </x:c>
      <x:c r="Y267" s="11" t="str"/>
      <x:c r="Z267" s="11" t="str"/>
      <x:c r="AA267" s="11" t="str">
        <x:v>https://arxiv.org/html/2208.11663v1</x:v>
      </x:c>
      <x:c r="AB267" s="11" t="str">
        <x:v>https://arxiv.org/abs/2208.11663</x:v>
      </x:c>
      <x:c r="AC267" s="8" t="str">
        <x:v>AIO-213</x:v>
      </x:c>
      <x:c r="AD267" s="8" t="str"/>
      <x:c r="AE267" s="8" t="str"/>
      <x:c r="AF267" s="8" t="str">
        <x:v>用于“执行与状态管理”：将写作建模为计划、编辑、解释与重复修订的协作过程。</x:v>
      </x:c>
      <x:c r="AG267" s="8" t="str">
        <x:v>artifact</x:v>
      </x:c>
      <x:c r="AH267" s="8" t="str">
        <x:v>Collaborative document editing</x:v>
      </x:c>
      <x:c r="AI267" s="8" t="str"/>
      <x:c r="AJ267" s="8" t="str">
        <x:v>previous README / supplementary search;2026-10-16 AI Office survey bibliography</x:v>
      </x:c>
      <x:c r="AK267" s="13" t="d">
        <x:v>2026-10-16T00:00:00.000Z</x:v>
      </x:c>
      <x:c r="AL267" s="8" t="str">
        <x:v>新增/保留README来源；论文身份与摘要已核验；分类为维护者判断。</x:v>
      </x:c>
      <x:c r="AM267" s="8" t="str">
        <x:v>4.4</x:v>
      </x:c>
    </x:row>
    <x:row r="268" ht="68" customHeight="1">
      <x:c r="A268" s="8" t="str">
        <x:v>WA-0280</x:v>
      </x:c>
      <x:c r="B268" s="8" t="str">
        <x:v>PRBench</x:v>
      </x:c>
      <x:c r="C268" s="8" t="str">
        <x:v>PRBench: Large-Scale Expert Rubrics for Evaluating High-Stakes Professional Reasoning</x:v>
      </x:c>
      <x:c r="D268" s="9" t="n">
        <x:v>2025</x:v>
      </x:c>
      <x:c r="E268" s="8" t="str">
        <x:v>Scale AI</x:v>
      </x:c>
      <x:c r="F268" s="10" t="str">
        <x:f>VLOOKUP(H268,'Taxonomy'!$A$6:$G$70,3,FALSE)</x:f>
        <x:v>评估与资源：如何检验工作完成</x:v>
      </x:c>
      <x:c r="G268" s="10" t="str">
        <x:f>VLOOKUP(H268,'Taxonomy'!$A$6:$G$70,5,FALSE)</x:f>
        <x:v>评估方法</x:v>
      </x:c>
      <x:c r="H268" s="8" t="str">
        <x:v>6.2.2</x:v>
      </x:c>
      <x:c r="I268" s="10" t="str">
        <x:f>VLOOKUP(H268,'Taxonomy'!$A$6:$G$70,6,FALSE)</x:f>
        <x:v>评判程序</x:v>
      </x:c>
      <x:c r="J268" s="8" t="str">
        <x:v>职业知识与专业判断;标准、量规与裁判;答案、产物、状态与过程证据</x:v>
      </x:c>
      <x:c r="K268" s="8" t="str">
        <x:v>推理与决策;验证、恢复与重新规划</x:v>
      </x:c>
      <x:c r="L268" s="8" t="str">
        <x:v>6.1 基准与任务构造;2.3.2 推理与决策</x:v>
      </x:c>
      <x:c r="M268" s="8" t="str"/>
      <x:c r="N268" s="8" t="str">
        <x:v>Benchmark</x:v>
      </x:c>
      <x:c r="O268" s="11" t="str">
        <x:v>https://arxiv.org/abs/2511.11562</x:v>
      </x:c>
      <x:c r="P268" s="8" t="str">
        <x:v>使用专家编写的大规模细粒度rubric评估高风险专业推理；不等同于可执行办公产物评测。</x:v>
      </x:c>
      <x:c r="Q268" s="8" t="str"/>
      <x:c r="R268" s="8" t="str"/>
      <x:c r="S268" s="8" t="str"/>
      <x:c r="T268" s="12" t="str">
        <x:v>未分配</x:v>
      </x:c>
      <x:c r="U268" s="12" t="str"/>
      <x:c r="V268" s="12" t="str"/>
      <x:c r="W268" s="12" t="str"/>
      <x:c r="X268" s="8" t="str">
        <x:v>verified</x:v>
      </x:c>
      <x:c r="Y268" s="11" t="str"/>
      <x:c r="Z268" s="11" t="str"/>
      <x:c r="AA268" s="11" t="str">
        <x:v>https://arxiv.org/html/2511.11562v1</x:v>
      </x:c>
      <x:c r="AB268" s="11" t="str">
        <x:v>https://arxiv.org/abs/2511.11562</x:v>
      </x:c>
      <x:c r="AC268" s="8" t="str"/>
      <x:c r="AD268" s="8" t="str"/>
      <x:c r="AE268" s="8" t="str"/>
      <x:c r="AF268" s="8" t="str">
        <x:v>用于“评判程序”：使用专家编写的大规模细粒度rubric评估高风险专业推理；不等同于可执行办公产物评测。</x:v>
      </x:c>
      <x:c r="AG268" s="8" t="str">
        <x:v>related</x:v>
      </x:c>
      <x:c r="AH268" s="8" t="str">
        <x:v>Expert professional reasoning</x:v>
      </x:c>
      <x:c r="AI268" s="8" t="str"/>
      <x:c r="AJ268" s="8" t="str">
        <x:v>previous README / supplementary search</x:v>
      </x:c>
      <x:c r="AK268" s="13" t="d">
        <x:v>2026-10-16T00:00:00.000Z</x:v>
      </x:c>
      <x:c r="AL268" s="8" t="str">
        <x:v>由workspace移至Related：核心为专业长回答与rubric评价，不保证修改工作产物。</x:v>
      </x:c>
      <x:c r="AM268" s="8" t="str">
        <x:v>6.1</x:v>
      </x:c>
    </x:row>
    <x:row r="269" ht="68" customHeight="1">
      <x:c r="A269" s="8" t="str">
        <x:v>WA-0281</x:v>
      </x:c>
      <x:c r="B269" s="8" t="str">
        <x:v>Process Reward Models That Think</x:v>
      </x:c>
      <x:c r="C269" s="8" t="str">
        <x:v>Process Reward Models That Think</x:v>
      </x:c>
      <x:c r="D269" s="9" t="n">
        <x:v>2025</x:v>
      </x:c>
      <x:c r="E269" s="8" t="str">
        <x:v>University of Michigan; Mila; LG AI Research; University of Illinois Urbana-Champaign</x:v>
      </x:c>
      <x:c r="F269" s="10" t="str">
        <x:f>VLOOKUP(H269,'Taxonomy'!$A$6:$G$70,3,FALSE)</x:f>
        <x:v>优化：从工作经验到系统能力</x:v>
      </x:c>
      <x:c r="G269" s="10" t="str">
        <x:f>VLOOKUP(H269,'Taxonomy'!$A$6:$G$70,5,FALSE)</x:f>
        <x:v>训练环境、数据与奖励</x:v>
      </x:c>
      <x:c r="H269" s="8" t="str">
        <x:v>5.1.3</x:v>
      </x:c>
      <x:c r="I269" s="10" t="str">
        <x:f>VLOOKUP(H269,'Taxonomy'!$A$6:$G$70,6,FALSE)</x:f>
        <x:v>奖励与验证信号</x:v>
      </x:c>
      <x:c r="J269" s="8" t="str">
        <x:v>训练奖励与可验证信号;证据整合与推理</x:v>
      </x:c>
      <x:c r="K269" s="8" t="str">
        <x:v>推理与决策;验证、恢复与重新规划</x:v>
      </x:c>
      <x:c r="L269" s="8" t="str">
        <x:v>6.3 结果对齐指标</x:v>
      </x:c>
      <x:c r="M269" s="8" t="str"/>
      <x:c r="N269" s="8" t="str">
        <x:v>Method</x:v>
      </x:c>
      <x:c r="O269" s="11" t="str">
        <x:v>https://arxiv.org/abs/2504.16828</x:v>
      </x:c>
      <x:c r="P269" s="8" t="str">
        <x:v>让过程奖励模型生成推理以评估中间步骤，研究可解释反馈与奖励质量。</x:v>
      </x:c>
      <x:c r="Q269" s="8" t="str"/>
      <x:c r="R269" s="8" t="str"/>
      <x:c r="S269" s="8" t="str"/>
      <x:c r="T269" s="12" t="str">
        <x:v>未分配</x:v>
      </x:c>
      <x:c r="U269" s="12" t="str"/>
      <x:c r="V269" s="12" t="str"/>
      <x:c r="W269" s="12" t="str"/>
      <x:c r="X269" s="8" t="str">
        <x:v>verified</x:v>
      </x:c>
      <x:c r="Y269" s="11" t="str"/>
      <x:c r="Z269" s="11" t="str"/>
      <x:c r="AA269" s="11" t="str">
        <x:v>https://arxiv.org/html/2504.16828v1</x:v>
      </x:c>
      <x:c r="AB269" s="11" t="str">
        <x:v>https://arxiv.org/abs/2504.16828</x:v>
      </x:c>
      <x:c r="AC269" s="8" t="str"/>
      <x:c r="AD269" s="8" t="str"/>
      <x:c r="AE269" s="8" t="str"/>
      <x:c r="AF269" s="8" t="str">
        <x:v>用于“奖励与验证信号”：让过程奖励模型生成推理以评估中间步骤，研究可解释反馈与奖励质量。</x:v>
      </x:c>
      <x:c r="AG269" s="8" t="str">
        <x:v>verification</x:v>
      </x:c>
      <x:c r="AH269" s="8" t="str">
        <x:v>Reasoning process reward models</x:v>
      </x:c>
      <x:c r="AI269" s="8" t="str"/>
      <x:c r="AJ269" s="8" t="str">
        <x:v>previous README / supplementary search</x:v>
      </x:c>
      <x:c r="AK269" s="13" t="d">
        <x:v>2026-10-16T00:00:00.000Z</x:v>
      </x:c>
      <x:c r="AL269" s="8" t="str">
        <x:v>新增/保留README来源；论文身份与摘要已核验；分类为维护者判断。</x:v>
      </x:c>
      <x:c r="AM269" s="8" t="str">
        <x:v>5.1;6.3</x:v>
      </x:c>
    </x:row>
    <x:row r="270" ht="68" customHeight="1">
      <x:c r="A270" s="8" t="str">
        <x:v>WA-0282</x:v>
      </x:c>
      <x:c r="B270" s="8" t="str">
        <x:v>PSEBench</x:v>
      </x:c>
      <x:c r="C270" s="8" t="str">
        <x:v>PSEBench: A Controllable and Verifiable Benchmark for Evaluating LLMs in Patient Safety Event Triage</x:v>
      </x:c>
      <x:c r="D270" s="9" t="n">
        <x:v>2026</x:v>
      </x:c>
      <x:c r="E270" s="8" t="str">
        <x:v>Emory University; Scale AI; Mayo Clinic; Vanderbilt University</x:v>
      </x:c>
      <x:c r="F270" s="10" t="str">
        <x:f>VLOOKUP(H270,'Taxonomy'!$A$6:$G$70,3,FALSE)</x:f>
        <x:v>基础：定义、工作条件与核心能力</x:v>
      </x:c>
      <x:c r="G270" s="10" t="str">
        <x:f>VLOOKUP(H270,'Taxonomy'!$A$6:$G$70,5,FALSE)</x:f>
        <x:v>五项核心能力</x:v>
      </x:c>
      <x:c r="H270" s="8" t="str">
        <x:v>2.3.2</x:v>
      </x:c>
      <x:c r="I270" s="10" t="str">
        <x:f>VLOOKUP(H270,'Taxonomy'!$A$6:$G$70,6,FALSE)</x:f>
        <x:v>推理与决策</x:v>
      </x:c>
      <x:c r="J270" s="8" t="str">
        <x:v>职业知识与专业判断;证据整合与推理;成果与实际状态核验</x:v>
      </x:c>
      <x:c r="K270" s="8" t="str">
        <x:v>感知与理解;推理与决策;验证、恢复与重新规划</x:v>
      </x:c>
      <x:c r="L270" s="8" t="str">
        <x:v>6.1.2 领域覆盖与工作要求</x:v>
      </x:c>
      <x:c r="M270" s="8" t="str"/>
      <x:c r="N270" s="8" t="str">
        <x:v>Benchmark</x:v>
      </x:c>
      <x:c r="O270" s="11" t="str">
        <x:v>https://arxiv.org/abs/2606.05463</x:v>
      </x:c>
      <x:c r="P270" s="8" t="str">
        <x:v>在可控且可验证的患者安全事件分诊任务中测量专业推理。</x:v>
      </x:c>
      <x:c r="Q270" s="8" t="str"/>
      <x:c r="R270" s="8" t="str"/>
      <x:c r="S270" s="8" t="str"/>
      <x:c r="T270" s="12" t="str">
        <x:v>未分配</x:v>
      </x:c>
      <x:c r="U270" s="12" t="str"/>
      <x:c r="V270" s="12" t="str"/>
      <x:c r="W270" s="12" t="str"/>
      <x:c r="X270" s="8" t="str">
        <x:v>verified</x:v>
      </x:c>
      <x:c r="Y270" s="11" t="str"/>
      <x:c r="Z270" s="11" t="str"/>
      <x:c r="AA270" s="11" t="str">
        <x:v>https://arxiv.org/html/2606.05463v1</x:v>
      </x:c>
      <x:c r="AB270" s="11" t="str">
        <x:v>https://arxiv.org/abs/2606.05463</x:v>
      </x:c>
      <x:c r="AC270" s="8" t="str"/>
      <x:c r="AD270" s="8" t="str"/>
      <x:c r="AE270" s="8" t="str"/>
      <x:c r="AF270" s="8" t="str">
        <x:v>用于“推理与决策”：在可控且可验证的患者安全事件分诊任务中测量专业推理。</x:v>
      </x:c>
      <x:c r="AG270" s="8" t="str">
        <x:v>related</x:v>
      </x:c>
      <x:c r="AH270" s="8" t="str">
        <x:v>Patient safety event triage</x:v>
      </x:c>
      <x:c r="AI270" s="8" t="str"/>
      <x:c r="AJ270" s="8" t="str">
        <x:v>previous README / supplementary search</x:v>
      </x:c>
      <x:c r="AK270" s="13" t="d">
        <x:v>2026-10-16T00:00:00.000Z</x:v>
      </x:c>
      <x:c r="AL270" s="8" t="str">
        <x:v>患者安全分诊为专业判断任务，保留Related，不能当作已验证工作流自动化。</x:v>
      </x:c>
      <x:c r="AM270" s="8" t="str">
        <x:v>6.1</x:v>
      </x:c>
    </x:row>
    <x:row r="271" ht="68" customHeight="1">
      <x:c r="A271" s="8" t="str">
        <x:v>WA-0283</x:v>
      </x:c>
      <x:c r="B271" s="8" t="str">
        <x:v>Reliable Self-Evolving Agents</x:v>
      </x:c>
      <x:c r="C271" s="8" t="str">
        <x:v>Diving into Reliable Self-Evolving Agents: A Survey</x:v>
      </x:c>
      <x:c r="D271" s="9" t="n">
        <x:v>2026</x:v>
      </x:c>
      <x:c r="E271" s="8" t="str">
        <x:v>Tencent Hunyuan; Zhejiang University; Peking University; Tsinghua University</x:v>
      </x:c>
      <x:c r="F271" s="10" t="str">
        <x:f>VLOOKUP(H271,'Taxonomy'!$A$6:$G$70,3,FALSE)</x:f>
        <x:v>前沿：下一代 Working Agents</x:v>
      </x:c>
      <x:c r="G271" s="10" t="str">
        <x:f>VLOOKUP(H271,'Taxonomy'!$A$6:$G$70,5,FALSE)</x:f>
        <x:v>从被动执行到持续责任</x:v>
      </x:c>
      <x:c r="H271" s="8" t="str">
        <x:v>7.2.3</x:v>
      </x:c>
      <x:c r="I271" s="10" t="str">
        <x:f>VLOOKUP(H271,'Taxonomy'!$A$6:$G$70,6,FALSE)</x:f>
        <x:v>持续个性化与自我演化</x:v>
      </x:c>
      <x:c r="J271" s="8" t="str">
        <x:v>跨任务个性化与自演化;验证证据的有效性;模型与运行框架耦合</x:v>
      </x:c>
      <x:c r="K271" s="8" t="str">
        <x:v>执行与状态管理;验证、恢复与重新规划</x:v>
      </x:c>
      <x:c r="L271" s="8" t="str">
        <x:v>7.3 从专业质量到使用价值</x:v>
      </x:c>
      <x:c r="M271" s="8" t="str"/>
      <x:c r="N271" s="8" t="str">
        <x:v>Survey</x:v>
      </x:c>
      <x:c r="O271" s="11" t="str">
        <x:v>https://wkqdzkd.github.io/Awesome-Reliable-Self-Evolving-Agents/Diving_into_Reliable_Self-Evolving_Agents_A_Survey.pdf</x:v>
      </x:c>
      <x:c r="P271" s="8" t="str">
        <x:v>按自我演化触及的最深组件组织文献，并分析与更新边界独立的验证证据。</x:v>
      </x:c>
      <x:c r="Q271" s="8" t="str"/>
      <x:c r="R271" s="8" t="str"/>
      <x:c r="S271" s="8" t="str"/>
      <x:c r="T271" s="12" t="str">
        <x:v>未分配</x:v>
      </x:c>
      <x:c r="U271" s="12" t="str"/>
      <x:c r="V271" s="12" t="str"/>
      <x:c r="W271" s="12" t="str"/>
      <x:c r="X271" s="8" t="str">
        <x:v>verified</x:v>
      </x:c>
      <x:c r="Y271" s="11" t="str">
        <x:v>https://github.com/wkqdzkd/Awesome-Reliable-Self-Evolving-Agents</x:v>
      </x:c>
      <x:c r="Z271" s="11" t="str"/>
      <x:c r="AA271" s="11" t="str">
        <x:v>https://wkqdzkd.github.io/Awesome-Reliable-Self-Evolving-Agents/</x:v>
      </x:c>
      <x:c r="AB271" s="11" t="str">
        <x:v>https://wkqdzkd.github.io/Awesome-Reliable-Self-Evolving-Agents/Diving_into_Reliable_Self-Evolving_Agents_A_Survey.pdf</x:v>
      </x:c>
      <x:c r="AC271" s="8" t="str"/>
      <x:c r="AD271" s="8" t="str"/>
      <x:c r="AE271" s="8" t="str"/>
      <x:c r="AF271" s="8" t="str">
        <x:v>用于“持续个性化与自我演化”：按自我演化触及的最深组件组织文献，并分析与更新边界独立的验证证据。</x:v>
      </x:c>
      <x:c r="AG271" s="8" t="str">
        <x:v>persistent</x:v>
      </x:c>
      <x:c r="AH271" s="8" t="str">
        <x:v>Self-evolution reliability</x:v>
      </x:c>
      <x:c r="AI271" s="8" t="str"/>
      <x:c r="AJ271" s="8" t="str">
        <x:v>previous README / supplementary search</x:v>
      </x:c>
      <x:c r="AK271" s="13" t="d">
        <x:v>2026-10-16T00:00:00.000Z</x:v>
      </x:c>
      <x:c r="AL271" s="8" t="str">
        <x:v>官方项目及论文已确认；不把配套awesome中的文献数量移植到本仓库。</x:v>
      </x:c>
      <x:c r="AM271" s="8" t="str">
        <x:v>5;7.2;7.3</x:v>
      </x:c>
    </x:row>
    <x:row r="272" ht="68" customHeight="1">
      <x:c r="A272" s="8" t="str">
        <x:v>WA-0284</x:v>
      </x:c>
      <x:c r="B272" s="8" t="str">
        <x:v>ResearchRubrics</x:v>
      </x:c>
      <x:c r="C272" s="8" t="str">
        <x:v>ResearchRubrics: A Benchmark of Prompts and Rubrics For Evaluating Deep Research Agents</x:v>
      </x:c>
      <x:c r="D272" s="9" t="n">
        <x:v>2025</x:v>
      </x:c>
      <x:c r="E272" s="8" t="str">
        <x:v>Scale AI; University of Maryland; University of Chicago; Washington University in St. Louis; McGill University; UC Berkeley</x:v>
      </x:c>
      <x:c r="F272" s="10" t="str">
        <x:f>VLOOKUP(H272,'Taxonomy'!$A$6:$G$70,3,FALSE)</x:f>
        <x:v>评估与资源：如何检验工作完成</x:v>
      </x:c>
      <x:c r="G272" s="10" t="str">
        <x:f>VLOOKUP(H272,'Taxonomy'!$A$6:$G$70,5,FALSE)</x:f>
        <x:v>评估方法</x:v>
      </x:c>
      <x:c r="H272" s="8" t="str">
        <x:v>6.2.2</x:v>
      </x:c>
      <x:c r="I272" s="10" t="str">
        <x:f>VLOOKUP(H272,'Taxonomy'!$A$6:$G$70,6,FALSE)</x:f>
        <x:v>评判程序</x:v>
      </x:c>
      <x:c r="J272" s="8" t="str">
        <x:v>证据整合与推理;标准、量规与裁判;答案、产物、状态与过程证据</x:v>
      </x:c>
      <x:c r="K272" s="8" t="str">
        <x:v>感知与理解;推理与决策;验证、恢复与重新规划</x:v>
      </x:c>
      <x:c r="L272" s="8" t="str">
        <x:v>6.1 基准与任务构造;6.3 结果对齐指标</x:v>
      </x:c>
      <x:c r="M272" s="8" t="str"/>
      <x:c r="N272" s="8" t="str">
        <x:v>Benchmark</x:v>
      </x:c>
      <x:c r="O272" s="11" t="str">
        <x:v>https://arxiv.org/abs/2511.07685</x:v>
      </x:c>
      <x:c r="P272" s="8" t="str">
        <x:v>用专家提示与rubric评估深度研究报告的内容质量与要求覆盖。</x:v>
      </x:c>
      <x:c r="Q272" s="8" t="str"/>
      <x:c r="R272" s="8" t="str"/>
      <x:c r="S272" s="8" t="str"/>
      <x:c r="T272" s="12" t="str">
        <x:v>未分配</x:v>
      </x:c>
      <x:c r="U272" s="12" t="str"/>
      <x:c r="V272" s="12" t="str"/>
      <x:c r="W272" s="12" t="str"/>
      <x:c r="X272" s="8" t="str">
        <x:v>verified</x:v>
      </x:c>
      <x:c r="Y272" s="11" t="str"/>
      <x:c r="Z272" s="11" t="str"/>
      <x:c r="AA272" s="11" t="str">
        <x:v>https://arxiv.org/html/2511.07685v1</x:v>
      </x:c>
      <x:c r="AB272" s="11" t="str">
        <x:v>https://arxiv.org/abs/2511.07685</x:v>
      </x:c>
      <x:c r="AC272" s="8" t="str"/>
      <x:c r="AD272" s="8" t="str"/>
      <x:c r="AE272" s="8" t="str"/>
      <x:c r="AF272" s="8" t="str">
        <x:v>用于“评判程序”：用专家提示与rubric评估深度研究报告的内容质量与要求覆盖。</x:v>
      </x:c>
      <x:c r="AG272" s="8" t="str">
        <x:v>related</x:v>
      </x:c>
      <x:c r="AH272" s="8" t="str">
        <x:v>Deep research report evaluation</x:v>
      </x:c>
      <x:c r="AI272" s="8" t="str"/>
      <x:c r="AJ272" s="8" t="str">
        <x:v>previous README / supplementary search</x:v>
      </x:c>
      <x:c r="AK272" s="13" t="d">
        <x:v>2026-10-16T00:00:00.000Z</x:v>
      </x:c>
      <x:c r="AL272" s="8" t="str">
        <x:v>以研究报告质量rubric为主，未确认跨会话持续责任，故不按persistent归类。</x:v>
      </x:c>
      <x:c r="AM272" s="8" t="str">
        <x:v>6.1;6.3</x:v>
      </x:c>
    </x:row>
    <x:row r="273" ht="68" customHeight="1">
      <x:c r="A273" s="8" t="str">
        <x:v>WA-0285</x:v>
      </x:c>
      <x:c r="B273" s="8" t="str">
        <x:v>ReTool</x:v>
      </x:c>
      <x:c r="C273" s="8" t="str">
        <x:v>ReTool: Reinforcement Learning for Strategic Tool Use in LLMs</x:v>
      </x:c>
      <x:c r="D273" s="9" t="n">
        <x:v>2025</x:v>
      </x:c>
      <x:c r="E273" s="8" t="str">
        <x:v>ByteDance Seed</x:v>
      </x:c>
      <x:c r="F273" s="10" t="str">
        <x:f>VLOOKUP(H273,'Taxonomy'!$A$6:$G$70,3,FALSE)</x:f>
        <x:v>优化：从工作经验到系统能力</x:v>
      </x:c>
      <x:c r="G273" s="10" t="str">
        <x:f>VLOOKUP(H273,'Taxonomy'!$A$6:$G$70,5,FALSE)</x:f>
        <x:v>模型优化</x:v>
      </x:c>
      <x:c r="H273" s="8" t="str">
        <x:v>5.2.2</x:v>
      </x:c>
      <x:c r="I273" s="10" t="str">
        <x:f>VLOOKUP(H273,'Taxonomy'!$A$6:$G$70,6,FALSE)</x:f>
        <x:v>智能体强化学习</x:v>
      </x:c>
      <x:c r="J273" s="8" t="str">
        <x:v>模型参数学习;工具、界面与应用执行;证据与规则约束下的决策</x:v>
      </x:c>
      <x:c r="K273" s="8" t="str">
        <x:v>推理与决策;执行与状态管理</x:v>
      </x:c>
      <x:c r="L273" s="8" t="str"/>
      <x:c r="M273" s="8" t="str"/>
      <x:c r="N273" s="8" t="str">
        <x:v>Method</x:v>
      </x:c>
      <x:c r="O273" s="11" t="str">
        <x:v>https://arxiv.org/abs/2504.11536</x:v>
      </x:c>
      <x:c r="P273" s="8" t="str">
        <x:v>通过强化学习训练模型决定何时以及如何调用代码等工具辅助推理。</x:v>
      </x:c>
      <x:c r="Q273" s="8" t="str"/>
      <x:c r="R273" s="8" t="str"/>
      <x:c r="S273" s="8" t="str"/>
      <x:c r="T273" s="12" t="str">
        <x:v>未分配</x:v>
      </x:c>
      <x:c r="U273" s="12" t="str"/>
      <x:c r="V273" s="12" t="str"/>
      <x:c r="W273" s="12" t="str"/>
      <x:c r="X273" s="8" t="str">
        <x:v>verified</x:v>
      </x:c>
      <x:c r="Y273" s="11" t="str"/>
      <x:c r="Z273" s="11" t="str"/>
      <x:c r="AA273" s="11" t="str">
        <x:v>https://arxiv.org/html/2504.11536v1</x:v>
      </x:c>
      <x:c r="AB273" s="11" t="str">
        <x:v>https://arxiv.org/abs/2504.11536</x:v>
      </x:c>
      <x:c r="AC273" s="8" t="str"/>
      <x:c r="AD273" s="8" t="str"/>
      <x:c r="AE273" s="8" t="str"/>
      <x:c r="AF273" s="8" t="str">
        <x:v>用于“智能体强化学习”：通过强化学习训练模型决定何时以及如何调用代码等工具辅助推理。</x:v>
      </x:c>
      <x:c r="AG273" s="8" t="str">
        <x:v>tool-enterprise</x:v>
      </x:c>
      <x:c r="AH273" s="8" t="str">
        <x:v>Strategic tool-use RL</x:v>
      </x:c>
      <x:c r="AI273" s="8" t="str"/>
      <x:c r="AJ273" s="8" t="str">
        <x:v>previous README / supplementary search</x:v>
      </x:c>
      <x:c r="AK273" s="13" t="d">
        <x:v>2026-10-16T00:00:00.000Z</x:v>
      </x:c>
      <x:c r="AL273" s="8" t="str">
        <x:v>新增/保留README来源；论文身份与摘要已核验；分类为维护者判断。</x:v>
      </x:c>
      <x:c r="AM273" s="8" t="str">
        <x:v>5.2</x:v>
      </x:c>
    </x:row>
    <x:row r="274" ht="68" customHeight="1">
      <x:c r="A274" s="8" t="str">
        <x:v>WA-0286</x:v>
      </x:c>
      <x:c r="B274" s="8" t="str">
        <x:v>Self-Improvements in Modern Agentic Systems</x:v>
      </x:c>
      <x:c r="C274" s="8" t="str">
        <x:v>Self-Improvements in Modern Agentic Systems: A Survey</x:v>
      </x:c>
      <x:c r="D274" s="9" t="n">
        <x:v>2026</x:v>
      </x:c>
      <x:c r="E274" s="8" t="str">
        <x:v>Jilin University; KAUST; Independent Researcher; University of Alberta; IDSIA/USI/SUPSI</x:v>
      </x:c>
      <x:c r="F274" s="10" t="str">
        <x:f>VLOOKUP(H274,'Taxonomy'!$A$6:$G$70,3,FALSE)</x:f>
        <x:v>前沿：下一代 Working Agents</x:v>
      </x:c>
      <x:c r="G274" s="10" t="str">
        <x:f>VLOOKUP(H274,'Taxonomy'!$A$6:$G$70,5,FALSE)</x:f>
        <x:v>从被动执行到持续责任</x:v>
      </x:c>
      <x:c r="H274" s="8" t="str">
        <x:v>7.2.3</x:v>
      </x:c>
      <x:c r="I274" s="10" t="str">
        <x:f>VLOOKUP(H274,'Taxonomy'!$A$6:$G$70,6,FALSE)</x:f>
        <x:v>持续个性化与自我演化</x:v>
      </x:c>
      <x:c r="J274" s="8" t="str">
        <x:v>跨任务个性化与自演化;模型与运行框架耦合</x:v>
      </x:c>
      <x:c r="K274" s="8" t="str">
        <x:v>验证、恢复与重新规划</x:v>
      </x:c>
      <x:c r="L274" s="8" t="str"/>
      <x:c r="M274" s="8" t="str"/>
      <x:c r="N274" s="8" t="str">
        <x:v>Survey</x:v>
      </x:c>
      <x:c r="O274" s="11" t="str">
        <x:v>https://arxiv.org/abs/2607.13104</x:v>
      </x:c>
      <x:c r="P274" s="8" t="str">
        <x:v>综述现代代理系统的自我改进对象、机制与开放问题。</x:v>
      </x:c>
      <x:c r="Q274" s="8" t="str"/>
      <x:c r="R274" s="8" t="str"/>
      <x:c r="S274" s="8" t="str"/>
      <x:c r="T274" s="12" t="str">
        <x:v>未分配</x:v>
      </x:c>
      <x:c r="U274" s="12" t="str"/>
      <x:c r="V274" s="12" t="str"/>
      <x:c r="W274" s="12" t="str"/>
      <x:c r="X274" s="8" t="str">
        <x:v>verified</x:v>
      </x:c>
      <x:c r="Y274" s="11" t="str"/>
      <x:c r="Z274" s="11" t="str"/>
      <x:c r="AA274" s="11" t="str">
        <x:v>https://arxiv.org/html/2607.13104v1</x:v>
      </x:c>
      <x:c r="AB274" s="11" t="str">
        <x:v>https://arxiv.org/abs/2607.13104</x:v>
      </x:c>
      <x:c r="AC274" s="8" t="str"/>
      <x:c r="AD274" s="8" t="str"/>
      <x:c r="AE274" s="8" t="str"/>
      <x:c r="AF274" s="8" t="str">
        <x:v>用于“持续个性化与自我演化”：综述现代代理系统的自我改进对象、机制与开放问题。</x:v>
      </x:c>
      <x:c r="AG274" s="8" t="str">
        <x:v>persistent</x:v>
      </x:c>
      <x:c r="AH274" s="8" t="str">
        <x:v>Self-improvement survey</x:v>
      </x:c>
      <x:c r="AI274" s="8" t="str"/>
      <x:c r="AJ274" s="8" t="str">
        <x:v>previous README / supplementary search</x:v>
      </x:c>
      <x:c r="AK274" s="13" t="d">
        <x:v>2026-10-16T00:00:00.000Z</x:v>
      </x:c>
      <x:c r="AL274" s="8" t="str">
        <x:v>新增/保留README来源；论文身份与摘要已核验；分类为维护者判断。</x:v>
      </x:c>
      <x:c r="AM274" s="8" t="str">
        <x:v>5;7.2</x:v>
      </x:c>
    </x:row>
    <x:row r="275" ht="68" customHeight="1">
      <x:c r="A275" s="8" t="str">
        <x:v>WA-0287</x:v>
      </x:c>
      <x:c r="B275" s="8" t="str">
        <x:v>StagedWorkspace</x:v>
      </x:c>
      <x:c r="C275" s="8" t="str">
        <x:v>StagedWorkspace: A Versioned Workspace for Knowledge-Work Agents</x:v>
      </x:c>
      <x:c r="D275" s="9" t="n">
        <x:v>2026</x:v>
      </x:c>
      <x:c r="E275" s="8" t="str">
        <x:v>Harvard University; Raycaster AI; University of Technology Sydney; University of Washington; Stanford University</x:v>
      </x:c>
      <x:c r="F275" s="10" t="str">
        <x:f>VLOOKUP(H275,'Taxonomy'!$A$6:$G$70,3,FALSE)</x:f>
        <x:v>基础：定义、工作条件与核心能力</x:v>
      </x:c>
      <x:c r="G275" s="10" t="str">
        <x:f>VLOOKUP(H275,'Taxonomy'!$A$6:$G$70,5,FALSE)</x:f>
        <x:v>五项核心能力</x:v>
      </x:c>
      <x:c r="H275" s="8" t="str">
        <x:v>2.3.4</x:v>
      </x:c>
      <x:c r="I275" s="10" t="str">
        <x:f>VLOOKUP(H275,'Taxonomy'!$A$6:$G$70,6,FALSE)</x:f>
        <x:v>执行与状态管理</x:v>
      </x:c>
      <x:c r="J275" s="8" t="str">
        <x:v>对象结构、模态与语义;当前状态与版本有效性;连续编辑与内容保持;对象关系、来源与依赖</x:v>
      </x:c>
      <x:c r="K275" s="8" t="str">
        <x:v>感知与理解;执行与状态管理;验证、恢复与重新规划</x:v>
      </x:c>
      <x:c r="L275" s="8" t="str">
        <x:v>2.3.1 感知与理解;6.4 开放框架与执行环境</x:v>
      </x:c>
      <x:c r="M275" s="8" t="str"/>
      <x:c r="N275" s="8" t="str">
        <x:v>Method;Framework</x:v>
      </x:c>
      <x:c r="O275" s="11" t="str">
        <x:v>https://arxiv.org/abs/2608.18050</x:v>
      </x:c>
      <x:c r="P275" s="8" t="str">
        <x:v>为知识工作代理提供版本化工作区以及原生文件与解析视图的协同访问。</x:v>
      </x:c>
      <x:c r="Q275" s="8" t="str"/>
      <x:c r="R275" s="8" t="str"/>
      <x:c r="S275" s="8" t="str"/>
      <x:c r="T275" s="12" t="str">
        <x:v>未分配</x:v>
      </x:c>
      <x:c r="U275" s="12" t="str"/>
      <x:c r="V275" s="12" t="str"/>
      <x:c r="W275" s="12" t="str"/>
      <x:c r="X275" s="8" t="str">
        <x:v>verified</x:v>
      </x:c>
      <x:c r="Y275" s="11" t="str"/>
      <x:c r="Z275" s="11" t="str"/>
      <x:c r="AA275" s="11" t="str">
        <x:v>https://arxiv.org/html/2608.18050v1</x:v>
      </x:c>
      <x:c r="AB275" s="11" t="str">
        <x:v>https://arxiv.org/abs/2608.18050</x:v>
      </x:c>
      <x:c r="AC275" s="8" t="str"/>
      <x:c r="AD275" s="8" t="str"/>
      <x:c r="AE275" s="8" t="str"/>
      <x:c r="AF275" s="8" t="str">
        <x:v>用于“执行与状态管理”：为知识工作代理提供版本化工作区以及原生文件与解析视图的协同访问。</x:v>
      </x:c>
      <x:c r="AG275" s="8" t="str">
        <x:v>workspace</x:v>
      </x:c>
      <x:c r="AH275" s="8" t="str">
        <x:v>Versioned native-document workspace</x:v>
      </x:c>
      <x:c r="AI275" s="8" t="str"/>
      <x:c r="AJ275" s="8" t="str">
        <x:v>previous README / supplementary search</x:v>
      </x:c>
      <x:c r="AK275" s="13" t="d">
        <x:v>2026-10-16T00:00:00.000Z</x:v>
      </x:c>
      <x:c r="AL275" s="8" t="str">
        <x:v>新增/保留README来源；论文身份与摘要已核验；分类为维护者判断。</x:v>
      </x:c>
      <x:c r="AM275" s="8" t="str">
        <x:v>4.1;4.4;6.4</x:v>
      </x:c>
    </x:row>
    <x:row r="276" ht="68" customHeight="1">
      <x:c r="A276" s="8" t="str">
        <x:v>WA-0288</x:v>
      </x:c>
      <x:c r="B276" s="8" t="str">
        <x:v>SWE Atlas</x:v>
      </x:c>
      <x:c r="C276" s="8" t="str">
        <x:v>SWE Atlas: Benchmarking Coding Agents Beyond Issue Resolution</x:v>
      </x:c>
      <x:c r="D276" s="9" t="n">
        <x:v>2026</x:v>
      </x:c>
      <x:c r="E276" s="8" t="str">
        <x:v>Scale AI</x:v>
      </x:c>
      <x:c r="F276" s="10" t="str">
        <x:f>VLOOKUP(H276,'Taxonomy'!$A$6:$G$70,3,FALSE)</x:f>
        <x:v>评估与资源：如何检验工作完成</x:v>
      </x:c>
      <x:c r="G276" s="10" t="str">
        <x:f>VLOOKUP(H276,'Taxonomy'!$A$6:$G$70,5,FALSE)</x:f>
        <x:v>基准与任务构造</x:v>
      </x:c>
      <x:c r="H276" s="8" t="str">
        <x:v>6.1.2</x:v>
      </x:c>
      <x:c r="I276" s="10" t="str">
        <x:f>VLOOKUP(H276,'Taxonomy'!$A$6:$G$70,6,FALSE)</x:f>
        <x:v>领域覆盖与工作要求</x:v>
      </x:c>
      <x:c r="J276" s="8" t="str">
        <x:v>证据整合与推理;工具、界面与应用执行;成果与实际状态核验</x:v>
      </x:c>
      <x:c r="K276" s="8" t="str">
        <x:v>推理与决策;执行与状态管理;验证、恢复与重新规划</x:v>
      </x:c>
      <x:c r="L276" s="8" t="str"/>
      <x:c r="M276" s="8" t="str"/>
      <x:c r="N276" s="8" t="str">
        <x:v>Benchmark</x:v>
      </x:c>
      <x:c r="O276" s="11" t="str">
        <x:v>https://arxiv.org/abs/2605.08366</x:v>
      </x:c>
      <x:c r="P276" s="8" t="str">
        <x:v>以代码库问答、测试编写与重构三个互补轨道评估功能正确性和工程质量。</x:v>
      </x:c>
      <x:c r="Q276" s="8" t="str"/>
      <x:c r="R276" s="8" t="str"/>
      <x:c r="S276" s="8" t="str"/>
      <x:c r="T276" s="12" t="str">
        <x:v>未分配</x:v>
      </x:c>
      <x:c r="U276" s="12" t="str"/>
      <x:c r="V276" s="12" t="str"/>
      <x:c r="W276" s="12" t="str"/>
      <x:c r="X276" s="8" t="str">
        <x:v>verified</x:v>
      </x:c>
      <x:c r="Y276" s="11" t="str">
        <x:v>https://github.com/scaleapi/SWE-Atlas</x:v>
      </x:c>
      <x:c r="Z276" s="11" t="str"/>
      <x:c r="AA276" s="11" t="str">
        <x:v>https://arxiv.org/html/2605.08366v1</x:v>
      </x:c>
      <x:c r="AB276" s="11" t="str">
        <x:v>https://arxiv.org/abs/2605.08366</x:v>
      </x:c>
      <x:c r="AC276" s="8" t="str"/>
      <x:c r="AD276" s="8" t="str"/>
      <x:c r="AE276" s="8" t="str"/>
      <x:c r="AF276" s="8" t="str">
        <x:v>用于“领域覆盖与工作要求”：以代码库问答、测试编写与重构三个互补轨道评估功能正确性和工程质量。</x:v>
      </x:c>
      <x:c r="AG276" s="8" t="str">
        <x:v>swe-science</x:v>
      </x:c>
      <x:c r="AH276" s="8" t="str">
        <x:v>Codebase QA, tests and refactoring</x:v>
      </x:c>
      <x:c r="AI276" s="8" t="str"/>
      <x:c r="AJ276" s="8" t="str">
        <x:v>previous README / supplementary search</x:v>
      </x:c>
      <x:c r="AK276" s="13" t="d">
        <x:v>2026-10-16T00:00:00.000Z</x:v>
      </x:c>
      <x:c r="AL276" s="8" t="str">
        <x:v>由README末尾待展开条目补全；身份和机构以论文首版前置信息核验。</x:v>
      </x:c>
      <x:c r="AM276" s="8" t="str">
        <x:v>6.1</x:v>
      </x:c>
    </x:row>
    <x:row r="277" ht="68" customHeight="1">
      <x:c r="A277" s="8" t="str">
        <x:v>WA-0289</x:v>
      </x:c>
      <x:c r="B277" s="8" t="str">
        <x:v>SWE-INTERACT</x:v>
      </x:c>
      <x:c r="C277" s="8" t="str">
        <x:v>SWE-INTERACT: Reimagining SWE Benchmarks as User-Driven Long-Horizon Coding Sessions</x:v>
      </x:c>
      <x:c r="D277" s="9" t="n">
        <x:v>2026</x:v>
      </x:c>
      <x:c r="E277" s="8" t="str">
        <x:v>Scale AI</x:v>
      </x:c>
      <x:c r="F277" s="10" t="str">
        <x:f>VLOOKUP(H277,'Taxonomy'!$A$6:$G$70,3,FALSE)</x:f>
        <x:v>基础：定义、工作条件与核心能力</x:v>
      </x:c>
      <x:c r="G277" s="10" t="str">
        <x:f>VLOOKUP(H277,'Taxonomy'!$A$6:$G$70,5,FALSE)</x:f>
        <x:v>五项核心能力</x:v>
      </x:c>
      <x:c r="H277" s="8" t="str">
        <x:v>2.3.3</x:v>
      </x:c>
      <x:c r="I277" s="10" t="str">
        <x:f>VLOOKUP(H277,'Taxonomy'!$A$6:$G$70,6,FALSE)</x:f>
        <x:v>规划与协调</x:v>
      </x:c>
      <x:c r="J277" s="8" t="str">
        <x:v>分布信息、澄清与协调;开放与变化条件</x:v>
      </x:c>
      <x:c r="K277" s="8" t="str">
        <x:v>规划与协调;执行与状态管理</x:v>
      </x:c>
      <x:c r="L277" s="8" t="str">
        <x:v>7.4 以工作为中心的系统;6.1.2 领域覆盖与工作要求</x:v>
      </x:c>
      <x:c r="M277" s="8" t="str"/>
      <x:c r="N277" s="8" t="str">
        <x:v>Benchmark</x:v>
      </x:c>
      <x:c r="O277" s="11" t="str">
        <x:v>https://arxiv.org/abs/2606.30573</x:v>
      </x:c>
      <x:c r="P277" s="8" t="str">
        <x:v>让模拟用户渐进揭示需求并检查工作区，测试编码代理澄清目标与适应修订的能力。</x:v>
      </x:c>
      <x:c r="Q277" s="8" t="str"/>
      <x:c r="R277" s="8" t="str"/>
      <x:c r="S277" s="8" t="str"/>
      <x:c r="T277" s="12" t="str">
        <x:v>未分配</x:v>
      </x:c>
      <x:c r="U277" s="12" t="str"/>
      <x:c r="V277" s="12" t="str"/>
      <x:c r="W277" s="12" t="str"/>
      <x:c r="X277" s="8" t="str">
        <x:v>verified</x:v>
      </x:c>
      <x:c r="Y277" s="11" t="str">
        <x:v>https://github.com/scaleapi/SWE-Interact</x:v>
      </x:c>
      <x:c r="Z277" s="11" t="str"/>
      <x:c r="AA277" s="11" t="str">
        <x:v>https://arxiv.org/html/2606.30573v1</x:v>
      </x:c>
      <x:c r="AB277" s="11" t="str">
        <x:v>https://arxiv.org/abs/2606.30573</x:v>
      </x:c>
      <x:c r="AC277" s="8" t="str"/>
      <x:c r="AD277" s="8" t="str"/>
      <x:c r="AE277" s="8" t="str"/>
      <x:c r="AF277" s="8" t="str">
        <x:v>用于“规划与协调”：让模拟用户渐进揭示需求并检查工作区，测试编码代理澄清目标与适应修订的能力。</x:v>
      </x:c>
      <x:c r="AG277" s="8" t="str">
        <x:v>swe-science</x:v>
      </x:c>
      <x:c r="AH277" s="8" t="str">
        <x:v>Interactive software engineering</x:v>
      </x:c>
      <x:c r="AI277" s="8" t="str"/>
      <x:c r="AJ277" s="8" t="str">
        <x:v>previous README / supplementary search</x:v>
      </x:c>
      <x:c r="AK277" s="13" t="d">
        <x:v>2026-10-16T00:00:00.000Z</x:v>
      </x:c>
      <x:c r="AL277" s="8" t="str">
        <x:v>由README末尾待展开条目补全；身份和机构以论文首版前置信息核验。</x:v>
      </x:c>
      <x:c r="AM277" s="8" t="str">
        <x:v>6.1;7.4</x:v>
      </x:c>
    </x:row>
    <x:row r="278" ht="68" customHeight="1">
      <x:c r="A278" s="8" t="str">
        <x:v>WA-0290</x:v>
      </x:c>
      <x:c r="B278" s="8" t="str">
        <x:v>SWE-Lancer</x:v>
      </x:c>
      <x:c r="C278" s="8" t="str">
        <x:v>SWE-Lancer: Can Frontier LLMs Earn $1 Million from Real-World Freelance Software Engineering?</x:v>
      </x:c>
      <x:c r="D278" s="9" t="n">
        <x:v>2025</x:v>
      </x:c>
      <x:c r="E278" s="8" t="str">
        <x:v>OpenAI</x:v>
      </x:c>
      <x:c r="F278" s="10" t="str">
        <x:f>VLOOKUP(H278,'Taxonomy'!$A$6:$G$70,3,FALSE)</x:f>
        <x:v>基础：定义、工作条件与核心能力</x:v>
      </x:c>
      <x:c r="G278" s="10" t="str">
        <x:f>VLOOKUP(H278,'Taxonomy'!$A$6:$G$70,5,FALSE)</x:f>
        <x:v>五项核心能力</x:v>
      </x:c>
      <x:c r="H278" s="8" t="str">
        <x:v>2.3.2</x:v>
      </x:c>
      <x:c r="I278" s="10" t="str">
        <x:f>VLOOKUP(H278,'Taxonomy'!$A$6:$G$70,6,FALSE)</x:f>
        <x:v>推理与决策</x:v>
      </x:c>
      <x:c r="J278" s="8" t="str">
        <x:v>职业知识与专业判断;证据与规则约束下的决策;质量、时间成本与使用价值</x:v>
      </x:c>
      <x:c r="K278" s="8" t="str">
        <x:v>推理与决策;规划与协调;执行与状态管理;验证、恢复与重新规划</x:v>
      </x:c>
      <x:c r="L278" s="8" t="str">
        <x:v>7.3 从专业质量到使用价值;6.1.2 领域覆盖与工作要求;6.3.1 任务成功与成果质量</x:v>
      </x:c>
      <x:c r="M278" s="8" t="str"/>
      <x:c r="N278" s="8" t="str">
        <x:v>Benchmark</x:v>
      </x:c>
      <x:c r="O278" s="11" t="str">
        <x:v>https://arxiv.org/abs/2502.12115</x:v>
      </x:c>
      <x:c r="P278" s="8" t="str">
        <x:v>用真实自由职业软件工程任务及报酬评估编码代理的经济工作能力。</x:v>
      </x:c>
      <x:c r="Q278" s="8" t="str">
        <x:v>可解释决策不只是下个工具，也包括比较技术实施方案；报酬联系工作价值。</x:v>
      </x:c>
      <x:c r="R278" s="8" t="str">
        <x:v>历史报酬不是agent净利润；原始全集、公开集及更新版本须区分。</x:v>
      </x:c>
      <x:c r="S278" s="8" t="str">
        <x:v>核心</x:v>
      </x:c>
      <x:c r="T278" s="12" t="str">
        <x:v>未分配</x:v>
      </x:c>
      <x:c r="U278" s="12" t="str"/>
      <x:c r="V278" s="12" t="str"/>
      <x:c r="W278" s="12" t="str"/>
      <x:c r="X278" s="8" t="str">
        <x:v>verified</x:v>
      </x:c>
      <x:c r="Y278" s="11" t="str"/>
      <x:c r="Z278" s="11" t="str"/>
      <x:c r="AA278" s="11" t="str">
        <x:v>https://arxiv.org/html/2502.12115v1</x:v>
      </x:c>
      <x:c r="AB278" s="11" t="str">
        <x:v>https://arxiv.org/abs/2502.12115</x:v>
      </x:c>
      <x:c r="AC278" s="8" t="str">
        <x:v>L038</x:v>
      </x:c>
      <x:c r="AD278" s="8" t="str">
        <x:v>文献库已有，2／4未引；官方项目。</x:v>
      </x:c>
      <x:c r="AE278" s="8" t="str">
        <x:v>2.3 技术取舍；第六章ROI。</x:v>
      </x:c>
      <x:c r="AF278" s="8" t="str">
        <x:v>按补充清单 L038 的论证用途归入“推理与决策”：可解释决策不只是下个工具，也包括比较技术实施方案；报酬联系工作价值。</x:v>
      </x:c>
      <x:c r="AG278" s="8" t="str">
        <x:v>swe-science</x:v>
      </x:c>
      <x:c r="AH278" s="8" t="str">
        <x:v>Freelance software engineering</x:v>
      </x:c>
      <x:c r="AI278" s="8" t="str"/>
      <x:c r="AJ278" s="8" t="str">
        <x:v>previous README / supplementary search;2026-10-16 chapter 2 / former chapter 4 supplement</x:v>
      </x:c>
      <x:c r="AK278" s="13" t="d">
        <x:v>2026-10-16T00:00:00.000Z</x:v>
      </x:c>
      <x:c r="AL278" s="8" t="str">
        <x:v>新增/保留README来源；论文身份与摘要已核验；分类为维护者判断。</x:v>
      </x:c>
      <x:c r="AM278" s="8" t="str">
        <x:v>6.1;7.3</x:v>
      </x:c>
    </x:row>
    <x:row r="279" ht="68" customHeight="1">
      <x:c r="A279" s="8" t="str">
        <x:v>WA-0291</x:v>
      </x:c>
      <x:c r="B279" s="8" t="str">
        <x:v>SWT-Bench</x:v>
      </x:c>
      <x:c r="C279" s="8" t="str">
        <x:v>SWT-Bench: Testing and Validating Real-World Bug-Fixes with Code Agents</x:v>
      </x:c>
      <x:c r="D279" s="9" t="n">
        <x:v>2024</x:v>
      </x:c>
      <x:c r="E279" s="8" t="str">
        <x:v>ETH Zurich; LogicStar.ai</x:v>
      </x:c>
      <x:c r="F279" s="10" t="str">
        <x:f>VLOOKUP(H279,'Taxonomy'!$A$6:$G$70,3,FALSE)</x:f>
        <x:v>评估与资源：如何检验工作完成</x:v>
      </x:c>
      <x:c r="G279" s="10" t="str">
        <x:f>VLOOKUP(H279,'Taxonomy'!$A$6:$G$70,5,FALSE)</x:f>
        <x:v>评估方法</x:v>
      </x:c>
      <x:c r="H279" s="8" t="str">
        <x:v>6.2.1</x:v>
      </x:c>
      <x:c r="I279" s="10" t="str">
        <x:f>VLOOKUP(H279,'Taxonomy'!$A$6:$G$70,6,FALSE)</x:f>
        <x:v>评估目标与可观察证据</x:v>
      </x:c>
      <x:c r="J279" s="8" t="str">
        <x:v>成果与实际状态核验;失败定位与根因诊断;答案、产物、状态与过程证据</x:v>
      </x:c>
      <x:c r="K279" s="8" t="str">
        <x:v>执行与状态管理;验证、恢复与重新规划</x:v>
      </x:c>
      <x:c r="L279" s="8" t="str">
        <x:v>6.1 基准与任务构造;6.3 结果对齐指标</x:v>
      </x:c>
      <x:c r="M279" s="8" t="str"/>
      <x:c r="N279" s="8" t="str">
        <x:v>Benchmark</x:v>
      </x:c>
      <x:c r="O279" s="11" t="str">
        <x:v>https://arxiv.org/abs/2406.12952</x:v>
      </x:c>
      <x:c r="P279" s="8" t="str">
        <x:v>评价代码代理构造测试、复现问题并验证实际补丁的能力。</x:v>
      </x:c>
      <x:c r="Q279" s="8" t="str"/>
      <x:c r="R279" s="8" t="str"/>
      <x:c r="S279" s="8" t="str"/>
      <x:c r="T279" s="12" t="str">
        <x:v>未分配</x:v>
      </x:c>
      <x:c r="U279" s="12" t="str"/>
      <x:c r="V279" s="12" t="str"/>
      <x:c r="W279" s="12" t="str"/>
      <x:c r="X279" s="8" t="str">
        <x:v>verified</x:v>
      </x:c>
      <x:c r="Y279" s="11" t="str"/>
      <x:c r="Z279" s="11" t="str"/>
      <x:c r="AA279" s="11" t="str">
        <x:v>https://arxiv.org/html/2406.12952v1</x:v>
      </x:c>
      <x:c r="AB279" s="11" t="str">
        <x:v>https://arxiv.org/abs/2406.12952</x:v>
      </x:c>
      <x:c r="AC279" s="8" t="str"/>
      <x:c r="AD279" s="8" t="str"/>
      <x:c r="AE279" s="8" t="str"/>
      <x:c r="AF279" s="8" t="str">
        <x:v>用于“评估目标与可观察证据”：评价代码代理构造测试、复现问题并验证实际补丁的能力。</x:v>
      </x:c>
      <x:c r="AG279" s="8" t="str">
        <x:v>swe-science</x:v>
      </x:c>
      <x:c r="AH279" s="8" t="str">
        <x:v>Bug-fix testing and validation</x:v>
      </x:c>
      <x:c r="AI279" s="8" t="str"/>
      <x:c r="AJ279" s="8" t="str">
        <x:v>previous README / supplementary search</x:v>
      </x:c>
      <x:c r="AK279" s="13" t="d">
        <x:v>2026-10-16T00:00:00.000Z</x:v>
      </x:c>
      <x:c r="AL279" s="8" t="str">
        <x:v>新增/保留README来源；论文身份与摘要已核验；分类为维护者判断。</x:v>
      </x:c>
      <x:c r="AM279" s="8" t="str">
        <x:v>6.1;6.3</x:v>
      </x:c>
    </x:row>
    <x:row r="280" ht="68" customHeight="1">
      <x:c r="A280" s="8" t="str">
        <x:v>WA-0293</x:v>
      </x:c>
      <x:c r="B280" s="8" t="str">
        <x:v>The Evolution of AI Office</x:v>
      </x:c>
      <x:c r="C280" s="8" t="str">
        <x:v>The Evolution of AI Office: From Passive Assistants to Goal-Driven Agents</x:v>
      </x:c>
      <x:c r="D280" s="9" t="n">
        <x:v>2026</x:v>
      </x:c>
      <x:c r="E280" s="8" t="str">
        <x:v>Alibaba Qwen Large Model Application Team; Peking University; Renmin University of China; Nanjing University</x:v>
      </x:c>
      <x:c r="F280" s="10" t="str">
        <x:f>VLOOKUP(H280,'Taxonomy'!$A$6:$G$70,3,FALSE)</x:f>
        <x:v>基础：定义、工作条件与核心能力</x:v>
      </x:c>
      <x:c r="G280" s="10" t="str">
        <x:f>VLOOKUP(H280,'Taxonomy'!$A$6:$G$70,5,FALSE)</x:f>
        <x:v>相关智能体范式</x:v>
      </x:c>
      <x:c r="H280" s="8" t="str">
        <x:v>2.4.3</x:v>
      </x:c>
      <x:c r="I280" s="10" t="str">
        <x:f>VLOOKUP(H280,'Taxonomy'!$A$6:$G$70,6,FALSE)</x:f>
        <x:v>办公智能体</x:v>
      </x:c>
      <x:c r="J280" s="8" t="str">
        <x:v>范式与自主性边界;原生工件生成与编辑;成果与实际状态核验</x:v>
      </x:c>
      <x:c r="K280" s="8" t="str">
        <x:v>感知与理解;执行与状态管理;验证、恢复与重新规划</x:v>
      </x:c>
      <x:c r="L280" s="8" t="str">
        <x:v>6.2.1 评估目标与可观察证据;5.1.3 奖励与验证信号</x:v>
      </x:c>
      <x:c r="M280" s="8" t="str"/>
      <x:c r="N280" s="8" t="str">
        <x:v>Survey</x:v>
      </x:c>
      <x:c r="O280" s="11" t="str">
        <x:v>https://www.alphaxiv.org/abs/2609.evolution-ai-office-agents</x:v>
      </x:c>
      <x:c r="P280" s="8" t="str">
        <x:v>围绕可交付的原生办公文件，统一操作接口、质量验证与训练三条研究轴线。</x:v>
      </x:c>
      <x:c r="Q280" s="8" t="str"/>
      <x:c r="R280" s="8" t="str"/>
      <x:c r="S280" s="8" t="str"/>
      <x:c r="T280" s="12" t="str">
        <x:v>未分配</x:v>
      </x:c>
      <x:c r="U280" s="12" t="str"/>
      <x:c r="V280" s="12" t="str"/>
      <x:c r="W280" s="12" t="str"/>
      <x:c r="X280" s="8" t="str">
        <x:v>verified</x:v>
      </x:c>
      <x:c r="Y280" s="11" t="str"/>
      <x:c r="Z280" s="11" t="str"/>
      <x:c r="AA280" s="11" t="str">
        <x:v>https://www.alphaxiv.org/abs/2609.evolution-ai-office-agents</x:v>
      </x:c>
      <x:c r="AB280" s="11" t="str">
        <x:v>https://www.alphaxiv.org/abs/2609.evolution-ai-office-agents</x:v>
      </x:c>
      <x:c r="AC280" s="8" t="str"/>
      <x:c r="AD280" s="8" t="str"/>
      <x:c r="AE280" s="8" t="str"/>
      <x:c r="AF280" s="8" t="str">
        <x:v>用于“办公智能体”：围绕可交付的原生办公文件，统一操作接口、质量验证与训练三条研究轴线。</x:v>
      </x:c>
      <x:c r="AG280" s="8" t="str">
        <x:v>artifact</x:v>
      </x:c>
      <x:c r="AH280" s="8" t="str">
        <x:v>Unified office-agent survey</x:v>
      </x:c>
      <x:c r="AI280" s="8" t="str"/>
      <x:c r="AJ280" s="8" t="str">
        <x:v>previous README / supplementary search;2026-10-16 AI Office survey bibliography</x:v>
      </x:c>
      <x:c r="AK280" s="13" t="d">
        <x:v>2026-10-16T00:00:00.000Z</x:v>
      </x:c>
      <x:c r="AL280" s="8" t="str">
        <x:v>作者上传的alphaXiv论文；机构从仓库已有原论文首页核验，保留独立平台标识，不能伪写为arXiv。</x:v>
      </x:c>
      <x:c r="AM280" s="8" t="str">
        <x:v>3;4;5;6</x:v>
      </x:c>
    </x:row>
    <x:row r="281" ht="68" customHeight="1">
      <x:c r="A281" s="8" t="str">
        <x:v>WA-0294</x:v>
      </x:c>
      <x:c r="B281" s="8" t="str">
        <x:v>Toolathlon</x:v>
      </x:c>
      <x:c r="C281" s="8" t="str">
        <x:v>The Tool Decathlon: Benchmarking Language Agents for Diverse, Realistic, and Long-Horizon Task Execution</x:v>
      </x:c>
      <x:c r="D281" s="9" t="n">
        <x:v>2025</x:v>
      </x:c>
      <x:c r="E281" s="8" t="str">
        <x:v>HKUST; All Hands AI; Carnegie Mellon University; Duke University</x:v>
      </x:c>
      <x:c r="F281" s="10" t="str">
        <x:f>VLOOKUP(H281,'Taxonomy'!$A$6:$G$70,3,FALSE)</x:f>
        <x:v>基础：定义、工作条件与核心能力</x:v>
      </x:c>
      <x:c r="G281" s="10" t="str">
        <x:f>VLOOKUP(H281,'Taxonomy'!$A$6:$G$70,5,FALSE)</x:f>
        <x:v>五项核心能力</x:v>
      </x:c>
      <x:c r="H281" s="8" t="str">
        <x:v>2.3.4</x:v>
      </x:c>
      <x:c r="I281" s="10" t="str">
        <x:f>VLOOKUP(H281,'Taxonomy'!$A$6:$G$70,6,FALSE)</x:f>
        <x:v>执行与状态管理</x:v>
      </x:c>
      <x:c r="J281" s="8" t="str">
        <x:v>工具、界面与应用执行;任务分解与行动依赖;当前状态与版本有效性</x:v>
      </x:c>
      <x:c r="K281" s="8" t="str">
        <x:v>规划与协调;执行与状态管理;验证、恢复与重新规划</x:v>
      </x:c>
      <x:c r="L281" s="8" t="str">
        <x:v>6.4 开放框架与执行环境;6.1.2 领域覆盖与工作要求;6.2.1 评估目标与可观察证据</x:v>
      </x:c>
      <x:c r="M281" s="8" t="str"/>
      <x:c r="N281" s="8" t="str">
        <x:v>Benchmark;Framework</x:v>
      </x:c>
      <x:c r="O281" s="11" t="str">
        <x:v>https://arxiv.org/abs/2510.25726</x:v>
      </x:c>
      <x:c r="P281" s="8" t="str">
        <x:v>以真实应用和MCP工具构建多应用长程任务，并用专门执行脚本验证结果。</x:v>
      </x:c>
      <x:c r="Q281" s="8" t="str">
        <x:v>补充单一网页或桌面任务，说明执行难点来自跨应用依赖、工具选择和连续状态改变。</x:v>
      </x:c>
      <x:c r="R281" s="8" t="str">
        <x:v>工具回合数不等于用户对话数；程序检查不能自动覆盖全部职业成果质量。</x:v>
      </x:c>
      <x:c r="S281" s="8" t="str">
        <x:v>核心</x:v>
      </x:c>
      <x:c r="T281" s="12" t="str">
        <x:v>未分配</x:v>
      </x:c>
      <x:c r="U281" s="12" t="str"/>
      <x:c r="V281" s="12" t="str"/>
      <x:c r="W281" s="12" t="str"/>
      <x:c r="X281" s="8" t="str">
        <x:v>verified</x:v>
      </x:c>
      <x:c r="Y281" s="11" t="str">
        <x:v>https://github.com/hkust-nlp/Toolathlon</x:v>
      </x:c>
      <x:c r="Z281" s="11" t="str"/>
      <x:c r="AA281" s="11" t="str">
        <x:v>https://arxiv.org/html/2510.25726v1</x:v>
      </x:c>
      <x:c r="AB281" s="11" t="str">
        <x:v>https://arxiv.org/abs/2510.25726</x:v>
      </x:c>
      <x:c r="AC281" s="8" t="str">
        <x:v>L040</x:v>
      </x:c>
      <x:c r="AD281" s="8" t="str">
        <x:v>文献库已有，2／4未引；官方摘要。</x:v>
      </x:c>
      <x:c r="AE281" s="8" t="str">
        <x:v>2.3跨工具执行；6长程任务。</x:v>
      </x:c>
      <x:c r="AF281" s="8" t="str">
        <x:v>按补充清单 L040 的论证用途归入“执行与状态管理”：补充单一网页或桌面任务，说明执行难点来自跨应用依赖、工具选择和连续状态改变。</x:v>
      </x:c>
      <x:c r="AG281" s="8" t="str">
        <x:v>tool-enterprise</x:v>
      </x:c>
      <x:c r="AH281" s="8" t="str">
        <x:v>Realistic multi-app tool execution</x:v>
      </x:c>
      <x:c r="AI281" s="8" t="str"/>
      <x:c r="AJ281" s="8" t="str">
        <x:v>previous README / supplementary search;2026-10-16 chapter 2 / former chapter 4 supplement</x:v>
      </x:c>
      <x:c r="AK281" s="13" t="d">
        <x:v>2026-10-16T00:00:00.000Z</x:v>
      </x:c>
      <x:c r="AL281" s="8" t="str">
        <x:v>新增/保留README来源；论文身份与摘要已核验；分类为维护者判断。</x:v>
      </x:c>
      <x:c r="AM281" s="8" t="str">
        <x:v>6.1;6.4</x:v>
      </x:c>
    </x:row>
    <x:row r="282" ht="68" customHeight="1">
      <x:c r="A282" s="8" t="str">
        <x:v>WA-0295</x:v>
      </x:c>
      <x:c r="B282" s="8" t="str">
        <x:v>ToolEmu</x:v>
      </x:c>
      <x:c r="C282" s="8" t="str">
        <x:v>Identifying the Risks of LM Agents with an LM-Emulated Sandbox</x:v>
      </x:c>
      <x:c r="D282" s="9" t="n">
        <x:v>2023</x:v>
      </x:c>
      <x:c r="E282" s="8" t="str">
        <x:v>University of Toronto; Vector Institute; Stanford University</x:v>
      </x:c>
      <x:c r="F282" s="10" t="str">
        <x:f>VLOOKUP(H282,'Taxonomy'!$A$6:$G$70,3,FALSE)</x:f>
        <x:v>评估与资源：如何检验工作完成</x:v>
      </x:c>
      <x:c r="G282" s="10" t="str">
        <x:f>VLOOKUP(H282,'Taxonomy'!$A$6:$G$70,5,FALSE)</x:f>
        <x:v>基准与任务构造</x:v>
      </x:c>
      <x:c r="H282" s="8" t="str">
        <x:v>6.1.1</x:v>
      </x:c>
      <x:c r="I282" s="10" t="str">
        <x:f>VLOOKUP(H282,'Taxonomy'!$A$6:$G$70,6,FALSE)</x:f>
        <x:v>任务构造策略</x:v>
      </x:c>
      <x:c r="J282" s="8" t="str">
        <x:v>任务、环境与扰动构造;安全、隐私与授权边界;验证证据的有效性</x:v>
      </x:c>
      <x:c r="K282" s="8" t="str">
        <x:v>执行与状态管理;验证、恢复与重新规划</x:v>
      </x:c>
      <x:c r="L282" s="8" t="str">
        <x:v>7.4 以工作为中心的系统;2.3.5 验证、恢复与重新规划;6.2.1 评估目标与可观察证据</x:v>
      </x:c>
      <x:c r="M282" s="8" t="str"/>
      <x:c r="N282" s="8" t="str">
        <x:v>Method;Benchmark</x:v>
      </x:c>
      <x:c r="O282" s="11" t="str">
        <x:v>https://arxiv.org/abs/2309.15817</x:v>
      </x:c>
      <x:c r="P282" s="8" t="str">
        <x:v>以语言模型模拟工具行为和长尾风险场景，并用评估器分析风险，辅以人工检查。</x:v>
      </x:c>
      <x:c r="Q282" s="8" t="str">
        <x:v>用于解释仿真反馈和真实执行证据的区别；有助于第6章比较评估环境。</x:v>
      </x:c>
      <x:c r="R282" s="8" t="str">
        <x:v>模拟工具效果不是实际外部状态变化；模型模拟器和评价器可能共享偏差。</x:v>
      </x:c>
      <x:c r="S282" s="8" t="str">
        <x:v>补充</x:v>
      </x:c>
      <x:c r="T282" s="12" t="str">
        <x:v>未分配</x:v>
      </x:c>
      <x:c r="U282" s="12" t="str"/>
      <x:c r="V282" s="12" t="str"/>
      <x:c r="W282" s="12" t="str"/>
      <x:c r="X282" s="8" t="str">
        <x:v>verified</x:v>
      </x:c>
      <x:c r="Y282" s="11" t="str"/>
      <x:c r="Z282" s="11" t="str"/>
      <x:c r="AA282" s="11" t="str">
        <x:v>https://arxiv.org/html/2309.15817v1</x:v>
      </x:c>
      <x:c r="AB282" s="11" t="str">
        <x:v>https://arxiv.org/abs/2309.15817</x:v>
      </x:c>
      <x:c r="AC282" s="8" t="str">
        <x:v>L100</x:v>
      </x:c>
      <x:c r="AD282" s="8" t="str">
        <x:v>文献库已有，2／4未引；官方摘要。</x:v>
      </x:c>
      <x:c r="AE282" s="8" t="str">
        <x:v>6评估环境与证据来源；2.3验证边界。</x:v>
      </x:c>
      <x:c r="AF282" s="8" t="str">
        <x:v>按补充清单 L100 的论证用途归入“任务构造策略”：用于解释仿真反馈和真实执行证据的区别；有助于第6章比较评估环境。</x:v>
      </x:c>
      <x:c r="AG282" s="8" t="str">
        <x:v>safety</x:v>
      </x:c>
      <x:c r="AH282" s="8" t="str">
        <x:v>Emulated tool-risk assessment</x:v>
      </x:c>
      <x:c r="AI282" s="8" t="str"/>
      <x:c r="AJ282" s="8" t="str">
        <x:v>previous README / supplementary search;2026-10-16 chapter 2 / former chapter 4 supplement</x:v>
      </x:c>
      <x:c r="AK282" s="13" t="d">
        <x:v>2026-10-16T00:00:00.000Z</x:v>
      </x:c>
      <x:c r="AL282" s="8" t="str">
        <x:v>新增/保留README来源；论文身份与摘要已核验；分类为维护者判断。  ToolEmu对应2309.15817；与旧库WA-0295为同一篇，保留原记录，不把ToolEmu系统名当成独立新论文。</x:v>
      </x:c>
      <x:c r="AM282" s="8" t="str">
        <x:v>6.1;7.4</x:v>
      </x:c>
    </x:row>
    <x:row r="283" ht="68" customHeight="1">
      <x:c r="A283" s="8" t="str">
        <x:v>WA-0296</x:v>
      </x:c>
      <x:c r="B283" s="8" t="str">
        <x:v>Towards Long-Horizon Agents</x:v>
      </x:c>
      <x:c r="C283" s="8" t="str">
        <x:v>Towards Long-Horizon Agents: A Survey</x:v>
      </x:c>
      <x:c r="D283" s="9" t="n">
        <x:v>2026</x:v>
      </x:c>
      <x:c r="E283" s="8" t="str">
        <x:v>Renmin University of China; Peking University; Tsinghua University; Sun Yat-sen University; HKUST; National University of Singapore</x:v>
      </x:c>
      <x:c r="F283" s="10" t="str">
        <x:f>VLOOKUP(H283,'Taxonomy'!$A$6:$G$70,3,FALSE)</x:f>
        <x:v>基础：定义、工作条件与核心能力</x:v>
      </x:c>
      <x:c r="G283" s="10" t="str">
        <x:f>VLOOKUP(H283,'Taxonomy'!$A$6:$G$70,5,FALSE)</x:f>
        <x:v>相关智能体范式</x:v>
      </x:c>
      <x:c r="H283" s="8" t="str">
        <x:v>2.4.1</x:v>
      </x:c>
      <x:c r="I283" s="10" t="str">
        <x:f>VLOOKUP(H283,'Taxonomy'!$A$6:$G$70,6,FALSE)</x:f>
        <x:v>长时程智能体</x:v>
      </x:c>
      <x:c r="J283" s="8" t="str">
        <x:v>范式与自主性边界;定义、系统职责与工作循环;上下文与记忆管理</x:v>
      </x:c>
      <x:c r="K283" s="8" t="str">
        <x:v>规划与协调;执行与状态管理;验证、恢复与重新规划</x:v>
      </x:c>
      <x:c r="L283" s="8" t="str">
        <x:v>6.4 开放框架与执行环境;7.2 从被动执行到持续责任;2.1.2 工作过程六要素;2.2.1 工作持久性;5.3 运行框架优化</x:v>
      </x:c>
      <x:c r="M283" s="8" t="str"/>
      <x:c r="N283" s="8" t="str">
        <x:v>Survey</x:v>
      </x:c>
      <x:c r="O283" s="11" t="str">
        <x:v>https://doi.org/10.20944/preprints202607.1328.v1</x:v>
      </x:c>
      <x:c r="P283" s="8" t="str">
        <x:v>从外部harness与内部优化共同演进的角度整理长程代理系统与评测。</x:v>
      </x:c>
      <x:c r="Q283" s="8" t="str">
        <x:v>可支撑运行时系统的重要性，并帮助区分执行跨度与持续工作责任。</x:v>
      </x:c>
      <x:c r="R283" s="8" t="str">
        <x:v>六个Harness组件不是本文Task/Model/Harness/Workspace/Outcome/Verification六要素；当前核查依据为作者项目页。</x:v>
      </x:c>
      <x:c r="S283" s="8" t="str">
        <x:v>核心</x:v>
      </x:c>
      <x:c r="T283" s="12" t="str">
        <x:v>未分配</x:v>
      </x:c>
      <x:c r="U283" s="12" t="str"/>
      <x:c r="V283" s="12" t="str"/>
      <x:c r="W283" s="12" t="str"/>
      <x:c r="X283" s="8" t="str">
        <x:v>verified</x:v>
      </x:c>
      <x:c r="Y283" s="11" t="str">
        <x:v>https://github.com/RUC-NLPIR/Awesome-Long-Horizon-Agents</x:v>
      </x:c>
      <x:c r="Z283" s="11" t="str"/>
      <x:c r="AA283" s="11" t="str">
        <x:v>https://long-horizon-agents.github.io/</x:v>
      </x:c>
      <x:c r="AB283" s="11" t="str">
        <x:v>https://long-horizon-agents.github.io/</x:v>
      </x:c>
      <x:c r="AC283" s="8" t="str">
        <x:v>L022</x:v>
      </x:c>
      <x:c r="AD283" s="8" t="str">
        <x:v>文献库已有，2／4未引；官方项目。</x:v>
      </x:c>
      <x:c r="AE283" s="8" t="str">
        <x:v>2.1 Model/Harness；2.2持久性；2.4长时程智能体；2.1 系统观；2.4 related paradigms。</x:v>
      </x:c>
      <x:c r="AF283" s="8" t="str">
        <x:v>按补充清单 L022 的论证用途归入“长时程智能体”：可支撑运行时系统的重要性，并帮助区分执行跨度与持续工作责任。</x:v>
      </x:c>
      <x:c r="AG283" s="8" t="str">
        <x:v>persistent</x:v>
      </x:c>
      <x:c r="AH283" s="8" t="str">
        <x:v>Long-horizon harness and optimization</x:v>
      </x:c>
      <x:c r="AI283" s="8" t="str"/>
      <x:c r="AJ283" s="8" t="str">
        <x:v>previous README / supplementary search;2026-10-16 chapter 2 / former chapter 4 supplement</x:v>
      </x:c>
      <x:c r="AK283" s="13" t="d">
        <x:v>2026-10-16T00:00:00.000Z</x:v>
      </x:c>
      <x:c r="AL283" s="8" t="str">
        <x:v>机构与正式题名由官方项目页核验；正文PDF为OpenReview版本。 机构与正式题名由官方项目页核验；正文PDF为OpenReview版本。 现统一作者项目与官方 GitHub BibTeX 给出的 DOI 和短题名；本次 DOI 直访 403，身份由作者发布记录交叉核验。旧长副标题不另计论文。</x:v>
      </x:c>
      <x:c r="AM283" s="8" t="str">
        <x:v>5;6.4;7.2</x:v>
      </x:c>
    </x:row>
    <x:row r="284" ht="68" customHeight="1">
      <x:c r="A284" s="8" t="str">
        <x:v>WA-0297</x:v>
      </x:c>
      <x:c r="B284" s="8" t="str">
        <x:v>UI-TARS</x:v>
      </x:c>
      <x:c r="C284" s="8" t="str">
        <x:v>UI-TARS: Pioneering Automated GUI Interaction with Native Agents</x:v>
      </x:c>
      <x:c r="D284" s="9" t="n">
        <x:v>2025</x:v>
      </x:c>
      <x:c r="E284" s="8" t="str">
        <x:v>ByteDance Seed; Tsinghua University</x:v>
      </x:c>
      <x:c r="F284" s="10" t="str">
        <x:f>VLOOKUP(H284,'Taxonomy'!$A$6:$G$70,3,FALSE)</x:f>
        <x:v>优化：从工作经验到系统能力</x:v>
      </x:c>
      <x:c r="G284" s="10" t="str">
        <x:f>VLOOKUP(H284,'Taxonomy'!$A$6:$G$70,5,FALSE)</x:f>
        <x:v>模型优化</x:v>
      </x:c>
      <x:c r="H284" s="8" t="str">
        <x:v>5.2.1</x:v>
      </x:c>
      <x:c r="I284" s="10" t="str">
        <x:f>VLOOKUP(H284,'Taxonomy'!$A$6:$G$70,6,FALSE)</x:f>
        <x:v>中期训练与监督微调</x:v>
      </x:c>
      <x:c r="J284" s="8" t="str">
        <x:v>模型参数学习;对象结构、模态与语义;工具、界面与应用执行</x:v>
      </x:c>
      <x:c r="K284" s="8" t="str">
        <x:v>感知与理解;规划与协调;执行与状态管理</x:v>
      </x:c>
      <x:c r="L284" s="8" t="str">
        <x:v>2.3.1 感知与理解</x:v>
      </x:c>
      <x:c r="M284" s="8" t="str"/>
      <x:c r="N284" s="8" t="str">
        <x:v>Method</x:v>
      </x:c>
      <x:c r="O284" s="11" t="str">
        <x:v>https://arxiv.org/abs/2501.12326</x:v>
      </x:c>
      <x:c r="P284" s="8" t="str">
        <x:v>用统一视觉感知、推理和动作建模训练原生GUI代理。</x:v>
      </x:c>
      <x:c r="Q284" s="8" t="str"/>
      <x:c r="R284" s="8" t="str"/>
      <x:c r="S284" s="8" t="str"/>
      <x:c r="T284" s="12" t="str">
        <x:v>未分配</x:v>
      </x:c>
      <x:c r="U284" s="12" t="str"/>
      <x:c r="V284" s="12" t="str"/>
      <x:c r="W284" s="12" t="str"/>
      <x:c r="X284" s="8" t="str">
        <x:v>verified</x:v>
      </x:c>
      <x:c r="Y284" s="11" t="str"/>
      <x:c r="Z284" s="11" t="str"/>
      <x:c r="AA284" s="11" t="str">
        <x:v>https://arxiv.org/html/2501.12326v1</x:v>
      </x:c>
      <x:c r="AB284" s="11" t="str">
        <x:v>https://arxiv.org/abs/2501.12326</x:v>
      </x:c>
      <x:c r="AC284" s="8" t="str">
        <x:v>AIO-200</x:v>
      </x:c>
      <x:c r="AD284" s="8" t="str"/>
      <x:c r="AE284" s="8" t="str"/>
      <x:c r="AF284" s="8" t="str">
        <x:v>用于“中期训练与监督微调”：用统一视觉感知、推理和动作建模训练原生GUI代理。</x:v>
      </x:c>
      <x:c r="AG284" s="8" t="str">
        <x:v>computer-use</x:v>
      </x:c>
      <x:c r="AH284" s="8" t="str">
        <x:v>Native GUI-agent training</x:v>
      </x:c>
      <x:c r="AI284" s="8" t="str"/>
      <x:c r="AJ284" s="8" t="str">
        <x:v>previous README / supplementary search;2026-10-16 AI Office survey bibliography</x:v>
      </x:c>
      <x:c r="AK284" s="13" t="d">
        <x:v>2026-10-16T00:00:00.000Z</x:v>
      </x:c>
      <x:c r="AL284" s="8" t="str">
        <x:v>新增/保留README来源；论文身份与摘要已核验；分类为维护者判断。</x:v>
      </x:c>
      <x:c r="AM284" s="8" t="str">
        <x:v>4.1;5.2</x:v>
      </x:c>
    </x:row>
    <x:row r="285" ht="68" customHeight="1">
      <x:c r="A285" s="8" t="str">
        <x:v>WA-0298</x:v>
      </x:c>
      <x:c r="B285" s="8" t="str">
        <x:v>VideoWebArena</x:v>
      </x:c>
      <x:c r="C285" s="8" t="str">
        <x:v>VideoWebArena: Evaluating Long Context Multimodal Agents with Video Understanding Web Tasks</x:v>
      </x:c>
      <x:c r="D285" s="9" t="n">
        <x:v>2024</x:v>
      </x:c>
      <x:c r="E285" s="8" t="str">
        <x:v>Microsoft; Carnegie Mellon University; MIT; New York University</x:v>
      </x:c>
      <x:c r="F285" s="10" t="str">
        <x:f>VLOOKUP(H285,'Taxonomy'!$A$6:$G$70,3,FALSE)</x:f>
        <x:v>评估与资源：如何检验工作完成</x:v>
      </x:c>
      <x:c r="G285" s="10" t="str">
        <x:f>VLOOKUP(H285,'Taxonomy'!$A$6:$G$70,5,FALSE)</x:f>
        <x:v>基准与任务构造</x:v>
      </x:c>
      <x:c r="H285" s="8" t="str">
        <x:v>6.1.2</x:v>
      </x:c>
      <x:c r="I285" s="10" t="str">
        <x:f>VLOOKUP(H285,'Taxonomy'!$A$6:$G$70,6,FALSE)</x:f>
        <x:v>领域覆盖与工作要求</x:v>
      </x:c>
      <x:c r="J285" s="8" t="str">
        <x:v>对象结构、模态与语义;材料发现与证据定位;工具、界面与应用执行</x:v>
      </x:c>
      <x:c r="K285" s="8" t="str">
        <x:v>感知与理解;规划与协调;执行与状态管理</x:v>
      </x:c>
      <x:c r="L285" s="8" t="str"/>
      <x:c r="M285" s="8" t="str"/>
      <x:c r="N285" s="8" t="str">
        <x:v>Benchmark</x:v>
      </x:c>
      <x:c r="O285" s="11" t="str">
        <x:v>https://arxiv.org/abs/2410.19100</x:v>
      </x:c>
      <x:c r="P285" s="8" t="str">
        <x:v>要求根据视频中的长上下文信息完成网页任务，联结视频理解与实际网页操作。</x:v>
      </x:c>
      <x:c r="Q285" s="8" t="str"/>
      <x:c r="R285" s="8" t="str"/>
      <x:c r="S285" s="8" t="str"/>
      <x:c r="T285" s="12" t="str">
        <x:v>未分配</x:v>
      </x:c>
      <x:c r="U285" s="12" t="str"/>
      <x:c r="V285" s="12" t="str"/>
      <x:c r="W285" s="12" t="str"/>
      <x:c r="X285" s="8" t="str">
        <x:v>verified</x:v>
      </x:c>
      <x:c r="Y285" s="11" t="str"/>
      <x:c r="Z285" s="11" t="str"/>
      <x:c r="AA285" s="11" t="str">
        <x:v>https://arxiv.org/html/2410.19100v1</x:v>
      </x:c>
      <x:c r="AB285" s="11" t="str">
        <x:v>https://arxiv.org/abs/2410.19100</x:v>
      </x:c>
      <x:c r="AC285" s="8" t="str"/>
      <x:c r="AD285" s="8" t="str"/>
      <x:c r="AE285" s="8" t="str"/>
      <x:c r="AF285" s="8" t="str">
        <x:v>用于“领域覆盖与工作要求”：要求根据视频中的长上下文信息完成网页任务，联结视频理解与实际网页操作。</x:v>
      </x:c>
      <x:c r="AG285" s="8" t="str">
        <x:v>computer-use</x:v>
      </x:c>
      <x:c r="AH285" s="8" t="str">
        <x:v>Video-conditioned web tasks</x:v>
      </x:c>
      <x:c r="AI285" s="8" t="str"/>
      <x:c r="AJ285" s="8" t="str">
        <x:v>previous README / supplementary search</x:v>
      </x:c>
      <x:c r="AK285" s="13" t="d">
        <x:v>2026-10-16T00:00:00.000Z</x:v>
      </x:c>
      <x:c r="AL285" s="8" t="str">
        <x:v>新增/保留README来源；论文身份与摘要已核验；分类为维护者判断。</x:v>
      </x:c>
      <x:c r="AM285" s="8" t="str">
        <x:v>6.1</x:v>
      </x:c>
    </x:row>
    <x:row r="286" ht="68" customHeight="1">
      <x:c r="A286" s="8" t="str">
        <x:v>WA-0299</x:v>
      </x:c>
      <x:c r="B286" s="8" t="str">
        <x:v>WebLINX</x:v>
      </x:c>
      <x:c r="C286" s="8" t="str">
        <x:v>WebLINX: Real-World Website Navigation with Multi-Turn Dialogue</x:v>
      </x:c>
      <x:c r="D286" s="9" t="n">
        <x:v>2024</x:v>
      </x:c>
      <x:c r="E286" s="8" t="str">
        <x:v>Mila; McGill University; Charles University</x:v>
      </x:c>
      <x:c r="F286" s="10" t="str">
        <x:f>VLOOKUP(H286,'Taxonomy'!$A$6:$G$70,3,FALSE)</x:f>
        <x:v>评估与资源：如何检验工作完成</x:v>
      </x:c>
      <x:c r="G286" s="10" t="str">
        <x:f>VLOOKUP(H286,'Taxonomy'!$A$6:$G$70,5,FALSE)</x:f>
        <x:v>基准与任务构造</x:v>
      </x:c>
      <x:c r="H286" s="8" t="str">
        <x:v>6.1.2</x:v>
      </x:c>
      <x:c r="I286" s="10" t="str">
        <x:f>VLOOKUP(H286,'Taxonomy'!$A$6:$G$70,6,FALSE)</x:f>
        <x:v>领域覆盖与工作要求</x:v>
      </x:c>
      <x:c r="J286" s="8" t="str">
        <x:v>分布信息、澄清与协调;对象结构、模态与语义;工具、界面与应用执行</x:v>
      </x:c>
      <x:c r="K286" s="8" t="str">
        <x:v>感知与理解;规划与协调;执行与状态管理</x:v>
      </x:c>
      <x:c r="L286" s="8" t="str"/>
      <x:c r="M286" s="8" t="str"/>
      <x:c r="N286" s="8" t="str">
        <x:v>Benchmark</x:v>
      </x:c>
      <x:c r="O286" s="11" t="str">
        <x:v>https://arxiv.org/abs/2402.05930</x:v>
      </x:c>
      <x:c r="P286" s="8" t="str">
        <x:v>以多轮自然对话和网站操作演示评估交互式网页导航。</x:v>
      </x:c>
      <x:c r="Q286" s="8" t="str"/>
      <x:c r="R286" s="8" t="str"/>
      <x:c r="S286" s="8" t="str"/>
      <x:c r="T286" s="12" t="str">
        <x:v>未分配</x:v>
      </x:c>
      <x:c r="U286" s="12" t="str"/>
      <x:c r="V286" s="12" t="str"/>
      <x:c r="W286" s="12" t="str"/>
      <x:c r="X286" s="8" t="str">
        <x:v>verified</x:v>
      </x:c>
      <x:c r="Y286" s="11" t="str"/>
      <x:c r="Z286" s="11" t="str"/>
      <x:c r="AA286" s="11" t="str">
        <x:v>https://arxiv.org/html/2402.05930v1</x:v>
      </x:c>
      <x:c r="AB286" s="11" t="str">
        <x:v>https://arxiv.org/abs/2402.05930</x:v>
      </x:c>
      <x:c r="AC286" s="8" t="str"/>
      <x:c r="AD286" s="8" t="str"/>
      <x:c r="AE286" s="8" t="str"/>
      <x:c r="AF286" s="8" t="str">
        <x:v>用于“领域覆盖与工作要求”：以多轮自然对话和网站操作演示评估交互式网页导航。</x:v>
      </x:c>
      <x:c r="AG286" s="8" t="str">
        <x:v>computer-use</x:v>
      </x:c>
      <x:c r="AH286" s="8" t="str">
        <x:v>Dialogue-guided website navigation</x:v>
      </x:c>
      <x:c r="AI286" s="8" t="str"/>
      <x:c r="AJ286" s="8" t="str">
        <x:v>previous README / supplementary search</x:v>
      </x:c>
      <x:c r="AK286" s="13" t="d">
        <x:v>2026-10-16T00:00:00.000Z</x:v>
      </x:c>
      <x:c r="AL286" s="8" t="str">
        <x:v>新增/保留README来源；论文身份与摘要已核验；分类为维护者判断。</x:v>
      </x:c>
      <x:c r="AM286" s="8" t="str">
        <x:v>6.1</x:v>
      </x:c>
    </x:row>
    <x:row r="287" ht="68" customHeight="1">
      <x:c r="A287" s="8" t="str">
        <x:v>WA-0300</x:v>
      </x:c>
      <x:c r="B287" s="8" t="str">
        <x:v>WebRL</x:v>
      </x:c>
      <x:c r="C287" s="8" t="str">
        <x:v>WebRL: Training LLM Web Agents via Self-Evolving Online Curriculum Reinforcement Learning</x:v>
      </x:c>
      <x:c r="D287" s="9" t="n">
        <x:v>2024</x:v>
      </x:c>
      <x:c r="E287" s="8" t="str">
        <x:v>Tsinghua University; Zhipu AI</x:v>
      </x:c>
      <x:c r="F287" s="10" t="str">
        <x:f>VLOOKUP(H287,'Taxonomy'!$A$6:$G$70,3,FALSE)</x:f>
        <x:v>优化：从工作经验到系统能力</x:v>
      </x:c>
      <x:c r="G287" s="10" t="str">
        <x:f>VLOOKUP(H287,'Taxonomy'!$A$6:$G$70,5,FALSE)</x:f>
        <x:v>模型优化</x:v>
      </x:c>
      <x:c r="H287" s="8" t="str">
        <x:v>5.2.2</x:v>
      </x:c>
      <x:c r="I287" s="10" t="str">
        <x:f>VLOOKUP(H287,'Taxonomy'!$A$6:$G$70,6,FALSE)</x:f>
        <x:v>智能体强化学习</x:v>
      </x:c>
      <x:c r="J287" s="8" t="str">
        <x:v>模型参数学习;任务与环境合成</x:v>
      </x:c>
      <x:c r="K287" s="8" t="str">
        <x:v>规划与协调;执行与状态管理</x:v>
      </x:c>
      <x:c r="L287" s="8" t="str"/>
      <x:c r="M287" s="8" t="str"/>
      <x:c r="N287" s="8" t="str">
        <x:v>Method</x:v>
      </x:c>
      <x:c r="O287" s="11" t="str">
        <x:v>https://arxiv.org/abs/2411.02337</x:v>
      </x:c>
      <x:c r="P287" s="8" t="str">
        <x:v>通过自演化任务课程与在线强化学习训练网页代理。</x:v>
      </x:c>
      <x:c r="Q287" s="8" t="str"/>
      <x:c r="R287" s="8" t="str"/>
      <x:c r="S287" s="8" t="str"/>
      <x:c r="T287" s="12" t="str">
        <x:v>未分配</x:v>
      </x:c>
      <x:c r="U287" s="12" t="str"/>
      <x:c r="V287" s="12" t="str"/>
      <x:c r="W287" s="12" t="str"/>
      <x:c r="X287" s="8" t="str">
        <x:v>verified</x:v>
      </x:c>
      <x:c r="Y287" s="11" t="str"/>
      <x:c r="Z287" s="11" t="str"/>
      <x:c r="AA287" s="11" t="str">
        <x:v>https://arxiv.org/html/2411.02337v1</x:v>
      </x:c>
      <x:c r="AB287" s="11" t="str">
        <x:v>https://arxiv.org/abs/2411.02337</x:v>
      </x:c>
      <x:c r="AC287" s="8" t="str"/>
      <x:c r="AD287" s="8" t="str"/>
      <x:c r="AE287" s="8" t="str"/>
      <x:c r="AF287" s="8" t="str">
        <x:v>用于“智能体强化学习”：通过自演化任务课程与在线强化学习训练网页代理。</x:v>
      </x:c>
      <x:c r="AG287" s="8" t="str">
        <x:v>computer-use</x:v>
      </x:c>
      <x:c r="AH287" s="8" t="str">
        <x:v>Online web-agent RL</x:v>
      </x:c>
      <x:c r="AI287" s="8" t="str"/>
      <x:c r="AJ287" s="8" t="str">
        <x:v>previous README / supplementary search</x:v>
      </x:c>
      <x:c r="AK287" s="13" t="d">
        <x:v>2026-10-16T00:00:00.000Z</x:v>
      </x:c>
      <x:c r="AL287" s="8" t="str">
        <x:v>新增/保留README来源；论文身份与摘要已核验；分类为维护者判断。</x:v>
      </x:c>
      <x:c r="AM287" s="8" t="str">
        <x:v>5.2</x:v>
      </x:c>
    </x:row>
    <x:row r="288" ht="68" customHeight="1">
      <x:c r="A288" s="8" t="str">
        <x:v>WA-0301</x:v>
      </x:c>
      <x:c r="B288" s="8" t="str">
        <x:v>WebShop</x:v>
      </x:c>
      <x:c r="C288" s="8" t="str">
        <x:v>WebShop: Towards Scalable Real-World Web Interaction with Grounded Language Agents</x:v>
      </x:c>
      <x:c r="D288" s="9" t="n">
        <x:v>2022</x:v>
      </x:c>
      <x:c r="E288" s="8" t="str">
        <x:v>Princeton University</x:v>
      </x:c>
      <x:c r="F288" s="10" t="str">
        <x:f>VLOOKUP(H288,'Taxonomy'!$A$6:$G$70,3,FALSE)</x:f>
        <x:v>评估与资源：如何检验工作完成</x:v>
      </x:c>
      <x:c r="G288" s="10" t="str">
        <x:f>VLOOKUP(H288,'Taxonomy'!$A$6:$G$70,5,FALSE)</x:f>
        <x:v>基准与任务构造</x:v>
      </x:c>
      <x:c r="H288" s="8" t="str">
        <x:v>6.1.2</x:v>
      </x:c>
      <x:c r="I288" s="10" t="str">
        <x:f>VLOOKUP(H288,'Taxonomy'!$A$6:$G$70,6,FALSE)</x:f>
        <x:v>领域覆盖与工作要求</x:v>
      </x:c>
      <x:c r="J288" s="8" t="str">
        <x:v>材料发现与证据定位;证据与规则约束下的决策;工具、界面与应用执行</x:v>
      </x:c>
      <x:c r="K288" s="8" t="str">
        <x:v>感知与理解;推理与决策;执行与状态管理</x:v>
      </x:c>
      <x:c r="L288" s="8" t="str"/>
      <x:c r="M288" s="8" t="str"/>
      <x:c r="N288" s="8" t="str">
        <x:v>Benchmark</x:v>
      </x:c>
      <x:c r="O288" s="11" t="str">
        <x:v>https://arxiv.org/abs/2207.01206</x:v>
      </x:c>
      <x:c r="P288" s="8" t="str">
        <x:v>用商品搜索和购买流程评估自然语言目标到网页操作的落地。</x:v>
      </x:c>
      <x:c r="Q288" s="8" t="str"/>
      <x:c r="R288" s="8" t="str"/>
      <x:c r="S288" s="8" t="str"/>
      <x:c r="T288" s="12" t="str">
        <x:v>未分配</x:v>
      </x:c>
      <x:c r="U288" s="12" t="str"/>
      <x:c r="V288" s="12" t="str"/>
      <x:c r="W288" s="12" t="str"/>
      <x:c r="X288" s="8" t="str">
        <x:v>verified</x:v>
      </x:c>
      <x:c r="Y288" s="11" t="str"/>
      <x:c r="Z288" s="11" t="str"/>
      <x:c r="AA288" s="11" t="str">
        <x:v>https://arxiv.org/html/2207.01206v1</x:v>
      </x:c>
      <x:c r="AB288" s="11" t="str">
        <x:v>https://arxiv.org/abs/2207.01206</x:v>
      </x:c>
      <x:c r="AC288" s="8" t="str"/>
      <x:c r="AD288" s="8" t="str"/>
      <x:c r="AE288" s="8" t="str"/>
      <x:c r="AF288" s="8" t="str">
        <x:v>用于“领域覆盖与工作要求”：用商品搜索和购买流程评估自然语言目标到网页操作的落地。</x:v>
      </x:c>
      <x:c r="AG288" s="8" t="str">
        <x:v>computer-use</x:v>
      </x:c>
      <x:c r="AH288" s="8" t="str">
        <x:v>Ecommerce web interaction</x:v>
      </x:c>
      <x:c r="AI288" s="8" t="str"/>
      <x:c r="AJ288" s="8" t="str">
        <x:v>previous README / supplementary search</x:v>
      </x:c>
      <x:c r="AK288" s="13" t="d">
        <x:v>2026-10-16T00:00:00.000Z</x:v>
      </x:c>
      <x:c r="AL288" s="8" t="str">
        <x:v>新增/保留README来源；论文身份与摘要已核验；分类为维护者判断。</x:v>
      </x:c>
      <x:c r="AM288" s="8" t="str">
        <x:v>6.1</x:v>
      </x:c>
    </x:row>
    <x:row r="289" ht="68" customHeight="1">
      <x:c r="A289" s="8" t="str">
        <x:v>WA-0302</x:v>
      </x:c>
      <x:c r="B289" s="8" t="str">
        <x:v>WebVoyager</x:v>
      </x:c>
      <x:c r="C289" s="8" t="str">
        <x:v>WebVoyager: Building an End-to-End Web Agent with Large Multimodal Models</x:v>
      </x:c>
      <x:c r="D289" s="9" t="n">
        <x:v>2024</x:v>
      </x:c>
      <x:c r="E289" s="8" t="str">
        <x:v>Zhejiang University; Westlake University; Tencent AI Lab</x:v>
      </x:c>
      <x:c r="F289" s="10" t="str">
        <x:f>VLOOKUP(H289,'Taxonomy'!$A$6:$G$70,3,FALSE)</x:f>
        <x:v>基础：定义、工作条件与核心能力</x:v>
      </x:c>
      <x:c r="G289" s="10" t="str">
        <x:f>VLOOKUP(H289,'Taxonomy'!$A$6:$G$70,5,FALSE)</x:f>
        <x:v>五项核心能力</x:v>
      </x:c>
      <x:c r="H289" s="8" t="str">
        <x:v>2.3.4</x:v>
      </x:c>
      <x:c r="I289" s="10" t="str">
        <x:f>VLOOKUP(H289,'Taxonomy'!$A$6:$G$70,6,FALSE)</x:f>
        <x:v>执行与状态管理</x:v>
      </x:c>
      <x:c r="J289" s="8" t="str">
        <x:v>对象结构、模态与语义;工具、界面与应用执行;成果与实际状态核验</x:v>
      </x:c>
      <x:c r="K289" s="8" t="str">
        <x:v>感知与理解;规划与协调;执行与状态管理;验证、恢复与重新规划</x:v>
      </x:c>
      <x:c r="L289" s="8" t="str">
        <x:v>2.3.1 感知与理解</x:v>
      </x:c>
      <x:c r="M289" s="8" t="str"/>
      <x:c r="N289" s="8" t="str">
        <x:v>Method</x:v>
      </x:c>
      <x:c r="O289" s="11" t="str">
        <x:v>https://arxiv.org/abs/2401.13919</x:v>
      </x:c>
      <x:c r="P289" s="8" t="str">
        <x:v>通过视觉观察与交互动作在真实网站端到端完成用户任务。</x:v>
      </x:c>
      <x:c r="Q289" s="8" t="str"/>
      <x:c r="R289" s="8" t="str"/>
      <x:c r="S289" s="8" t="str"/>
      <x:c r="T289" s="12" t="str">
        <x:v>未分配</x:v>
      </x:c>
      <x:c r="U289" s="12" t="str"/>
      <x:c r="V289" s="12" t="str"/>
      <x:c r="W289" s="12" t="str"/>
      <x:c r="X289" s="8" t="str">
        <x:v>verified</x:v>
      </x:c>
      <x:c r="Y289" s="11" t="str"/>
      <x:c r="Z289" s="11" t="str"/>
      <x:c r="AA289" s="11" t="str">
        <x:v>https://arxiv.org/html/2401.13919v1</x:v>
      </x:c>
      <x:c r="AB289" s="11" t="str">
        <x:v>https://arxiv.org/abs/2401.13919</x:v>
      </x:c>
      <x:c r="AC289" s="8" t="str">
        <x:v>AIO-093</x:v>
      </x:c>
      <x:c r="AD289" s="8" t="str"/>
      <x:c r="AE289" s="8" t="str"/>
      <x:c r="AF289" s="8" t="str">
        <x:v>用于“执行与状态管理”：通过视觉观察与交互动作在真实网站端到端完成用户任务。</x:v>
      </x:c>
      <x:c r="AG289" s="8" t="str">
        <x:v>computer-use</x:v>
      </x:c>
      <x:c r="AH289" s="8" t="str">
        <x:v>Multimodal end-to-end web agents</x:v>
      </x:c>
      <x:c r="AI289" s="8" t="str"/>
      <x:c r="AJ289" s="8" t="str">
        <x:v>previous README / supplementary search;2026-10-16 AI Office survey bibliography</x:v>
      </x:c>
      <x:c r="AK289" s="13" t="d">
        <x:v>2026-10-16T00:00:00.000Z</x:v>
      </x:c>
      <x:c r="AL289" s="8" t="str">
        <x:v>新增/保留README来源；论文身份与摘要已核验；分类为维护者判断。</x:v>
      </x:c>
      <x:c r="AM289" s="8" t="str">
        <x:v>4.1;4.4</x:v>
      </x:c>
    </x:row>
    <x:row r="290" ht="96" customHeight="1">
      <x:c r="A290" s="8" t="str">
        <x:v>WA-0303</x:v>
      </x:c>
      <x:c r="B290" s="8" t="str">
        <x:v>WildClawBench</x:v>
      </x:c>
      <x:c r="C290" s="8" t="str">
        <x:v>WildClawBench: A Benchmark for Real-World, Long-Horizon Agent Evaluation</x:v>
      </x:c>
      <x:c r="D290" s="9" t="n">
        <x:v>2026</x:v>
      </x:c>
      <x:c r="E290" s="8" t="str">
        <x:v>Shanghai AI Laboratory; Chinese University of Hong Kong; Fudan University; University of Science and Technology of China; Shanghai Jiao Tong University; Tsinghua University; Shanghai Innovation Institute; Zhejiang University; Nanyang Technological University</x:v>
      </x:c>
      <x:c r="F290" s="10" t="str">
        <x:f>VLOOKUP(H290,'Taxonomy'!$A$6:$G$70,3,FALSE)</x:f>
        <x:v>评估与资源：如何检验工作完成</x:v>
      </x:c>
      <x:c r="G290" s="10" t="str">
        <x:f>VLOOKUP(H290,'Taxonomy'!$A$6:$G$70,5,FALSE)</x:f>
        <x:v>基准与任务构造</x:v>
      </x:c>
      <x:c r="H290" s="8" t="str">
        <x:v>6.1.2</x:v>
      </x:c>
      <x:c r="I290" s="10" t="str">
        <x:f>VLOOKUP(H290,'Taxonomy'!$A$6:$G$70,6,FALSE)</x:f>
        <x:v>领域覆盖与工作要求</x:v>
      </x:c>
      <x:c r="J290" s="8" t="str">
        <x:v>工具、界面与应用执行;任务、环境与扰动构造;答案、产物、状态与过程证据</x:v>
      </x:c>
      <x:c r="K290" s="8" t="str">
        <x:v>规划与协调;执行与状态管理;验证、恢复与重新规划</x:v>
      </x:c>
      <x:c r="L290" s="8" t="str"/>
      <x:c r="M290" s="8" t="str"/>
      <x:c r="N290" s="8" t="str">
        <x:v>Benchmark</x:v>
      </x:c>
      <x:c r="O290" s="11" t="str">
        <x:v>https://arxiv.org/abs/2605.10912</x:v>
      </x:c>
      <x:c r="P290" s="8" t="str">
        <x:v>在真实工具与CLI代理框架中评估长程工作任务和执行结果。</x:v>
      </x:c>
      <x:c r="Q290" s="8" t="str"/>
      <x:c r="R290" s="8" t="str"/>
      <x:c r="S290" s="8" t="str"/>
      <x:c r="T290" s="12" t="str">
        <x:v>未分配</x:v>
      </x:c>
      <x:c r="U290" s="12" t="str"/>
      <x:c r="V290" s="12" t="str"/>
      <x:c r="W290" s="12" t="str"/>
      <x:c r="X290" s="8" t="str">
        <x:v>verified</x:v>
      </x:c>
      <x:c r="Y290" s="11" t="str"/>
      <x:c r="Z290" s="11" t="str"/>
      <x:c r="AA290" s="11" t="str">
        <x:v>https://arxiv.org/html/2605.10912v1</x:v>
      </x:c>
      <x:c r="AB290" s="11" t="str">
        <x:v>https://arxiv.org/abs/2605.10912</x:v>
      </x:c>
      <x:c r="AC290" s="8" t="str"/>
      <x:c r="AD290" s="8" t="str"/>
      <x:c r="AE290" s="8" t="str"/>
      <x:c r="AF290" s="8" t="str">
        <x:v>用于“领域覆盖与工作要求”：在真实工具与CLI代理框架中评估长程工作任务和执行结果。</x:v>
      </x:c>
      <x:c r="AG290" s="8" t="str">
        <x:v>computer-use</x:v>
      </x:c>
      <x:c r="AH290" s="8" t="str">
        <x:v>Real CLI harness tasks</x:v>
      </x:c>
      <x:c r="AI290" s="8" t="str"/>
      <x:c r="AJ290" s="8" t="str">
        <x:v>previous README / supplementary search</x:v>
      </x:c>
      <x:c r="AK290" s="13" t="d">
        <x:v>2026-10-16T00:00:00.000Z</x:v>
      </x:c>
      <x:c r="AL290" s="8" t="str">
        <x:v>新增/保留README来源；论文身份与摘要已核验；分类为维护者判断。</x:v>
      </x:c>
      <x:c r="AM290" s="8" t="str">
        <x:v>6.1</x:v>
      </x:c>
    </x:row>
    <x:row r="291" ht="68" customHeight="1">
      <x:c r="A291" s="8" t="str">
        <x:v>WA-0304</x:v>
      </x:c>
      <x:c r="B291" s="8" t="str">
        <x:v>WorkBuddy Bench</x:v>
      </x:c>
      <x:c r="C291" s="8" t="str">
        <x:v>Tencent WorkBuddy Bench: A Multi-Domain Coding-Agent Benchmark with Contamination-Resistant Task Construction</x:v>
      </x:c>
      <x:c r="D291" s="9" t="n">
        <x:v>2026</x:v>
      </x:c>
      <x:c r="E291" s="8" t="str">
        <x:v>Tencent (Youtu Lab; Keen Security Lab; WorkBuddy; Yunding Security Lab)</x:v>
      </x:c>
      <x:c r="F291" s="10" t="str">
        <x:f>VLOOKUP(H291,'Taxonomy'!$A$6:$G$70,3,FALSE)</x:f>
        <x:v>评估与资源：如何检验工作完成</x:v>
      </x:c>
      <x:c r="G291" s="10" t="str">
        <x:f>VLOOKUP(H291,'Taxonomy'!$A$6:$G$70,5,FALSE)</x:f>
        <x:v>基准与任务构造</x:v>
      </x:c>
      <x:c r="H291" s="8" t="str">
        <x:v>6.1.2</x:v>
      </x:c>
      <x:c r="I291" s="10" t="str">
        <x:f>VLOOKUP(H291,'Taxonomy'!$A$6:$G$70,6,FALSE)</x:f>
        <x:v>领域覆盖与工作要求</x:v>
      </x:c>
      <x:c r="J291" s="8" t="str">
        <x:v>任务覆盖与泛化边界;工具、界面与应用执行;答案、产物、状态与过程证据</x:v>
      </x:c>
      <x:c r="K291" s="8" t="str">
        <x:v>规划与协调;执行与状态管理;验证、恢复与重新规划</x:v>
      </x:c>
      <x:c r="L291" s="8" t="str"/>
      <x:c r="M291" s="8" t="str"/>
      <x:c r="N291" s="8" t="str">
        <x:v>Benchmark</x:v>
      </x:c>
      <x:c r="O291" s="11" t="str">
        <x:v>https://arxiv.org/abs/2607.20911</x:v>
      </x:c>
      <x:c r="P291" s="8" t="str">
        <x:v>用来自真实提交和业务场景的代码、网页、办公、安全任务评价编码代理；各轨道分别评分。</x:v>
      </x:c>
      <x:c r="Q291" s="8" t="str"/>
      <x:c r="R291" s="8" t="str"/>
      <x:c r="S291" s="8" t="str"/>
      <x:c r="T291" s="12" t="str">
        <x:v>未分配</x:v>
      </x:c>
      <x:c r="U291" s="12" t="str"/>
      <x:c r="V291" s="12" t="str"/>
      <x:c r="W291" s="12" t="str"/>
      <x:c r="X291" s="8" t="str">
        <x:v>verified</x:v>
      </x:c>
      <x:c r="Y291" s="11" t="str"/>
      <x:c r="Z291" s="11" t="str"/>
      <x:c r="AA291" s="11" t="str">
        <x:v>https://arxiv.org/html/2607.20911v1</x:v>
      </x:c>
      <x:c r="AB291" s="11" t="str">
        <x:v>https://arxiv.org/abs/2607.20911</x:v>
      </x:c>
      <x:c r="AC291" s="8" t="str"/>
      <x:c r="AD291" s="8" t="str"/>
      <x:c r="AE291" s="8" t="str"/>
      <x:c r="AF291" s="8" t="str">
        <x:v>用于“领域覆盖与工作要求”：用来自真实提交和业务场景的代码、网页、办公、安全任务评价编码代理；各轨道分别评分。</x:v>
      </x:c>
      <x:c r="AG291" s="8" t="str">
        <x:v>workspace</x:v>
      </x:c>
      <x:c r="AH291" s="8" t="str">
        <x:v>Multidomain coding-agent work</x:v>
      </x:c>
      <x:c r="AI291" s="8" t="str"/>
      <x:c r="AJ291" s="8" t="str">
        <x:v>previous README / supplementary search</x:v>
      </x:c>
      <x:c r="AK291" s="13" t="d">
        <x:v>2026-10-16T00:00:00.000Z</x:v>
      </x:c>
      <x:c r="AL291" s="8" t="str">
        <x:v>新增/保留README来源；论文身份与摘要已核验；分类为维护者判断。</x:v>
      </x:c>
      <x:c r="AM291" s="8" t="str">
        <x:v>6.1</x:v>
      </x:c>
    </x:row>
    <x:row r="292" ht="68" customHeight="1">
      <x:c r="A292" s="8" t="str">
        <x:v>WA-0305</x:v>
      </x:c>
      <x:c r="B292" s="8" t="str">
        <x:v>WTM-Bench</x:v>
      </x:c>
      <x:c r="C292" s="8" t="str">
        <x:v>Back to the Future: A workbook time machine for spread sheet creation benchmarks</x:v>
      </x:c>
      <x:c r="D292" s="9" t="n">
        <x:v>2026</x:v>
      </x:c>
      <x:c r="E292" s="8" t="str">
        <x:v>Microsoft</x:v>
      </x:c>
      <x:c r="F292" s="10" t="str">
        <x:f>VLOOKUP(H292,'Taxonomy'!$A$6:$G$70,3,FALSE)</x:f>
        <x:v>基础：定义、工作条件与核心能力</x:v>
      </x:c>
      <x:c r="G292" s="10" t="str">
        <x:f>VLOOKUP(H292,'Taxonomy'!$A$6:$G$70,5,FALSE)</x:f>
        <x:v>五项核心能力</x:v>
      </x:c>
      <x:c r="H292" s="8" t="str">
        <x:v>2.3.1</x:v>
      </x:c>
      <x:c r="I292" s="10" t="str">
        <x:f>VLOOKUP(H292,'Taxonomy'!$A$6:$G$70,6,FALSE)</x:f>
        <x:v>感知与理解</x:v>
      </x:c>
      <x:c r="J292" s="8" t="str">
        <x:v>对象结构、模态与语义;对象关系、来源与依赖;任务、环境与扰动构造</x:v>
      </x:c>
      <x:c r="K292" s="8" t="str">
        <x:v>感知与理解;推理与决策;执行与状态管理;验证、恢复与重新规划</x:v>
      </x:c>
      <x:c r="L292" s="8" t="str">
        <x:v>2.3.4 执行与状态管理;6.1.1 任务构造策略</x:v>
      </x:c>
      <x:c r="M292" s="8" t="str"/>
      <x:c r="N292" s="8" t="str">
        <x:v>Benchmark</x:v>
      </x:c>
      <x:c r="O292" s="11" t="str">
        <x:v>https://arxiv.org/abs/2608.07873</x:v>
      </x:c>
      <x:c r="P292" s="8" t="str">
        <x:v>逆向移除真实工作簿的公式、图表、透视表与格式，再依赖图采样可达变换及不同具体程度的指令。</x:v>
      </x:c>
      <x:c r="Q292" s="8" t="str">
        <x:v>既支持原生对象语义重要，也提供模型与接口共同决定表现的受控例子。</x:v>
      </x:c>
      <x:c r="R292" s="8" t="str">
        <x:v>主要是派生成果创建；不覆盖所有单元格编辑或开放业务判断，不能把目标可验证等同现实全覆盖。</x:v>
      </x:c>
      <x:c r="S292" s="8" t="str">
        <x:v>核心</x:v>
      </x:c>
      <x:c r="T292" s="12" t="str">
        <x:v>未分配</x:v>
      </x:c>
      <x:c r="U292" s="12" t="str"/>
      <x:c r="V292" s="12" t="str"/>
      <x:c r="W292" s="12" t="str"/>
      <x:c r="X292" s="8" t="str">
        <x:v>verified</x:v>
      </x:c>
      <x:c r="Y292" s="11" t="str">
        <x:v>https://github.com/microsoft/WTM-Bench</x:v>
      </x:c>
      <x:c r="Z292" s="11" t="str">
        <x:v>https://huggingface.co/datasets/prose-ms/wtm-bench</x:v>
      </x:c>
      <x:c r="AA292" s="11" t="str">
        <x:v>https://arxiv.org/pdf/2608.07873</x:v>
      </x:c>
      <x:c r="AB292" s="11" t="str">
        <x:v>https://arxiv.org/abs/2608.07873</x:v>
      </x:c>
      <x:c r="AC292" s="8" t="str">
        <x:v>L003</x:v>
      </x:c>
      <x:c r="AD292" s="8" t="str">
        <x:v>本轮新增候选；原文相关章节。</x:v>
      </x:c>
      <x:c r="AE292" s="8" t="str">
        <x:v>2.3.1原生结构；2.3.4工具限制；评估章任务构造。</x:v>
      </x:c>
      <x:c r="AF292" s="8" t="str">
        <x:v>用于“感知与理解”：既支持原生对象语义重要，也提供模型与接口共同决定表现的受控例子。</x:v>
      </x:c>
      <x:c r="AG292" s="8" t="str">
        <x:v>artifact</x:v>
      </x:c>
      <x:c r="AH292" s="8" t="str">
        <x:v>derived spreadsheet object creation</x:v>
      </x:c>
      <x:c r="AI292" s="8" t="str"/>
      <x:c r="AJ292" s="8" t="str">
        <x:v>2026-10-16 chapter 2 / former chapter 4 supplement</x:v>
      </x:c>
      <x:c r="AK292" s="13" t="d">
        <x:v>2026-10-16T00:00:00.000Z</x:v>
      </x:c>
      <x:c r="AL292" s="8" t="str">
        <x:v>本轮核验官方书目页、摘要与论文首页单位；来源阅读深度为书目材料原文，不代表本次全文阅读。WTM-Bench、wtmbench 与 Workbook Time Machine 为同一论文的实现/基准名称，不另计论文。官方短链接已核对代码与数据目标。</x:v>
      </x:c>
      <x:c r="AM292" s="8" t="str"/>
    </x:row>
    <x:row r="293" ht="68" customHeight="1">
      <x:c r="A293" s="8" t="str">
        <x:v>WA-0306</x:v>
      </x:c>
      <x:c r="B293" s="8" t="str">
        <x:v>ToolBench-X</x:v>
      </x:c>
      <x:c r="C293" s="8" t="str">
        <x:v>Beyond Function Calling: Benchmarking Tool-Using Agents under Tool-Environment Unreliability</x:v>
      </x:c>
      <x:c r="D293" s="9" t="n">
        <x:v>2026</x:v>
      </x:c>
      <x:c r="E293" s="8" t="str">
        <x:v>Shanghai Jiao Tong University; Southeast University</x:v>
      </x:c>
      <x:c r="F293" s="10" t="str">
        <x:f>VLOOKUP(H293,'Taxonomy'!$A$6:$G$70,3,FALSE)</x:f>
        <x:v>基础：定义、工作条件与核心能力</x:v>
      </x:c>
      <x:c r="G293" s="10" t="str">
        <x:f>VLOOKUP(H293,'Taxonomy'!$A$6:$G$70,5,FALSE)</x:f>
        <x:v>五项核心能力</x:v>
      </x:c>
      <x:c r="H293" s="8" t="str">
        <x:v>2.3.5</x:v>
      </x:c>
      <x:c r="I293" s="10" t="str">
        <x:f>VLOOKUP(H293,'Taxonomy'!$A$6:$G$70,6,FALSE)</x:f>
        <x:v>验证、恢复与重新规划</x:v>
      </x:c>
      <x:c r="J293" s="8" t="str">
        <x:v>失败定位与根因诊断;回滚、补偿与路径调整;任务、环境与扰动构造</x:v>
      </x:c>
      <x:c r="K293" s="8" t="str">
        <x:v>推理与决策;规划与协调;执行与状态管理;验证、恢复与重新规划</x:v>
      </x:c>
      <x:c r="L293" s="8" t="str">
        <x:v>2.2.2 工作开放性;6.1.1 任务构造策略</x:v>
      </x:c>
      <x:c r="M293" s="8" t="str"/>
      <x:c r="N293" s="8" t="str">
        <x:v>Benchmark</x:v>
      </x:c>
      <x:c r="O293" s="11" t="str">
        <x:v>https://arxiv.org/abs/2606.25819</x:v>
      </x:c>
      <x:c r="P293" s="8" t="str">
        <x:v>ToolBench-X对可执行工作流注入规范漂移、调用错误、执行故障、输出漂移及多来源冲突，同时保留有效恢复路径。</x:v>
      </x:c>
      <x:c r="Q293" s="8" t="str">
        <x:v>说明正确选函数和填参数仍不保证完成工作；诊断、重试、替代与交叉核查是额外要求。</x:v>
      </x:c>
      <x:c r="R293" s="8" t="str">
        <x:v>确定性工具和人为注入风险提高可控性，也限制对真实服务故障分布的外推。</x:v>
      </x:c>
      <x:c r="S293" s="8" t="str">
        <x:v>核心</x:v>
      </x:c>
      <x:c r="T293" s="12" t="str">
        <x:v>未分配</x:v>
      </x:c>
      <x:c r="U293" s="12" t="str"/>
      <x:c r="V293" s="12" t="str"/>
      <x:c r="W293" s="12" t="str"/>
      <x:c r="X293" s="8" t="str">
        <x:v>verified</x:v>
      </x:c>
      <x:c r="Y293" s="11" t="str">
        <x:v>https://github.com/Foreverskyou/ToolBench-X</x:v>
      </x:c>
      <x:c r="Z293" s="11" t="str"/>
      <x:c r="AA293" s="11" t="str">
        <x:v>https://arxiv.org/pdf/2606.25819</x:v>
      </x:c>
      <x:c r="AB293" s="11" t="str">
        <x:v>https://arxiv.org/abs/2606.25819</x:v>
      </x:c>
      <x:c r="AC293" s="8" t="str">
        <x:v>L004</x:v>
      </x:c>
      <x:c r="AD293" s="8" t="str">
        <x:v>文献库已有，2／4未引；原文相关章节。</x:v>
      </x:c>
      <x:c r="AE293" s="8" t="str">
        <x:v>2.2开放性；2.3验证恢复；6扰动与恢复。</x:v>
      </x:c>
      <x:c r="AF293" s="8" t="str">
        <x:v>用于“验证、恢复与重新规划”：说明正确选函数和填参数仍不保证完成工作；诊断、重试、替代与交叉核查是额外要求。</x:v>
      </x:c>
      <x:c r="AG293" s="8" t="str">
        <x:v>verification</x:v>
      </x:c>
      <x:c r="AH293" s="8" t="str">
        <x:v>recoverable tool-environment unreliability</x:v>
      </x:c>
      <x:c r="AI293" s="8" t="str"/>
      <x:c r="AJ293" s="8" t="str">
        <x:v>2026-10-16 chapter 2 / former chapter 4 supplement</x:v>
      </x:c>
      <x:c r="AK293" s="13" t="d">
        <x:v>2026-10-16T00:00:00.000Z</x:v>
      </x:c>
      <x:c r="AL293" s="8" t="str">
        <x:v>本轮核验官方书目页、摘要与论文首页单位；来源阅读深度为书目材料原文，不代表本次全文阅读。</x:v>
      </x:c>
      <x:c r="AM293" s="8" t="str"/>
    </x:row>
    <x:row r="294" ht="96" customHeight="1">
      <x:c r="A294" s="8" t="str">
        <x:v>WA-0307</x:v>
      </x:c>
      <x:c r="B294" s="8" t="str">
        <x:v>Dr. DocBench</x:v>
      </x:c>
      <x:c r="C294" s="8" t="str">
        <x:v>Dr. DocBench: A Comprehensive Benchmark for Expert-Level and Difficult Document Parsing</x:v>
      </x:c>
      <x:c r="D294" s="9" t="n">
        <x:v>2026</x:v>
      </x:c>
      <x:c r="E294" s="8" t="str">
        <x:v>2077AI; Stanford University; Massachusetts Institute of Technology; Carnegie Mellon University; University of Southern California; Harvard University; IBM Research; University of Arizona; Duke University; University of California, Berkeley; Ludwig Maximilian University of Munich</x:v>
      </x:c>
      <x:c r="F294" s="10" t="str">
        <x:f>VLOOKUP(H294,'Taxonomy'!$A$6:$G$70,3,FALSE)</x:f>
        <x:v>基础：定义、工作条件与核心能力</x:v>
      </x:c>
      <x:c r="G294" s="10" t="str">
        <x:f>VLOOKUP(H294,'Taxonomy'!$A$6:$G$70,5,FALSE)</x:f>
        <x:v>五项核心能力</x:v>
      </x:c>
      <x:c r="H294" s="8" t="str">
        <x:v>2.3.1</x:v>
      </x:c>
      <x:c r="I294" s="10" t="str">
        <x:f>VLOOKUP(H294,'Taxonomy'!$A$6:$G$70,6,FALSE)</x:f>
        <x:v>感知与理解</x:v>
      </x:c>
      <x:c r="J294" s="8" t="str">
        <x:v>对象结构、模态与语义;任务覆盖与泛化边界;答案、产物、状态与过程证据</x:v>
      </x:c>
      <x:c r="K294" s="8" t="str">
        <x:v>感知与理解</x:v>
      </x:c>
      <x:c r="L294" s="8" t="str">
        <x:v>6.1.2 领域覆盖与工作要求</x:v>
      </x:c>
      <x:c r="M294" s="8" t="str"/>
      <x:c r="N294" s="8" t="str">
        <x:v>Benchmark</x:v>
      </x:c>
      <x:c r="O294" s="11" t="str">
        <x:v>https://arxiv.org/abs/2606.01393</x:v>
      </x:c>
      <x:c r="P294" s="8" t="str">
        <x:v>按现有解析器失败挑选专家领域困难页面，涵盖布局、阅读顺序、层级和专业符号。</x:v>
      </x:c>
      <x:c r="Q294" s="8" t="str">
        <x:v>说明通用OCR成绩不能保证化学公式、乐谱及跨页表格等职业材料可可靠读取。</x:v>
      </x:c>
      <x:c r="R294" s="8" t="str">
        <x:v>困难样本选择会改变数据分布；不能将其平均分直接当真实全部工作文档失败率。</x:v>
      </x:c>
      <x:c r="S294" s="8" t="str">
        <x:v>核心</x:v>
      </x:c>
      <x:c r="T294" s="12" t="str">
        <x:v>未分配</x:v>
      </x:c>
      <x:c r="U294" s="12" t="str"/>
      <x:c r="V294" s="12" t="str"/>
      <x:c r="W294" s="12" t="str"/>
      <x:c r="X294" s="8" t="str">
        <x:v>verified</x:v>
      </x:c>
      <x:c r="Y294" s="11" t="str">
        <x:v>https://github.com/2077AI/DrDocBench</x:v>
      </x:c>
      <x:c r="Z294" s="11" t="str"/>
      <x:c r="AA294" s="11" t="str">
        <x:v>https://arxiv.org/pdf/2606.01393</x:v>
      </x:c>
      <x:c r="AB294" s="11" t="str">
        <x:v>https://arxiv.org/abs/2606.01393</x:v>
      </x:c>
      <x:c r="AC294" s="8" t="str">
        <x:v>L006</x:v>
      </x:c>
      <x:c r="AD294" s="8" t="str">
        <x:v>本轮新增候选；官方摘要。</x:v>
      </x:c>
      <x:c r="AE294" s="8" t="str">
        <x:v>2.3.1领域敏感感知；评估章困难文档。</x:v>
      </x:c>
      <x:c r="AF294" s="8" t="str">
        <x:v>用于“感知与理解”：说明通用OCR成绩不能保证化学公式、乐谱及跨页表格等职业材料可可靠读取。</x:v>
      </x:c>
      <x:c r="AG294" s="8" t="str">
        <x:v>related</x:v>
      </x:c>
      <x:c r="AH294" s="8" t="str">
        <x:v>difficulty-aware expert document parsing</x:v>
      </x:c>
      <x:c r="AI294" s="8" t="str"/>
      <x:c r="AJ294" s="8" t="str">
        <x:v>2026-10-16 chapter 2 / former chapter 4 supplement</x:v>
      </x:c>
      <x:c r="AK294" s="13" t="d">
        <x:v>2026-10-16T00:00:00.000Z</x:v>
      </x:c>
      <x:c r="AL294" s="8" t="str">
        <x:v>本轮核验官方书目页、摘要与论文首页单位；来源阅读深度为书目材料原文，不代表本次全文阅读。机构按 PDF 首页 11 个编号单位核验；困难样本抽样口径另见适用边界。</x:v>
      </x:c>
      <x:c r="AM294" s="8" t="str"/>
    </x:row>
    <x:row r="295" ht="68" customHeight="1">
      <x:c r="A295" s="8" t="str">
        <x:v>WA-0308</x:v>
      </x:c>
      <x:c r="B295" s="8" t="str">
        <x:v>From Question Answering to Task Completion: A Survey on Agent System and Harness Design</x:v>
      </x:c>
      <x:c r="C295" s="8" t="str">
        <x:v>From Question Answering to Task Completion: A Survey on Agent System and Harness Design</x:v>
      </x:c>
      <x:c r="D295" s="9" t="n">
        <x:v>2026</x:v>
      </x:c>
      <x:c r="E295" s="8" t="str">
        <x:v>City University of Hong Kong; University of Sydney; Peking University; TokenRhythm Technologies</x:v>
      </x:c>
      <x:c r="F295" s="10" t="str">
        <x:f>VLOOKUP(H295,'Taxonomy'!$A$6:$G$70,3,FALSE)</x:f>
        <x:v>基础：定义、工作条件与核心能力</x:v>
      </x:c>
      <x:c r="G295" s="10" t="str">
        <x:f>VLOOKUP(H295,'Taxonomy'!$A$6:$G$70,5,FALSE)</x:f>
        <x:v>定义与系统视角</x:v>
      </x:c>
      <x:c r="H295" s="8" t="str">
        <x:v>2.1.2</x:v>
      </x:c>
      <x:c r="I295" s="10" t="str">
        <x:f>VLOOKUP(H295,'Taxonomy'!$A$6:$G$70,6,FALSE)</x:f>
        <x:v>工作过程六要素</x:v>
      </x:c>
      <x:c r="J295" s="8" t="str">
        <x:v>定义、系统职责与工作循环;范式与自主性边界</x:v>
      </x:c>
      <x:c r="K295" s="8" t="str">
        <x:v>感知与理解;规划与协调;执行与状态管理;验证、恢复与重新规划</x:v>
      </x:c>
      <x:c r="L295" s="8" t="str">
        <x:v>2.1.3 工作过程形式化;2.4.4 范式间关系</x:v>
      </x:c>
      <x:c r="M295" s="8" t="str"/>
      <x:c r="N295" s="8" t="str">
        <x:v>Survey</x:v>
      </x:c>
      <x:c r="O295" s="11" t="str">
        <x:v>https://arxiv.org/abs/2606.20683</x:v>
      </x:c>
      <x:c r="P295" s="8" t="str">
        <x:v>§2.2明确使用Model与Harness的实现视角，分解观察、上下文、控制、行动、状态及验证职责。</x:v>
      </x:c>
      <x:c r="Q295" s="8" t="str">
        <x:v>这是本轮需要优先对读的近邻综述；可直接支持系统分工，也要求我们讲清工作对象、成果、验收和工作组织的独特主线。</x:v>
      </x:c>
      <x:c r="R295" s="8" t="str">
        <x:v>不能把Model加Harness本身写成我们的新颖性；该文职责划分不等于本文六要素。</x:v>
      </x:c>
      <x:c r="S295" s="8" t="str">
        <x:v>核心</x:v>
      </x:c>
      <x:c r="T295" s="12" t="str">
        <x:v>未分配</x:v>
      </x:c>
      <x:c r="U295" s="12" t="str"/>
      <x:c r="V295" s="12" t="str"/>
      <x:c r="W295" s="12" t="str"/>
      <x:c r="X295" s="8" t="str">
        <x:v>verified</x:v>
      </x:c>
      <x:c r="Y295" s="11" t="str">
        <x:v>https://github.com/ggjy/Awesome-Agent-Engineering</x:v>
      </x:c>
      <x:c r="Z295" s="11" t="str"/>
      <x:c r="AA295" s="11" t="str">
        <x:v>https://arxiv.org/pdf/2606.20683</x:v>
      </x:c>
      <x:c r="AB295" s="11" t="str">
        <x:v>https://arxiv.org/abs/2606.20683</x:v>
      </x:c>
      <x:c r="AC295" s="8" t="str">
        <x:v>L007</x:v>
      </x:c>
      <x:c r="AD295" s="8" t="str">
        <x:v>本轮新增候选；原文相关章节。</x:v>
      </x:c>
      <x:c r="AE295" s="8" t="str">
        <x:v>2.1系统与形式化；2.4相关综述定位。</x:v>
      </x:c>
      <x:c r="AF295" s="8" t="str">
        <x:v>用于“工作过程六要素”：这是本轮需要优先对读的近邻综述；可直接支持系统分工，也要求我们讲清工作对象、成果、验收和工作组织的独特主线。</x:v>
      </x:c>
      <x:c r="AG295" s="8" t="str">
        <x:v>harness</x:v>
      </x:c>
      <x:c r="AH295" s="8" t="str">
        <x:v>model-harness system design survey</x:v>
      </x:c>
      <x:c r="AI295" s="8" t="str"/>
      <x:c r="AJ295" s="8" t="str">
        <x:v>2026-10-16 chapter 2 / former chapter 4 supplement</x:v>
      </x:c>
      <x:c r="AK295" s="13" t="d">
        <x:v>2026-10-16T00:00:00.000Z</x:v>
      </x:c>
      <x:c r="AL295" s="8" t="str">
        <x:v>本轮核验官方书目页、摘要与论文首页单位；来源阅读深度为书目材料原文，不代表本次全文阅读。</x:v>
      </x:c>
      <x:c r="AM295" s="8" t="str"/>
    </x:row>
    <x:row r="296" ht="68" customHeight="1">
      <x:c r="A296" s="8" t="str">
        <x:v>WA-0309</x:v>
      </x:c>
      <x:c r="B296" s="8" t="str">
        <x:v>How Well Does Agent Development Reflect Real-World Work?</x:v>
      </x:c>
      <x:c r="C296" s="8" t="str">
        <x:v>How Well Does Agent Development Reflect Real-World Work?</x:v>
      </x:c>
      <x:c r="D296" s="9" t="n">
        <x:v>2026</x:v>
      </x:c>
      <x:c r="E296" s="8" t="str">
        <x:v>Carnegie Mellon University; Stanford University</x:v>
      </x:c>
      <x:c r="F296" s="10" t="str">
        <x:f>VLOOKUP(H296,'Taxonomy'!$A$6:$G$70,3,FALSE)</x:f>
        <x:v>基础：定义、工作条件与核心能力</x:v>
      </x:c>
      <x:c r="G296" s="10" t="str">
        <x:f>VLOOKUP(H296,'Taxonomy'!$A$6:$G$70,5,FALSE)</x:f>
        <x:v>定义与系统视角</x:v>
      </x:c>
      <x:c r="H296" s="8" t="str">
        <x:v>2.1.1</x:v>
      </x:c>
      <x:c r="I296" s="10" t="str">
        <x:f>VLOOKUP(H296,'Taxonomy'!$A$6:$G$70,6,FALSE)</x:f>
        <x:v>定义与范围</x:v>
      </x:c>
      <x:c r="J296" s="8" t="str">
        <x:v>定义、系统职责与工作循环;任务覆盖与泛化边界;组织协作与真实生产率</x:v>
      </x:c>
      <x:c r="K296" s="8" t="str"/>
      <x:c r="L296" s="8" t="str">
        <x:v>6.1.2 领域覆盖与工作要求;7.1.1 职业与领域泛化</x:v>
      </x:c>
      <x:c r="M296" s="8" t="str"/>
      <x:c r="N296" s="8" t="str">
        <x:v>Background</x:v>
      </x:c>
      <x:c r="O296" s="11" t="str">
        <x:v>https://arxiv.org/abs/2603.01203</x:v>
      </x:c>
      <x:c r="P296" s="8" t="str">
        <x:v>把多个benchmark任务映射到职业领域与技能，分析其与就业和工资分布的差异。</x:v>
      </x:c>
      <x:c r="Q296" s="8" t="str">
        <x:v>直接支持领域与跨领域能力分开组织，也支持综述超出软件工程benchmark。</x:v>
      </x:c>
      <x:c r="R296" s="8" t="str">
        <x:v>映射依赖taxonomy、抽样和LLM标注；覆盖比例不等于充分测量或可自动化比例。</x:v>
      </x:c>
      <x:c r="S296" s="8" t="str">
        <x:v>核心</x:v>
      </x:c>
      <x:c r="T296" s="12" t="str">
        <x:v>未分配</x:v>
      </x:c>
      <x:c r="U296" s="12" t="str"/>
      <x:c r="V296" s="12" t="str"/>
      <x:c r="W296" s="12" t="str"/>
      <x:c r="X296" s="8" t="str">
        <x:v>verified</x:v>
      </x:c>
      <x:c r="Y296" s="11" t="str">
        <x:v>https://github.com/zorazrw/ai4work-resources</x:v>
      </x:c>
      <x:c r="Z296" s="11" t="str"/>
      <x:c r="AA296" s="11" t="str">
        <x:v>https://arxiv.org/pdf/2603.01203</x:v>
      </x:c>
      <x:c r="AB296" s="11" t="str">
        <x:v>https://arxiv.org/abs/2603.01203</x:v>
      </x:c>
      <x:c r="AC296" s="8" t="str">
        <x:v>L008</x:v>
      </x:c>
      <x:c r="AD296" s="8" t="str">
        <x:v>本轮新增候选；原文相关章节。</x:v>
      </x:c>
      <x:c r="AE296" s="8" t="str">
        <x:v>引言必要性；2.1 范围；第六章覆盖分析。</x:v>
      </x:c>
      <x:c r="AF296" s="8" t="str">
        <x:v>用于“定义与范围”：直接支持领域与跨领域能力分开组织，也支持综述超出软件工程benchmark。</x:v>
      </x:c>
      <x:c r="AG296" s="8" t="str">
        <x:v>related</x:v>
      </x:c>
      <x:c r="AH296" s="8" t="str">
        <x:v>occupational and skill coverage analysis</x:v>
      </x:c>
      <x:c r="AI296" s="8" t="str"/>
      <x:c r="AJ296" s="8" t="str">
        <x:v>2026-10-16 chapter 2 / former chapter 4 supplement</x:v>
      </x:c>
      <x:c r="AK296" s="13" t="d">
        <x:v>2026-10-16T00:00:00.000Z</x:v>
      </x:c>
      <x:c r="AL296" s="8" t="str">
        <x:v>本轮核验官方书目页、摘要与论文首页单位；来源阅读深度为书目材料原文，不代表本次全文阅读。</x:v>
      </x:c>
      <x:c r="AM296" s="8" t="str"/>
    </x:row>
    <x:row r="297" ht="68" customHeight="1">
      <x:c r="A297" s="8" t="str">
        <x:v>WA-0310</x:v>
      </x:c>
      <x:c r="B297" s="8" t="str">
        <x:v>Intelligent AI Delegation</x:v>
      </x:c>
      <x:c r="C297" s="8" t="str">
        <x:v>Intelligent AI Delegation</x:v>
      </x:c>
      <x:c r="D297" s="9" t="n">
        <x:v>2026</x:v>
      </x:c>
      <x:c r="E297" s="8" t="str">
        <x:v>Google DeepMind</x:v>
      </x:c>
      <x:c r="F297" s="10" t="str">
        <x:f>VLOOKUP(H297,'Taxonomy'!$A$6:$G$70,3,FALSE)</x:f>
        <x:v>基础：定义、工作条件与核心能力</x:v>
      </x:c>
      <x:c r="G297" s="10" t="str">
        <x:f>VLOOKUP(H297,'Taxonomy'!$A$6:$G$70,5,FALSE)</x:f>
        <x:v>定义与系统视角</x:v>
      </x:c>
      <x:c r="H297" s="8" t="str">
        <x:v>2.1.2</x:v>
      </x:c>
      <x:c r="I297" s="10" t="str">
        <x:f>VLOOKUP(H297,'Taxonomy'!$A$6:$G$70,6,FALSE)</x:f>
        <x:v>工作过程六要素</x:v>
      </x:c>
      <x:c r="J297" s="8" t="str">
        <x:v>委托、责任与权限;分布信息、澄清与协调;成果与实际状态核验</x:v>
      </x:c>
      <x:c r="K297" s="8" t="str">
        <x:v>规划与协调;执行与状态管理;验证、恢复与重新规划</x:v>
      </x:c>
      <x:c r="L297" s="8" t="str">
        <x:v>2.2.1 工作持久性;2.3.3 规划与协调</x:v>
      </x:c>
      <x:c r="M297" s="8" t="str"/>
      <x:c r="N297" s="8" t="str">
        <x:v>Background</x:v>
      </x:c>
      <x:c r="O297" s="11" t="str">
        <x:v>https://arxiv.org/abs/2602.11865</x:v>
      </x:c>
      <x:c r="P297" s="8" t="str">
        <x:v>§2.1把委托与权限、责任、角色边界、意图和信任联系起来，并讨论监测与可验证完成。</x:v>
      </x:c>
      <x:c r="Q297" s="8" t="str">
        <x:v>可强化Task不只是自然语言目标，还包括行动边界和完成条件的论证。</x:v>
      </x:c>
      <x:c r="R297" s="8" t="str">
        <x:v>概念框架提出设计要求，不能当作智能体已能可靠承担这些职责的实证。</x:v>
      </x:c>
      <x:c r="S297" s="8" t="str">
        <x:v>核心</x:v>
      </x:c>
      <x:c r="T297" s="12" t="str">
        <x:v>未分配</x:v>
      </x:c>
      <x:c r="U297" s="12" t="str"/>
      <x:c r="V297" s="12" t="str"/>
      <x:c r="W297" s="12" t="str"/>
      <x:c r="X297" s="8" t="str">
        <x:v>verified</x:v>
      </x:c>
      <x:c r="Y297" s="11" t="str"/>
      <x:c r="Z297" s="11" t="str"/>
      <x:c r="AA297" s="11" t="str">
        <x:v>https://arxiv.org/pdf/2602.11865</x:v>
      </x:c>
      <x:c r="AB297" s="11" t="str">
        <x:v>https://arxiv.org/abs/2602.11865</x:v>
      </x:c>
      <x:c r="AC297" s="8" t="str">
        <x:v>L010</x:v>
      </x:c>
      <x:c r="AD297" s="8" t="str">
        <x:v>本轮新增候选；原文相关章节。</x:v>
      </x:c>
      <x:c r="AE297" s="8" t="str">
        <x:v>2.1 Task与权限；2.2责任；2.3协调。</x:v>
      </x:c>
      <x:c r="AF297" s="8" t="str">
        <x:v>用于“工作过程六要素”：可强化Task不只是自然语言目标，还包括行动边界和完成条件的论证。</x:v>
      </x:c>
      <x:c r="AG297" s="8" t="str">
        <x:v>safety</x:v>
      </x:c>
      <x:c r="AH297" s="8" t="str">
        <x:v>delegation authority and accountability</x:v>
      </x:c>
      <x:c r="AI297" s="8" t="str"/>
      <x:c r="AJ297" s="8" t="str">
        <x:v>2026-10-16 chapter 2 / former chapter 4 supplement</x:v>
      </x:c>
      <x:c r="AK297" s="13" t="d">
        <x:v>2026-10-16T00:00:00.000Z</x:v>
      </x:c>
      <x:c r="AL297" s="8" t="str">
        <x:v>本轮核验官方书目页、摘要与论文首页单位；来源阅读深度为书目材料原文，不代表本次全文阅读。概念性委托框架，不以 Framework 类型暗示已发布可复用运行时。</x:v>
      </x:c>
      <x:c r="AM297" s="8" t="str"/>
    </x:row>
    <x:row r="298" ht="68" customHeight="1">
      <x:c r="A298" s="8" t="str">
        <x:v>WA-0311</x:v>
      </x:c>
      <x:c r="B298" s="8" t="str">
        <x:v>DELEGATE-52</x:v>
      </x:c>
      <x:c r="C298" s="8" t="str">
        <x:v>LLMs Corrupt Your Documents When You Delegate</x:v>
      </x:c>
      <x:c r="D298" s="9" t="n">
        <x:v>2026</x:v>
      </x:c>
      <x:c r="E298" s="8" t="str">
        <x:v>Microsoft Research</x:v>
      </x:c>
      <x:c r="F298" s="10" t="str">
        <x:f>VLOOKUP(H298,'Taxonomy'!$A$6:$G$70,3,FALSE)</x:f>
        <x:v>基础：定义、工作条件与核心能力</x:v>
      </x:c>
      <x:c r="G298" s="10" t="str">
        <x:f>VLOOKUP(H298,'Taxonomy'!$A$6:$G$70,5,FALSE)</x:f>
        <x:v>五项核心能力</x:v>
      </x:c>
      <x:c r="H298" s="8" t="str">
        <x:v>2.3.4</x:v>
      </x:c>
      <x:c r="I298" s="10" t="str">
        <x:f>VLOOKUP(H298,'Taxonomy'!$A$6:$G$70,6,FALSE)</x:f>
        <x:v>执行与状态管理</x:v>
      </x:c>
      <x:c r="J298" s="8" t="str">
        <x:v>连续编辑与内容保持;当前状态与版本有效性;成果与实际状态核验</x:v>
      </x:c>
      <x:c r="K298" s="8" t="str">
        <x:v>执行与状态管理;验证、恢复与重新规划</x:v>
      </x:c>
      <x:c r="L298" s="8" t="str">
        <x:v>2.2.1 工作持久性;2.3.5 验证、恢复与重新规划;6.2.1 评估目标与可观察证据</x:v>
      </x:c>
      <x:c r="M298" s="8" t="str"/>
      <x:c r="N298" s="8" t="str">
        <x:v>Benchmark</x:v>
      </x:c>
      <x:c r="O298" s="11" t="str">
        <x:v>https://arxiv.org/abs/2604.15597</x:v>
      </x:c>
      <x:c r="P298" s="8" t="str">
        <x:v>DELEGATE-52用可逆编辑与往返重建测量多轮委托过程中文档内容丢失/篡改。</x:v>
      </x:c>
      <x:c r="Q298" s="8" t="str">
        <x:v>为现稿“避免改变无关状态”和“恢复应保留已正确工作”提供直接且更贴办公对象的证据。</x:v>
      </x:c>
      <x:c r="R298" s="8" t="str">
        <x:v>主实验是文本文件上的独立单轮编辑串接，并非完整多轮对话；可逆性限制任务范围，往返不等于全部真实工作成功。</x:v>
      </x:c>
      <x:c r="S298" s="8" t="str">
        <x:v>核心</x:v>
      </x:c>
      <x:c r="T298" s="12" t="str">
        <x:v>未分配</x:v>
      </x:c>
      <x:c r="U298" s="12" t="str"/>
      <x:c r="V298" s="12" t="str"/>
      <x:c r="W298" s="12" t="str"/>
      <x:c r="X298" s="8" t="str">
        <x:v>verified</x:v>
      </x:c>
      <x:c r="Y298" s="11" t="str">
        <x:v>https://github.com/microsoft/DELEGATE52</x:v>
      </x:c>
      <x:c r="Z298" s="11" t="str"/>
      <x:c r="AA298" s="11" t="str">
        <x:v>https://arxiv.org/pdf/2604.15597</x:v>
      </x:c>
      <x:c r="AB298" s="11" t="str">
        <x:v>https://arxiv.org/abs/2604.15597</x:v>
      </x:c>
      <x:c r="AC298" s="8" t="str">
        <x:v>L013;AIO-119</x:v>
      </x:c>
      <x:c r="AD298" s="8" t="str">
        <x:v>本轮新增候选；原文相关章节。</x:v>
      </x:c>
      <x:c r="AE298" s="8" t="str">
        <x:v>2.2.1持续性；2.3.4状态管理；2.3.5避免回归；2.2 持久性；2.3 执行/验证。</x:v>
      </x:c>
      <x:c r="AF298" s="8" t="str">
        <x:v>用于“执行与状态管理”：为现稿“避免改变无关状态”和“恢复应保留已正确工作”提供直接且更贴办公对象的证据。 多轮可逆编辑和往返重建检验内容保持；腐蚀诊断分数不等于业务任务成功率。</x:v>
      </x:c>
      <x:c r="AG298" s="8" t="str">
        <x:v>artifact</x:v>
      </x:c>
      <x:c r="AH298" s="8" t="str">
        <x:v>document integrity under delegated editing</x:v>
      </x:c>
      <x:c r="AI298" s="8" t="str"/>
      <x:c r="AJ298" s="8" t="str">
        <x:v>2026-10-16 chapter 2 / former chapter 4 supplement;2026-10-16 AI Office survey bibliography</x:v>
      </x:c>
      <x:c r="AK298" s="13" t="d">
        <x:v>2026-10-16T00:00:00.000Z</x:v>
      </x:c>
      <x:c r="AL298" s="8" t="str">
        <x:v>本轮核验官方书目页、摘要与论文首页单位；来源阅读深度为书目材料原文，不代表本次全文阅读。</x:v>
      </x:c>
      <x:c r="AM298" s="8" t="str"/>
    </x:row>
    <x:row r="299" ht="68" customHeight="1">
      <x:c r="A299" s="8" t="str">
        <x:v>WA-0312</x:v>
      </x:c>
      <x:c r="B299" s="8" t="str">
        <x:v>LongDS-Bench</x:v>
      </x:c>
      <x:c r="C299" s="8" t="str">
        <x:v>LongDS-Bench: On the Failure of Long-Horizon Agentic Data Analysis</x:v>
      </x:c>
      <x:c r="D299" s="9" t="n">
        <x:v>2026</x:v>
      </x:c>
      <x:c r="E299" s="8" t="str">
        <x:v>Zhejiang University; Ant Group; Zhejiang University–Ant Group Joint Laboratory of Knowledge Graph</x:v>
      </x:c>
      <x:c r="F299" s="10" t="str">
        <x:f>VLOOKUP(H299,'Taxonomy'!$A$6:$G$70,3,FALSE)</x:f>
        <x:v>基础：定义、工作条件与核心能力</x:v>
      </x:c>
      <x:c r="G299" s="10" t="str">
        <x:f>VLOOKUP(H299,'Taxonomy'!$A$6:$G$70,5,FALSE)</x:f>
        <x:v>五项核心能力</x:v>
      </x:c>
      <x:c r="H299" s="8" t="str">
        <x:v>2.3.4</x:v>
      </x:c>
      <x:c r="I299" s="10" t="str">
        <x:f>VLOOKUP(H299,'Taxonomy'!$A$6:$G$70,6,FALSE)</x:f>
        <x:v>执行与状态管理</x:v>
      </x:c>
      <x:c r="J299" s="8" t="str">
        <x:v>当前状态与版本有效性;跨请求工作连续性;回滚、补偿与路径调整</x:v>
      </x:c>
      <x:c r="K299" s="8" t="str">
        <x:v>推理与决策;执行与状态管理;验证、恢复与重新规划</x:v>
      </x:c>
      <x:c r="L299" s="8" t="str">
        <x:v>2.2.1 工作持久性;2.3.5 验证、恢复与重新规划;6.1.2 领域覆盖与工作要求</x:v>
      </x:c>
      <x:c r="M299" s="8" t="str"/>
      <x:c r="N299" s="8" t="str">
        <x:v>Benchmark</x:v>
      </x:c>
      <x:c r="O299" s="11" t="str">
        <x:v>https://arxiv.org/abs/2605.30434</x:v>
      </x:c>
      <x:c r="P299" s="8" t="str">
        <x:v>基于持续执行环境构造多轮数据分析，后续请求依赖早先定义、过滤条件和中间结果，含更新、局部反事实、回滚及状态组合。</x:v>
      </x:c>
      <x:c r="Q299" s="8" t="str">
        <x:v>最直接补充“工作状态不是会话摘要”：要知道哪个定义/版本当前有效，以及临时修改是否应覆盖默认状态。</x:v>
      </x:c>
      <x:c r="R299" s="8" t="str">
        <x:v>任务主要转为可量化分析问题，未全面覆盖可视化交付；其多轮是用户请求序列，不能与工具回合混计。</x:v>
      </x:c>
      <x:c r="S299" s="8" t="str">
        <x:v>核心</x:v>
      </x:c>
      <x:c r="T299" s="12" t="str">
        <x:v>未分配</x:v>
      </x:c>
      <x:c r="U299" s="12" t="str"/>
      <x:c r="V299" s="12" t="str"/>
      <x:c r="W299" s="12" t="str"/>
      <x:c r="X299" s="8" t="str">
        <x:v>verified</x:v>
      </x:c>
      <x:c r="Y299" s="11" t="str">
        <x:v>https://github.com/zjunlp/DataMind</x:v>
      </x:c>
      <x:c r="Z299" s="11" t="str"/>
      <x:c r="AA299" s="11" t="str">
        <x:v>https://arxiv.org/pdf/2605.30434</x:v>
      </x:c>
      <x:c r="AB299" s="11" t="str">
        <x:v>https://arxiv.org/abs/2605.30434</x:v>
      </x:c>
      <x:c r="AC299" s="8" t="str">
        <x:v>L014</x:v>
      </x:c>
      <x:c r="AD299" s="8" t="str">
        <x:v>本轮新增候选；原文相关章节。</x:v>
      </x:c>
      <x:c r="AE299" s="8" t="str">
        <x:v>2.2持续性；2.3状态与恢复；6长程分析。</x:v>
      </x:c>
      <x:c r="AF299" s="8" t="str">
        <x:v>用于“执行与状态管理”：最直接补充“工作状态不是会话摘要”：要知道哪个定义/版本当前有效，以及临时修改是否应覆盖默认状态。 区分当前有效分析定义/版本与会话历史摘要。</x:v>
      </x:c>
      <x:c r="AG299" s="8" t="str">
        <x:v>persistent</x:v>
      </x:c>
      <x:c r="AH299" s="8" t="str">
        <x:v>cross-request analytical state evolution</x:v>
      </x:c>
      <x:c r="AI299" s="8" t="str"/>
      <x:c r="AJ299" s="8" t="str">
        <x:v>2026-10-16 chapter 2 / former chapter 4 supplement</x:v>
      </x:c>
      <x:c r="AK299" s="13" t="d">
        <x:v>2026-10-16T00:00:00.000Z</x:v>
      </x:c>
      <x:c r="AL299" s="8" t="str">
        <x:v>本轮核验官方书目页、摘要与论文首页单位；来源阅读深度为书目材料原文，不代表本次全文阅读。论文中基准简称 LongDS；官方代码位于 DataMind 仓库，不另计一篇。</x:v>
      </x:c>
      <x:c r="AM299" s="8" t="str"/>
    </x:row>
    <x:row r="300" ht="68" customHeight="1">
      <x:c r="A300" s="8" t="str">
        <x:v>WA-0313</x:v>
      </x:c>
      <x:c r="B300" s="8" t="str">
        <x:v>Office Comprehension Benchmark</x:v>
      </x:c>
      <x:c r="C300" s="8" t="str">
        <x:v>Office Comprehension Benchmark</x:v>
      </x:c>
      <x:c r="D300" s="9" t="n">
        <x:v>2026</x:v>
      </x:c>
      <x:c r="E300" s="8" t="str">
        <x:v>Microsoft</x:v>
      </x:c>
      <x:c r="F300" s="10" t="str">
        <x:f>VLOOKUP(H300,'Taxonomy'!$A$6:$G$70,3,FALSE)</x:f>
        <x:v>基础：定义、工作条件与核心能力</x:v>
      </x:c>
      <x:c r="G300" s="10" t="str">
        <x:f>VLOOKUP(H300,'Taxonomy'!$A$6:$G$70,5,FALSE)</x:f>
        <x:v>五项核心能力</x:v>
      </x:c>
      <x:c r="H300" s="8" t="str">
        <x:v>2.3.1</x:v>
      </x:c>
      <x:c r="I300" s="10" t="str">
        <x:f>VLOOKUP(H300,'Taxonomy'!$A$6:$G$70,6,FALSE)</x:f>
        <x:v>感知与理解</x:v>
      </x:c>
      <x:c r="J300" s="8" t="str">
        <x:v>对象结构、模态与语义;职业知识与专业判断;证据整合与推理</x:v>
      </x:c>
      <x:c r="K300" s="8" t="str">
        <x:v>感知与理解;推理与决策</x:v>
      </x:c>
      <x:c r="L300" s="8" t="str">
        <x:v>2.3.2 推理与决策;6.2.1 评估目标与可观察证据</x:v>
      </x:c>
      <x:c r="M300" s="8" t="str"/>
      <x:c r="N300" s="8" t="str">
        <x:v>Benchmark</x:v>
      </x:c>
      <x:c r="O300" s="11" t="str">
        <x:v>https://arxiv.org/abs/2607.01245</x:v>
      </x:c>
      <x:c r="P300" s="8" t="str">
        <x:v>以原生Word、Excel和PowerPoint文件设File Fidelity及Domain Q&amp;A两个轨道，逐原子断言评分。</x:v>
      </x:c>
      <x:c r="Q300" s="8" t="str">
        <x:v>很直接地支持“读对文字≠读懂对象”；还可用来解释感知与专业推理为何相关但不能合并。</x:v>
      </x:c>
      <x:c r="R300" s="8" t="str">
        <x:v>测理解/问答，不测原生文件写回或工作流完成；其人类基线不能无条件读成全面超人。</x:v>
      </x:c>
      <x:c r="S300" s="8" t="str">
        <x:v>核心</x:v>
      </x:c>
      <x:c r="T300" s="12" t="str">
        <x:v>未分配</x:v>
      </x:c>
      <x:c r="U300" s="12" t="str"/>
      <x:c r="V300" s="12" t="str"/>
      <x:c r="W300" s="12" t="str"/>
      <x:c r="X300" s="8" t="str">
        <x:v>verified</x:v>
      </x:c>
      <x:c r="Y300" s="11" t="str">
        <x:v>https://github.com/microsoft/OfficeComprehensionBench</x:v>
      </x:c>
      <x:c r="Z300" s="11" t="str">
        <x:v>https://huggingface.co/datasets/microsoft/OfficeComprehensionBenchmark</x:v>
      </x:c>
      <x:c r="AA300" s="11" t="str">
        <x:v>https://arxiv.org/pdf/2607.01245</x:v>
      </x:c>
      <x:c r="AB300" s="11" t="str">
        <x:v>https://arxiv.org/abs/2607.01245</x:v>
      </x:c>
      <x:c r="AC300" s="8" t="str">
        <x:v>L015</x:v>
      </x:c>
      <x:c r="AD300" s="8" t="str">
        <x:v>本轮新增候选；原文相关章节。</x:v>
      </x:c>
      <x:c r="AE300" s="8" t="str">
        <x:v>2.3.1工作对象语义；2.3.2领域推理；评估章能力划分。</x:v>
      </x:c>
      <x:c r="AF300" s="8" t="str">
        <x:v>用于“感知与理解”：很直接地支持“读对文字≠读懂对象”；还可用来解释感知与专业推理为何相关但不能合并。</x:v>
      </x:c>
      <x:c r="AG300" s="8" t="str">
        <x:v>related</x:v>
      </x:c>
      <x:c r="AH300" s="8" t="str">
        <x:v>native office file fidelity and domain question answering</x:v>
      </x:c>
      <x:c r="AI300" s="8" t="str"/>
      <x:c r="AJ300" s="8" t="str">
        <x:v>2026-10-16 chapter 2 / former chapter 4 supplement</x:v>
      </x:c>
      <x:c r="AK300" s="13" t="d">
        <x:v>2026-10-16T00:00:00.000Z</x:v>
      </x:c>
      <x:c r="AL300" s="8" t="str">
        <x:v>本轮核验官方书目页、摘要与论文首页单位；来源阅读深度为书目材料原文，不代表本次全文阅读。</x:v>
      </x:c>
      <x:c r="AM300" s="8" t="str"/>
    </x:row>
    <x:row r="301" ht="96" customHeight="1">
      <x:c r="A301" s="8" t="str">
        <x:v>WA-0314</x:v>
      </x:c>
      <x:c r="B301" s="8" t="str">
        <x:v>Open-World Evaluations for Measuring Frontier AI Capabilities</x:v>
      </x:c>
      <x:c r="C301" s="8" t="str">
        <x:v>Open-World Evaluations for Measuring Frontier AI Capabilities</x:v>
      </x:c>
      <x:c r="D301" s="9" t="n">
        <x:v>2026</x:v>
      </x:c>
      <x:c r="E301" s="8" t="str">
        <x:v>Princeton University; Cornflower Labs; Meridian Labs; Stanford University; UK AI Security Institute; Johns Hopkins University; Adaption Labs; Australian National University; Golden Gate Institute for AI; University of Wisconsin-Madison; Microsoft Research; AI Digest; Georgetown University (CSET)</x:v>
      </x:c>
      <x:c r="F301" s="10" t="str">
        <x:f>VLOOKUP(H301,'Taxonomy'!$A$6:$G$70,3,FALSE)</x:f>
        <x:v>基础：定义、工作条件与核心能力</x:v>
      </x:c>
      <x:c r="G301" s="10" t="str">
        <x:f>VLOOKUP(H301,'Taxonomy'!$A$6:$G$70,5,FALSE)</x:f>
        <x:v>工作条件</x:v>
      </x:c>
      <x:c r="H301" s="8" t="str">
        <x:v>2.2.2</x:v>
      </x:c>
      <x:c r="I301" s="10" t="str">
        <x:f>VLOOKUP(H301,'Taxonomy'!$A$6:$G$70,6,FALSE)</x:f>
        <x:v>工作开放性</x:v>
      </x:c>
      <x:c r="J301" s="8" t="str">
        <x:v>开放与变化条件;任务覆盖与泛化边界;答案、产物、状态与过程证据</x:v>
      </x:c>
      <x:c r="K301" s="8" t="str">
        <x:v>规划与协调;执行与状态管理;验证、恢复与重新规划</x:v>
      </x:c>
      <x:c r="L301" s="8" t="str">
        <x:v>6.1.2 领域覆盖与工作要求</x:v>
      </x:c>
      <x:c r="M301" s="8" t="str"/>
      <x:c r="N301" s="8" t="str">
        <x:v>Background</x:v>
      </x:c>
      <x:c r="O301" s="11" t="str">
        <x:v>https://arxiv.org/abs/2605.20520</x:v>
      </x:c>
      <x:c r="P301" s="8" t="str">
        <x:v>主张用开放世界、较长跨度的真实项目评价补充标准基准，并讨论具体项目案例。</x:v>
      </x:c>
      <x:c r="Q301" s="8" t="str">
        <x:v>支撑材料、目标和环境不断变化的工作场景为何需要额外证据。</x:v>
      </x:c>
      <x:c r="R301" s="8" t="str">
        <x:v>小样本项目案例不能代表总体成功率或职业可替代程度。</x:v>
      </x:c>
      <x:c r="S301" s="8" t="str">
        <x:v>核心</x:v>
      </x:c>
      <x:c r="T301" s="12" t="str">
        <x:v>未分配</x:v>
      </x:c>
      <x:c r="U301" s="12" t="str"/>
      <x:c r="V301" s="12" t="str"/>
      <x:c r="W301" s="12" t="str"/>
      <x:c r="X301" s="8" t="str">
        <x:v>verified</x:v>
      </x:c>
      <x:c r="Y301" s="11" t="str"/>
      <x:c r="Z301" s="11" t="str"/>
      <x:c r="AA301" s="11" t="str">
        <x:v>https://arxiv.org/pdf/2605.20520</x:v>
      </x:c>
      <x:c r="AB301" s="11" t="str">
        <x:v>https://arxiv.org/abs/2605.20520</x:v>
      </x:c>
      <x:c r="AC301" s="8" t="str">
        <x:v>L018</x:v>
      </x:c>
      <x:c r="AD301" s="8" t="str">
        <x:v>本轮新增候选；官方摘要。</x:v>
      </x:c>
      <x:c r="AE301" s="8" t="str">
        <x:v>2.2开放性；第六章评估范围。</x:v>
      </x:c>
      <x:c r="AF301" s="8" t="str">
        <x:v>用于“工作开放性”：支撑材料、目标和环境不断变化的工作场景为何需要额外证据。</x:v>
      </x:c>
      <x:c r="AG301" s="8" t="str">
        <x:v>related</x:v>
      </x:c>
      <x:c r="AH301" s="8" t="str">
        <x:v>small-sample qualitative open-world evaluation</x:v>
      </x:c>
      <x:c r="AI301" s="8" t="str"/>
      <x:c r="AJ301" s="8" t="str">
        <x:v>2026-10-16 chapter 2 / former chapter 4 supplement</x:v>
      </x:c>
      <x:c r="AK301" s="13" t="d">
        <x:v>2026-10-16T00:00:00.000Z</x:v>
      </x:c>
      <x:c r="AL301" s="8" t="str">
        <x:v>本轮核验官方书目页、摘要与论文首页单位；来源阅读深度为书目材料原文，不代表本次全文阅读。开放世界评价的倡议与小样本项目研究，不记作统一、已全面验证的通用 benchmark。</x:v>
      </x:c>
      <x:c r="AM301" s="8" t="str"/>
    </x:row>
    <x:row r="302" ht="68" customHeight="1">
      <x:c r="A302" s="8" t="str">
        <x:v>WA-0315</x:v>
      </x:c>
      <x:c r="B302" s="8" t="str">
        <x:v>PPT-Eval</x:v>
      </x:c>
      <x:c r="C302" s="8" t="str">
        <x:v>PPT-Eval: A Benchmark for Computer-Use Agents on PowerPoint Tasks</x:v>
      </x:c>
      <x:c r="D302" s="9" t="n">
        <x:v>2026</x:v>
      </x:c>
      <x:c r="E302" s="8" t="str">
        <x:v>Carnegie Mellon University; Microsoft; University of Massachusetts Amherst</x:v>
      </x:c>
      <x:c r="F302" s="10" t="str">
        <x:f>VLOOKUP(H302,'Taxonomy'!$A$6:$G$70,3,FALSE)</x:f>
        <x:v>基础：定义、工作条件与核心能力</x:v>
      </x:c>
      <x:c r="G302" s="10" t="str">
        <x:f>VLOOKUP(H302,'Taxonomy'!$A$6:$G$70,5,FALSE)</x:f>
        <x:v>五项核心能力</x:v>
      </x:c>
      <x:c r="H302" s="8" t="str">
        <x:v>2.3.4</x:v>
      </x:c>
      <x:c r="I302" s="10" t="str">
        <x:f>VLOOKUP(H302,'Taxonomy'!$A$6:$G$70,6,FALSE)</x:f>
        <x:v>执行与状态管理</x:v>
      </x:c>
      <x:c r="J302" s="8" t="str">
        <x:v>原生工件生成与编辑;连续编辑与内容保持;标准、量规与裁判</x:v>
      </x:c>
      <x:c r="K302" s="8" t="str">
        <x:v>感知与理解;执行与状态管理;验证、恢复与重新规划</x:v>
      </x:c>
      <x:c r="L302" s="8" t="str">
        <x:v>2.3.5 验证、恢复与重新规划;6.2.2 评判程序</x:v>
      </x:c>
      <x:c r="M302" s="8" t="str"/>
      <x:c r="N302" s="8" t="str">
        <x:v>Benchmark</x:v>
      </x:c>
      <x:c r="O302" s="11" t="str">
        <x:v>https://arxiv.org/abs/2606.31154</x:v>
      </x:c>
      <x:c r="P302" s="8" t="str">
        <x:v>以创建/编辑任务的细粒度量规评估进度，包含非必要更改与美观问题的扣分。</x:v>
      </x:c>
      <x:c r="Q302" s="8" t="str">
        <x:v>补充“完成目标”之外的保持原有正确内容，并避免二元成功掩盖部分进展。</x:v>
      </x:c>
      <x:c r="R302" s="8" t="str">
        <x:v>与PPTAgent论文中的PPTEval不是同一个资源；不要因名称相近合并数据或结论。</x:v>
      </x:c>
      <x:c r="S302" s="8" t="str">
        <x:v>核心</x:v>
      </x:c>
      <x:c r="T302" s="12" t="str">
        <x:v>未分配</x:v>
      </x:c>
      <x:c r="U302" s="12" t="str"/>
      <x:c r="V302" s="12" t="str"/>
      <x:c r="W302" s="12" t="str"/>
      <x:c r="X302" s="8" t="str">
        <x:v>verified</x:v>
      </x:c>
      <x:c r="Y302" s="11" t="str">
        <x:v>https://github.com/microsoft/PPTEval</x:v>
      </x:c>
      <x:c r="Z302" s="11" t="str"/>
      <x:c r="AA302" s="11" t="str">
        <x:v>https://arxiv.org/pdf/2606.31154</x:v>
      </x:c>
      <x:c r="AB302" s="11" t="str">
        <x:v>https://arxiv.org/abs/2606.31154</x:v>
      </x:c>
      <x:c r="AC302" s="8" t="str">
        <x:v>L019</x:v>
      </x:c>
      <x:c r="AD302" s="8" t="str">
        <x:v>本轮新增候选；官方摘要。</x:v>
      </x:c>
      <x:c r="AE302" s="8" t="str">
        <x:v>2.3.4图形软件执行；2.3.5可观察检查；评估章rubric。</x:v>
      </x:c>
      <x:c r="AF302" s="8" t="str">
        <x:v>用于“执行与状态管理”：补充“完成目标”之外的保持原有正确内容，并避免二元成功掩盖部分进展。</x:v>
      </x:c>
      <x:c r="AG302" s="8" t="str">
        <x:v>artifact</x:v>
      </x:c>
      <x:c r="AH302" s="8" t="str">
        <x:v>PowerPoint Online GUI creation and editing</x:v>
      </x:c>
      <x:c r="AI302" s="8" t="str"/>
      <x:c r="AJ302" s="8" t="str">
        <x:v>2026-10-16 chapter 2 / former chapter 4 supplement</x:v>
      </x:c>
      <x:c r="AK302" s="13" t="d">
        <x:v>2026-10-16T00:00:00.000Z</x:v>
      </x:c>
      <x:c r="AL302" s="8" t="str">
        <x:v>本轮核验官方书目页、摘要与论文首页单位；来源阅读深度为书目材料原文，不代表本次全文阅读。PPT-Eval 与 PPTAgent 论文中的 PPTEval 为不同资源。单位按完成工作时的 CMU、Microsoft、UMass 记录；首页注明的后续 Google/Snowflake 任职不计入。</x:v>
      </x:c>
      <x:c r="AM302" s="8" t="str"/>
    </x:row>
    <x:row r="303" ht="68" customHeight="1">
      <x:c r="A303" s="8" t="str">
        <x:v>WA-0316</x:v>
      </x:c>
      <x:c r="B303" s="8" t="str">
        <x:v>WeaveBench</x:v>
      </x:c>
      <x:c r="C303" s="8" t="str">
        <x:v>WeaveBench: A Long-Horizon, Real-World Benchmark for Computer-Use Agents with Hybrid Interfaces</x:v>
      </x:c>
      <x:c r="D303" s="9" t="n">
        <x:v>2026</x:v>
      </x:c>
      <x:c r="E303" s="8" t="str">
        <x:v>Microsoft Research Asia; Tsinghua University</x:v>
      </x:c>
      <x:c r="F303" s="10" t="str">
        <x:f>VLOOKUP(H303,'Taxonomy'!$A$6:$G$70,3,FALSE)</x:f>
        <x:v>评估与资源：如何检验工作完成</x:v>
      </x:c>
      <x:c r="G303" s="10" t="str">
        <x:f>VLOOKUP(H303,'Taxonomy'!$A$6:$G$70,5,FALSE)</x:f>
        <x:v>评估方法</x:v>
      </x:c>
      <x:c r="H303" s="8" t="str">
        <x:v>6.2.1</x:v>
      </x:c>
      <x:c r="I303" s="10" t="str">
        <x:f>VLOOKUP(H303,'Taxonomy'!$A$6:$G$70,6,FALSE)</x:f>
        <x:v>评估目标与可观察证据</x:v>
      </x:c>
      <x:c r="J303" s="8" t="str">
        <x:v>答案、产物、状态与过程证据;工具、界面与应用执行;任务、环境与扰动构造</x:v>
      </x:c>
      <x:c r="K303" s="8" t="str">
        <x:v>感知与理解;规划与协调;执行与状态管理;验证、恢复与重新规划</x:v>
      </x:c>
      <x:c r="L303" s="8" t="str">
        <x:v>2.3.4 执行与状态管理;2.3.5 验证、恢复与重新规划;6.1.1 任务构造策略</x:v>
      </x:c>
      <x:c r="M303" s="8" t="str"/>
      <x:c r="N303" s="8" t="str">
        <x:v>Benchmark</x:v>
      </x:c>
      <x:c r="O303" s="11" t="str">
        <x:v>https://arxiv.org/abs/2606.09426</x:v>
      </x:c>
      <x:c r="P303" s="8" t="str">
        <x:v>要求同一任务交替使用GUI与命令行或代码；评价器检查产物、截图、文件与操作轨迹，并识别违反任务规定的捷径。</x:v>
      </x:c>
      <x:c r="Q303" s="8" t="str">
        <x:v>“提供多个接口”和“任务必须协调多个接口”应区分；有力支持为什么只看最终产物有时会误判工作完成。</x:v>
      </x:c>
      <x:c r="R303" s="8" t="str">
        <x:v>论文对其他基准的比较仍需独立核查；其特定轨迹约束不能视为所有工作通用规范。</x:v>
      </x:c>
      <x:c r="S303" s="8" t="str">
        <x:v>核心</x:v>
      </x:c>
      <x:c r="T303" s="12" t="str">
        <x:v>未分配</x:v>
      </x:c>
      <x:c r="U303" s="12" t="str"/>
      <x:c r="V303" s="12" t="str"/>
      <x:c r="W303" s="12" t="str"/>
      <x:c r="X303" s="8" t="str">
        <x:v>verified</x:v>
      </x:c>
      <x:c r="Y303" s="11" t="str">
        <x:v>https://github.com/weavebench/WeaveBench</x:v>
      </x:c>
      <x:c r="Z303" s="11" t="str">
        <x:v>https://huggingface.co/datasets/wanlilll/WeaveBench</x:v>
      </x:c>
      <x:c r="AA303" s="11" t="str">
        <x:v>https://arxiv.org/pdf/2606.09426</x:v>
      </x:c>
      <x:c r="AB303" s="11" t="str">
        <x:v>https://arxiv.org/abs/2606.09426</x:v>
      </x:c>
      <x:c r="AC303" s="8" t="str">
        <x:v>L024</x:v>
      </x:c>
      <x:c r="AD303" s="8" t="str">
        <x:v>本轮新增候选；原文相关章节。</x:v>
      </x:c>
      <x:c r="AE303" s="8" t="str">
        <x:v>2.3执行与验证；6混合环境与轨迹审计。</x:v>
      </x:c>
      <x:c r="AF303" s="8" t="str">
        <x:v>用于“评估目标与可观察证据”：“提供多个接口”和“任务必须协调多个接口”应区分；有力支持为什么只看最终产物有时会误判工作完成。 以轨迹审计区分接口数量、实际交替依赖和违规捷径。</x:v>
      </x:c>
      <x:c r="AG303" s="8" t="str">
        <x:v>computer-use</x:v>
      </x:c>
      <x:c r="AH303" s="8" t="str">
        <x:v>required GUI and CLI/code orchestration</x:v>
      </x:c>
      <x:c r="AI303" s="8" t="str"/>
      <x:c r="AJ303" s="8" t="str">
        <x:v>2026-10-16 chapter 2 / former chapter 4 supplement</x:v>
      </x:c>
      <x:c r="AK303" s="13" t="d">
        <x:v>2026-10-16T00:00:00.000Z</x:v>
      </x:c>
      <x:c r="AL303" s="8" t="str">
        <x:v>本轮核验官方书目页、摘要与论文首页单位；来源阅读深度为书目材料原文，不代表本次全文阅读。</x:v>
      </x:c>
      <x:c r="AM303" s="8" t="str"/>
    </x:row>
    <x:row r="304" ht="68" customHeight="1">
      <x:c r="A304" s="8" t="str">
        <x:v>WA-0317</x:v>
      </x:c>
      <x:c r="B304" s="8" t="str">
        <x:v>A Comprehensive Survey of Agents for Computer Use: Foundations, Challenges, and Future Directions</x:v>
      </x:c>
      <x:c r="C304" s="8" t="str">
        <x:v>A Comprehensive Survey of Agents for Computer Use: Foundations, Challenges, and Future Directions</x:v>
      </x:c>
      <x:c r="D304" s="9" t="n">
        <x:v>2025</x:v>
      </x:c>
      <x:c r="E304" s="8" t="str">
        <x:v>Zurich University of Applied Sciences; University of Zurich; ETH AI Center; Polytechnique Montréal; University of Fribourg; AlpineAI; European Centre for Living Technology</x:v>
      </x:c>
      <x:c r="F304" s="10" t="str">
        <x:f>VLOOKUP(H304,'Taxonomy'!$A$6:$G$70,3,FALSE)</x:f>
        <x:v>基础：定义、工作条件与核心能力</x:v>
      </x:c>
      <x:c r="G304" s="10" t="str">
        <x:f>VLOOKUP(H304,'Taxonomy'!$A$6:$G$70,5,FALSE)</x:f>
        <x:v>相关智能体范式</x:v>
      </x:c>
      <x:c r="H304" s="8" t="str">
        <x:v>2.4.2</x:v>
      </x:c>
      <x:c r="I304" s="10" t="str">
        <x:f>VLOOKUP(H304,'Taxonomy'!$A$6:$G$70,6,FALSE)</x:f>
        <x:v>计算机使用智能体</x:v>
      </x:c>
      <x:c r="J304" s="8" t="str">
        <x:v>范式与自主性边界;对象结构、模态与语义;工具、界面与应用执行</x:v>
      </x:c>
      <x:c r="K304" s="8" t="str">
        <x:v>感知与理解;推理与决策;规划与协调;执行与状态管理</x:v>
      </x:c>
      <x:c r="L304" s="8" t="str">
        <x:v>2.3.1 感知与理解;2.3.4 执行与状态管理;6.1.2 领域覆盖与工作要求</x:v>
      </x:c>
      <x:c r="M304" s="8" t="str"/>
      <x:c r="N304" s="8" t="str">
        <x:v>Survey</x:v>
      </x:c>
      <x:c r="O304" s="11" t="str">
        <x:v>https://arxiv.org/abs/2501.16150</x:v>
      </x:c>
      <x:c r="P304" s="8" t="str">
        <x:v>按领域、交互方式与智能体组织计算机使用研究，区分观察与行动接口。</x:v>
      </x:c>
      <x:c r="Q304" s="8" t="str">
        <x:v>支撑文件材料、观察表示、执行接口分列；也说明computer use是实现交互的一种路线。</x:v>
      </x:c>
      <x:c r="R304" s="8" t="str">
        <x:v>同一arXiv的旧题名为AI Agents for Computer Use: A Review...；不能重复计数。</x:v>
      </x:c>
      <x:c r="S304" s="8" t="str">
        <x:v>核心</x:v>
      </x:c>
      <x:c r="T304" s="12" t="str">
        <x:v>未分配</x:v>
      </x:c>
      <x:c r="U304" s="12" t="str"/>
      <x:c r="V304" s="12" t="str"/>
      <x:c r="W304" s="12" t="str"/>
      <x:c r="X304" s="8" t="str">
        <x:v>verified</x:v>
      </x:c>
      <x:c r="Y304" s="11" t="str"/>
      <x:c r="Z304" s="11" t="str"/>
      <x:c r="AA304" s="11" t="str">
        <x:v>https://arxiv.org/pdf/2501.16150</x:v>
      </x:c>
      <x:c r="AB304" s="11" t="str">
        <x:v>https://arxiv.org/abs/2501.16150</x:v>
      </x:c>
      <x:c r="AC304" s="8" t="str">
        <x:v>L026</x:v>
      </x:c>
      <x:c r="AD304" s="8" t="str">
        <x:v>本轮新增候选；官方摘要。</x:v>
      </x:c>
      <x:c r="AE304" s="8" t="str">
        <x:v>2.4计算机使用智能体；原第四章表格口径。</x:v>
      </x:c>
      <x:c r="AF304" s="8" t="str">
        <x:v>用于“计算机使用智能体”：支撑文件材料、观察表示、执行接口分列；也说明computer use是实现交互的一种路线。</x:v>
      </x:c>
      <x:c r="AG304" s="8" t="str">
        <x:v>computer-use</x:v>
      </x:c>
      <x:c r="AH304" s="8" t="str">
        <x:v>computer-use domain interaction and agent taxonomy</x:v>
      </x:c>
      <x:c r="AI304" s="8" t="str"/>
      <x:c r="AJ304" s="8" t="str">
        <x:v>2026-10-16 chapter 2 / former chapter 4 supplement</x:v>
      </x:c>
      <x:c r="AK304" s="13" t="d">
        <x:v>2026-10-16T00:00:00.000Z</x:v>
      </x:c>
      <x:c r="AL304" s="8" t="str">
        <x:v>本轮核验官方书目页、摘要与论文首页单位；来源阅读深度为书目材料原文，不代表本次全文阅读。首次提交 2025-01-27；当前 v3 于 2026 修订题名，旧题名 AI Agents for Computer Use: A Review ... 与本条属于同一 arXiv，勿重复计数。</x:v>
      </x:c>
      <x:c r="AM304" s="8" t="str"/>
    </x:row>
    <x:row r="305" ht="166" customHeight="1">
      <x:c r="A305" s="8" t="str">
        <x:v>WA-0318</x:v>
      </x:c>
      <x:c r="B305" s="8" t="str">
        <x:v>Advances and Challenges in Foundation Agents</x:v>
      </x:c>
      <x:c r="C305" s="8" t="str">
        <x:v>Advances and Challenges in Foundation Agents: From Brain-Inspired Intelligence to Evolutionary, Collaborative, and Safe Systems</x:v>
      </x:c>
      <x:c r="D305" s="9" t="n">
        <x:v>2025</x:v>
      </x:c>
      <x:c r="E305" s="8" t="str">
        <x:v>MetaGPT; Université de Montréal; Mila; Nanyang Technological University; Argonne National Laboratory; University of Sydney; Pennsylvania State University; Microsoft Research Asia; University of Illinois Urbana-Champaign; Hong Kong University of Science and Technology; University of Southern California; Yale University; Stanford University; University of Georgia; Ohio State University; King Abdullah University of Science and Technology; Duke University; Hong Kong Polytechnic University; Google DeepMind</x:v>
      </x:c>
      <x:c r="F305" s="10" t="str">
        <x:f>VLOOKUP(H305,'Taxonomy'!$A$6:$G$70,3,FALSE)</x:f>
        <x:v>基础：定义、工作条件与核心能力</x:v>
      </x:c>
      <x:c r="G305" s="10" t="str">
        <x:f>VLOOKUP(H305,'Taxonomy'!$A$6:$G$70,5,FALSE)</x:f>
        <x:v>相关智能体范式</x:v>
      </x:c>
      <x:c r="H305" s="8" t="str">
        <x:v>2.4.4</x:v>
      </x:c>
      <x:c r="I305" s="10" t="str">
        <x:f>VLOOKUP(H305,'Taxonomy'!$A$6:$G$70,6,FALSE)</x:f>
        <x:v>范式间关系</x:v>
      </x:c>
      <x:c r="J305" s="8" t="str">
        <x:v>定义、系统职责与工作循环;范式与自主性边界</x:v>
      </x:c>
      <x:c r="K305" s="8" t="str">
        <x:v>感知与理解;推理与决策;规划与协调;执行与状态管理</x:v>
      </x:c>
      <x:c r="L305" s="8" t="str">
        <x:v>2.1.2 工作过程六要素;2.3 五项核心能力</x:v>
      </x:c>
      <x:c r="M305" s="8" t="str"/>
      <x:c r="N305" s="8" t="str">
        <x:v>Survey</x:v>
      </x:c>
      <x:c r="O305" s="11" t="str">
        <x:v>https://arxiv.org/abs/2504.01990</x:v>
      </x:c>
      <x:c r="P305" s="8" t="str">
        <x:v>按认知、记忆、世界模型、感知、行动和协作组织通用agent研究。</x:v>
      </x:c>
      <x:c r="Q305" s="8" t="str">
        <x:v>提供模块之间为何连接的对照，本稿应通过工作要求解释能力组合。</x:v>
      </x:c>
      <x:c r="R305" s="8" t="str">
        <x:v>不为本稿六要素/五形态提供既定标准；无需照搬其所有模块。</x:v>
      </x:c>
      <x:c r="S305" s="8" t="str">
        <x:v>核心</x:v>
      </x:c>
      <x:c r="T305" s="12" t="str">
        <x:v>未分配</x:v>
      </x:c>
      <x:c r="U305" s="12" t="str"/>
      <x:c r="V305" s="12" t="str"/>
      <x:c r="W305" s="12" t="str"/>
      <x:c r="X305" s="8" t="str">
        <x:v>verified</x:v>
      </x:c>
      <x:c r="Y305" s="11" t="str">
        <x:v>https://github.com/FoundationAgents/awesome-foundation-agents</x:v>
      </x:c>
      <x:c r="Z305" s="11" t="str"/>
      <x:c r="AA305" s="11" t="str">
        <x:v>https://arxiv.org/pdf/2504.01990</x:v>
      </x:c>
      <x:c r="AB305" s="11" t="str">
        <x:v>https://arxiv.org/abs/2504.01990</x:v>
      </x:c>
      <x:c r="AC305" s="8" t="str">
        <x:v>L027</x:v>
      </x:c>
      <x:c r="AD305" s="8" t="str">
        <x:v>本轮新增候选；原文相关章节。</x:v>
      </x:c>
      <x:c r="AE305" s="8" t="str">
        <x:v>2.3 能力组织；2.4 相关范式；2.1系统视角；2.4相关范式。</x:v>
      </x:c>
      <x:c r="AF305" s="8" t="str">
        <x:v>用于“范式间关系”：提供模块之间为何连接的对照，本稿应通过工作要求解释能力组合。</x:v>
      </x:c>
      <x:c r="AG305" s="8" t="str">
        <x:v>harness</x:v>
      </x:c>
      <x:c r="AH305" s="8" t="str">
        <x:v>modular foundation agent architecture and evolution</x:v>
      </x:c>
      <x:c r="AI305" s="8" t="str"/>
      <x:c r="AJ305" s="8" t="str">
        <x:v>2026-10-16 chapter 2 / former chapter 4 supplement</x:v>
      </x:c>
      <x:c r="AK305" s="13" t="d">
        <x:v>2026-10-16T00:00:00.000Z</x:v>
      </x:c>
      <x:c r="AL305" s="8" t="str">
        <x:v>本轮核验官方书目页、摘要与论文首页单位；来源阅读深度为书目材料原文，不代表本次全文阅读。按 PDF 首页记录参与单位；Canada CIFAR AI Chair 是职位/项目名，未另作机构。</x:v>
      </x:c>
      <x:c r="AM305" s="8" t="str"/>
    </x:row>
    <x:row r="306" ht="68" customHeight="1">
      <x:c r="A306" s="8" t="str">
        <x:v>WA-0319</x:v>
      </x:c>
      <x:c r="B306" s="8" t="str">
        <x:v>Hell or High Water</x:v>
      </x:c>
      <x:c r="C306" s="8" t="str">
        <x:v>Hell or High Water: Evaluating Agentic Recovery from External Failures</x:v>
      </x:c>
      <x:c r="D306" s="9" t="n">
        <x:v>2025</x:v>
      </x:c>
      <x:c r="E306" s="8" t="str">
        <x:v>Johns Hopkins University</x:v>
      </x:c>
      <x:c r="F306" s="10" t="str">
        <x:f>VLOOKUP(H306,'Taxonomy'!$A$6:$G$70,3,FALSE)</x:f>
        <x:v>基础：定义、工作条件与核心能力</x:v>
      </x:c>
      <x:c r="G306" s="10" t="str">
        <x:f>VLOOKUP(H306,'Taxonomy'!$A$6:$G$70,5,FALSE)</x:f>
        <x:v>五项核心能力</x:v>
      </x:c>
      <x:c r="H306" s="8" t="str">
        <x:v>2.3.5</x:v>
      </x:c>
      <x:c r="I306" s="10" t="str">
        <x:f>VLOOKUP(H306,'Taxonomy'!$A$6:$G$70,6,FALSE)</x:f>
        <x:v>验证、恢复与重新规划</x:v>
      </x:c>
      <x:c r="J306" s="8" t="str">
        <x:v>回滚、补偿与路径调整;失败定位与根因诊断;任务、环境与扰动构造</x:v>
      </x:c>
      <x:c r="K306" s="8" t="str">
        <x:v>推理与决策;规划与协调;执行与状态管理;验证、恢复与重新规划</x:v>
      </x:c>
      <x:c r="L306" s="8" t="str">
        <x:v>2.2.2 工作开放性;6.1.1 任务构造策略</x:v>
      </x:c>
      <x:c r="M306" s="8" t="str"/>
      <x:c r="N306" s="8" t="str">
        <x:v>Benchmark</x:v>
      </x:c>
      <x:c r="O306" s="11" t="str">
        <x:v>https://arxiv.org/abs/2508.11027</x:v>
      </x:c>
      <x:c r="P306" s="8" t="str">
        <x:v>在函数组合任务中使原可用功能突然失效，同时保证仍存在可行替代路径，考察备用计划。</x:v>
      </x:c>
      <x:c r="Q306" s="8" t="str">
        <x:v>区分任务本来不可解和智能体未能适应外部变化；很适合支撑重新规划作为独立工作要求。</x:v>
      </x:c>
      <x:c r="R306" s="8" t="str">
        <x:v>受控函数环境的可解性保证不等于真实开放环境总有替代路径。</x:v>
      </x:c>
      <x:c r="S306" s="8" t="str">
        <x:v>核心</x:v>
      </x:c>
      <x:c r="T306" s="12" t="str">
        <x:v>未分配</x:v>
      </x:c>
      <x:c r="U306" s="12" t="str"/>
      <x:c r="V306" s="12" t="str"/>
      <x:c r="W306" s="12" t="str"/>
      <x:c r="X306" s="8" t="str">
        <x:v>verified</x:v>
      </x:c>
      <x:c r="Y306" s="11" t="str">
        <x:v>https://github.com/JHU-CLSP/hell-or-high-water</x:v>
      </x:c>
      <x:c r="Z306" s="11" t="str"/>
      <x:c r="AA306" s="11" t="str">
        <x:v>https://arxiv.org/pdf/2508.11027</x:v>
      </x:c>
      <x:c r="AB306" s="11" t="str">
        <x:v>https://arxiv.org/abs/2508.11027</x:v>
      </x:c>
      <x:c r="AC306" s="8" t="str">
        <x:v>L030</x:v>
      </x:c>
      <x:c r="AD306" s="8" t="str">
        <x:v>本轮新增候选；官方摘要。</x:v>
      </x:c>
      <x:c r="AE306" s="8" t="str">
        <x:v>2.3恢复与重新规划；6故障注入。</x:v>
      </x:c>
      <x:c r="AF306" s="8" t="str">
        <x:v>用于“验证、恢复与重新规划”：区分任务本来不可解和智能体未能适应外部变化；很适合支撑重新规划作为独立工作要求。</x:v>
      </x:c>
      <x:c r="AG306" s="8" t="str">
        <x:v>verification</x:v>
      </x:c>
      <x:c r="AH306" s="8" t="str">
        <x:v>backup planning under externally failing functions</x:v>
      </x:c>
      <x:c r="AI306" s="8" t="str"/>
      <x:c r="AJ306" s="8" t="str">
        <x:v>2026-10-16 chapter 2 / former chapter 4 supplement</x:v>
      </x:c>
      <x:c r="AK306" s="13" t="d">
        <x:v>2026-10-16T00:00:00.000Z</x:v>
      </x:c>
      <x:c r="AL306" s="8" t="str">
        <x:v>本轮核验官方书目页、摘要与论文首页单位；来源阅读深度为书目材料原文，不代表本次全文阅读。</x:v>
      </x:c>
      <x:c r="AM306" s="8" t="str"/>
    </x:row>
    <x:row r="307" ht="68" customHeight="1">
      <x:c r="A307" s="8" t="str">
        <x:v>WA-0320</x:v>
      </x:c>
      <x:c r="B307" s="8" t="str">
        <x:v>MMDocIR</x:v>
      </x:c>
      <x:c r="C307" s="8" t="str">
        <x:v>MMDocIR: Benchmarking Multimodal Retrieval for Long Documents</x:v>
      </x:c>
      <x:c r="D307" s="9" t="n">
        <x:v>2025</x:v>
      </x:c>
      <x:c r="E307" s="8" t="str">
        <x:v>Huawei Technologies</x:v>
      </x:c>
      <x:c r="F307" s="10" t="str">
        <x:f>VLOOKUP(H307,'Taxonomy'!$A$6:$G$70,3,FALSE)</x:f>
        <x:v>基础：定义、工作条件与核心能力</x:v>
      </x:c>
      <x:c r="G307" s="10" t="str">
        <x:f>VLOOKUP(H307,'Taxonomy'!$A$6:$G$70,5,FALSE)</x:f>
        <x:v>五项核心能力</x:v>
      </x:c>
      <x:c r="H307" s="8" t="str">
        <x:v>2.3.1</x:v>
      </x:c>
      <x:c r="I307" s="10" t="str">
        <x:f>VLOOKUP(H307,'Taxonomy'!$A$6:$G$70,6,FALSE)</x:f>
        <x:v>感知与理解</x:v>
      </x:c>
      <x:c r="J307" s="8" t="str">
        <x:v>材料发现与证据定位;对象结构、模态与语义;答案、产物、状态与过程证据</x:v>
      </x:c>
      <x:c r="K307" s="8" t="str">
        <x:v>感知与理解</x:v>
      </x:c>
      <x:c r="L307" s="8" t="str">
        <x:v>6.2.1 评估目标与可观察证据</x:v>
      </x:c>
      <x:c r="M307" s="8" t="str"/>
      <x:c r="N307" s="8" t="str">
        <x:v>Benchmark</x:v>
      </x:c>
      <x:c r="O307" s="11" t="str">
        <x:v>https://aclanthology.org/2025.emnlp-main.1576/</x:v>
      </x:c>
      <x:c r="P307" s="8" t="str">
        <x:v>区分页级与布局元素级检索，以文字、图表、公式等证据为目标。</x:v>
      </x:c>
      <x:c r="Q307" s="8" t="str">
        <x:v>补上“知道要找什么”与“能在长材料中找对证据”之间的能力环节。</x:v>
      </x:c>
      <x:c r="R307" s="8" t="str">
        <x:v>检索相关性不能直接当最终回答正确率，也不证明Agent执行能力。</x:v>
      </x:c>
      <x:c r="S307" s="8" t="str">
        <x:v>核心</x:v>
      </x:c>
      <x:c r="T307" s="12" t="str">
        <x:v>未分配</x:v>
      </x:c>
      <x:c r="U307" s="12" t="str"/>
      <x:c r="V307" s="12" t="str"/>
      <x:c r="W307" s="12" t="str"/>
      <x:c r="X307" s="8" t="str">
        <x:v>verified</x:v>
      </x:c>
      <x:c r="Y307" s="11" t="str">
        <x:v>https://github.com/MMDocRAG/MMDocIR</x:v>
      </x:c>
      <x:c r="Z307" s="11" t="str"/>
      <x:c r="AA307" s="11" t="str">
        <x:v>https://aclanthology.org/2025.emnlp-main.1576.pdf</x:v>
      </x:c>
      <x:c r="AB307" s="11" t="str">
        <x:v>https://aclanthology.org/2025.emnlp-main.1576/</x:v>
      </x:c>
      <x:c r="AC307" s="8" t="str">
        <x:v>L034</x:v>
      </x:c>
      <x:c r="AD307" s="8" t="str">
        <x:v>本轮新增候选；官方摘要。</x:v>
      </x:c>
      <x:c r="AE307" s="8" t="str">
        <x:v>2.3.1发现相关材料；评估章检索与理解分开。</x:v>
      </x:c>
      <x:c r="AF307" s="8" t="str">
        <x:v>用于“感知与理解”：补上“知道要找什么”与“能在长材料中找对证据”之间的能力环节。</x:v>
      </x:c>
      <x:c r="AG307" s="8" t="str">
        <x:v>related</x:v>
      </x:c>
      <x:c r="AH307" s="8" t="str">
        <x:v>page-level and layout-level multimodal retrieval</x:v>
      </x:c>
      <x:c r="AI307" s="8" t="str"/>
      <x:c r="AJ307" s="8" t="str">
        <x:v>2026-10-16 chapter 2 / former chapter 4 supplement</x:v>
      </x:c>
      <x:c r="AK307" s="13" t="d">
        <x:v>2026-10-16T00:00:00.000Z</x:v>
      </x:c>
      <x:c r="AL307" s="8" t="str">
        <x:v>本轮核验官方书目页、摘要与论文首页单位；来源阅读深度为书目材料原文，不代表本次全文阅读。采用 EMNLP 2025 ACL 正式版；本轮未确认更早预印本，年份取已核验正式出版年。</x:v>
      </x:c>
      <x:c r="AM307" s="8" t="str"/>
    </x:row>
    <x:row r="308" ht="68" customHeight="1">
      <x:c r="A308" s="8" t="str">
        <x:v>WA-0321</x:v>
      </x:c>
      <x:c r="B308" s="8" t="str">
        <x:v>PPTArena</x:v>
      </x:c>
      <x:c r="C308" s="8" t="str">
        <x:v>PPTArena: A Benchmark for PowerPoint Editing</x:v>
      </x:c>
      <x:c r="D308" s="9" t="n">
        <x:v>2025</x:v>
      </x:c>
      <x:c r="E308" s="8" t="str">
        <x:v>University of Illinois Urbana-Champaign; University of California, Berkeley</x:v>
      </x:c>
      <x:c r="F308" s="10" t="str">
        <x:f>VLOOKUP(H308,'Taxonomy'!$A$6:$G$70,3,FALSE)</x:f>
        <x:v>基础：定义、工作条件与核心能力</x:v>
      </x:c>
      <x:c r="G308" s="10" t="str">
        <x:f>VLOOKUP(H308,'Taxonomy'!$A$6:$G$70,5,FALSE)</x:f>
        <x:v>五项核心能力</x:v>
      </x:c>
      <x:c r="H308" s="8" t="str">
        <x:v>2.3.4</x:v>
      </x:c>
      <x:c r="I308" s="10" t="str">
        <x:f>VLOOKUP(H308,'Taxonomy'!$A$6:$G$70,6,FALSE)</x:f>
        <x:v>执行与状态管理</x:v>
      </x:c>
      <x:c r="J308" s="8" t="str">
        <x:v>原生工件生成与编辑;连续编辑与内容保持;对象结构、模态与语义</x:v>
      </x:c>
      <x:c r="K308" s="8" t="str">
        <x:v>感知与理解;规划与协调;执行与状态管理;验证、恢复与重新规划</x:v>
      </x:c>
      <x:c r="L308" s="8" t="str">
        <x:v>2.3.1 感知与理解;2.3.5 验证、恢复与重新规划</x:v>
      </x:c>
      <x:c r="M308" s="8" t="str"/>
      <x:c r="N308" s="8" t="str">
        <x:v>Benchmark;Method</x:v>
      </x:c>
      <x:c r="O308" s="11" t="str">
        <x:v>https://arxiv.org/abs/2512.03042</x:v>
      </x:c>
      <x:c r="P308" s="8" t="str">
        <x:v>针对既有幻灯片的定点修改，以结构差异与渲染图分别评价指令遵循和视觉质量，并提出计划—编辑—检查的 PPTPilot。</x:v>
      </x:c>
      <x:c r="Q308" s="8" t="str">
        <x:v>比纯text-to-slides更直接支持“修改指定部分并保留其他结构”的论点。</x:v>
      </x:c>
      <x:c r="R308" s="8" t="str">
        <x:v>当前依据摘要；双评审协议、评分粒度与人工一致性需读全文后再引用数值结论。 本条固定v1题名；现行v3题名已去掉Agentic，引用时需统一。</x:v>
      </x:c>
      <x:c r="S308" s="8" t="str">
        <x:v>核心</x:v>
      </x:c>
      <x:c r="T308" s="12" t="str">
        <x:v>未分配</x:v>
      </x:c>
      <x:c r="U308" s="12" t="str"/>
      <x:c r="V308" s="12" t="str"/>
      <x:c r="W308" s="12" t="str"/>
      <x:c r="X308" s="8" t="str">
        <x:v>verified</x:v>
      </x:c>
      <x:c r="Y308" s="11" t="str">
        <x:v>https://github.com/michaelofengend/PPTArena</x:v>
      </x:c>
      <x:c r="Z308" s="11" t="str"/>
      <x:c r="AA308" s="11" t="str">
        <x:v>https://arxiv.org/pdf/2512.03042</x:v>
      </x:c>
      <x:c r="AB308" s="11" t="str">
        <x:v>https://arxiv.org/abs/2512.03042</x:v>
      </x:c>
      <x:c r="AC308" s="8" t="str">
        <x:v>L036;AIO-173</x:v>
      </x:c>
      <x:c r="AD308" s="8" t="str">
        <x:v>本轮新增候选；官方摘要。</x:v>
      </x:c>
      <x:c r="AE308" s="8" t="str">
        <x:v>2.3.1对象定位；2.3.4编辑；2.3.5检查。</x:v>
      </x:c>
      <x:c r="AF308" s="8" t="str">
        <x:v>用于“执行与状态管理”：比纯text-to-slides更直接支持“修改指定部分并保留其他结构”的论点。</x:v>
      </x:c>
      <x:c r="AG308" s="8" t="str">
        <x:v>artifact</x:v>
      </x:c>
      <x:c r="AH308" s="8" t="str">
        <x:v>structure-aware PowerPoint editing and verification</x:v>
      </x:c>
      <x:c r="AI308" s="8" t="str"/>
      <x:c r="AJ308" s="8" t="str">
        <x:v>2026-10-16 chapter 2 / former chapter 4 supplement;2026-10-16 AI Office survey bibliography</x:v>
      </x:c>
      <x:c r="AK308" s="13" t="d">
        <x:v>2026-10-16T00:00:00.000Z</x:v>
      </x:c>
      <x:c r="AL308" s="8" t="str">
        <x:v>本轮核验官方书目页、摘要与论文首页单位；来源阅读深度为书目材料原文，不代表本次全文阅读。来源列表固定 v1 题名含 Agentic；现行 v3 官方标题为 PPTArena: A Benchmark for PowerPoint Editing。统一无版本主链接，保留 v1 题名为版本别名；论文还提出 PPTPilot，因此列 Benchmark;Method。</x:v>
      </x:c>
      <x:c r="AM308" s="8" t="str"/>
    </x:row>
    <x:row r="309" ht="68" customHeight="1">
      <x:c r="A309" s="8" t="str">
        <x:v>WA-0322</x:v>
      </x:c>
      <x:c r="B309" s="8" t="str">
        <x:v>Ready Jurist One</x:v>
      </x:c>
      <x:c r="C309" s="8" t="str">
        <x:v>Ready Jurist One: Benchmarking Language Agents for Legal Intelligence in Dynamic Environments</x:v>
      </x:c>
      <x:c r="D309" s="9" t="n">
        <x:v>2025</x:v>
      </x:c>
      <x:c r="E309" s="8" t="str">
        <x:v>Fudan University; Shanghai Innovation Institute; Huazhong University of Science and Technology; University of Southern California; Midu Technology; Northwest University of Political Science and Law</x:v>
      </x:c>
      <x:c r="F309" s="10" t="str">
        <x:f>VLOOKUP(H309,'Taxonomy'!$A$6:$G$70,3,FALSE)</x:f>
        <x:v>基础：定义、工作条件与核心能力</x:v>
      </x:c>
      <x:c r="G309" s="10" t="str">
        <x:f>VLOOKUP(H309,'Taxonomy'!$A$6:$G$70,5,FALSE)</x:f>
        <x:v>工作条件</x:v>
      </x:c>
      <x:c r="H309" s="8" t="str">
        <x:v>2.2.2</x:v>
      </x:c>
      <x:c r="I309" s="10" t="str">
        <x:f>VLOOKUP(H309,'Taxonomy'!$A$6:$G$70,6,FALSE)</x:f>
        <x:v>工作开放性</x:v>
      </x:c>
      <x:c r="J309" s="8" t="str">
        <x:v>开放与变化条件;职业知识与专业判断;分布信息、澄清与协调</x:v>
      </x:c>
      <x:c r="K309" s="8" t="str">
        <x:v>推理与决策;规划与协调;执行与状态管理;验证、恢复与重新规划</x:v>
      </x:c>
      <x:c r="L309" s="8" t="str">
        <x:v>2.3.2 推理与决策;2.3.3 规划与协调</x:v>
      </x:c>
      <x:c r="M309" s="8" t="str"/>
      <x:c r="N309" s="8" t="str">
        <x:v>Benchmark</x:v>
      </x:c>
      <x:c r="O309" s="11" t="str">
        <x:v>https://arxiv.org/abs/2507.04037</x:v>
      </x:c>
      <x:c r="P309" s="8" t="str">
        <x:v>J1-ENVS构造中国法律实践交互场景，agent与多方参与者在程序规则下开展任务。</x:v>
      </x:c>
      <x:c r="Q309" s="8" t="str">
        <x:v>提供从知道法律到按角色和程序行动的实例，连接领域知识与工作系统。</x:v>
      </x:c>
      <x:c r="R309" s="8" t="str">
        <x:v>模拟环境；其复杂度层级不等同本稿五种形态。预印本2025、ACL2026。</x:v>
      </x:c>
      <x:c r="S309" s="8" t="str">
        <x:v>核心</x:v>
      </x:c>
      <x:c r="T309" s="12" t="str">
        <x:v>未分配</x:v>
      </x:c>
      <x:c r="U309" s="12" t="str"/>
      <x:c r="V309" s="12" t="str"/>
      <x:c r="W309" s="12" t="str"/>
      <x:c r="X309" s="8" t="str">
        <x:v>verified</x:v>
      </x:c>
      <x:c r="Y309" s="11" t="str"/>
      <x:c r="Z309" s="11" t="str"/>
      <x:c r="AA309" s="11" t="str">
        <x:v>https://arxiv.org/pdf/2507.04037</x:v>
      </x:c>
      <x:c r="AB309" s="11" t="str">
        <x:v>https://arxiv.org/abs/2507.04037</x:v>
      </x:c>
      <x:c r="AC309" s="8" t="str">
        <x:v>L037</x:v>
      </x:c>
      <x:c r="AD309" s="8" t="str">
        <x:v>本轮新增候选；官方摘要。</x:v>
      </x:c>
      <x:c r="AE309" s="8" t="str">
        <x:v>2.2 开放性；2.3 协调和规则。</x:v>
      </x:c>
      <x:c r="AF309" s="8" t="str">
        <x:v>用于“工作开放性”：提供从知道法律到按角色和程序行动的实例，连接领域知识与工作系统。</x:v>
      </x:c>
      <x:c r="AG309" s="8" t="str">
        <x:v>tool-enterprise</x:v>
      </x:c>
      <x:c r="AH309" s="8" t="str">
        <x:v>interactive Chinese legal procedures and roles</x:v>
      </x:c>
      <x:c r="AI309" s="8" t="str"/>
      <x:c r="AJ309" s="8" t="str">
        <x:v>2026-10-16 chapter 2 / former chapter 4 supplement</x:v>
      </x:c>
      <x:c r="AK309" s="13" t="d">
        <x:v>2026-10-16T00:00:00.000Z</x:v>
      </x:c>
      <x:c r="AL309" s="8" t="str">
        <x:v>本轮核验官方书目页、摘要与论文首页单位；来源阅读深度为书目材料原文，不代表本次全文阅读。J1-ENVS、J1-EVAL、J1Bench 指论文环境、评价框架和仓库，不另计三篇。首次 arXiv 2025，会议年另记。</x:v>
      </x:c>
      <x:c r="AM309" s="8" t="str"/>
    </x:row>
    <x:row r="310" ht="68" customHeight="1">
      <x:c r="A310" s="8" t="str">
        <x:v>WA-0323</x:v>
      </x:c>
      <x:c r="B310" s="8" t="str">
        <x:v>SyncMind</x:v>
      </x:c>
      <x:c r="C310" s="8" t="str">
        <x:v>SyncMind: Measuring Agent Out-of-Sync Recovery in Collaborative Software Engineering</x:v>
      </x:c>
      <x:c r="D310" s="9" t="n">
        <x:v>2025</x:v>
      </x:c>
      <x:c r="E310" s="8" t="str">
        <x:v>University of Illinois Urbana-Champaign; All Hands AI; Northwestern University</x:v>
      </x:c>
      <x:c r="F310" s="10" t="str">
        <x:f>VLOOKUP(H310,'Taxonomy'!$A$6:$G$70,3,FALSE)</x:f>
        <x:v>基础：定义、工作条件与核心能力</x:v>
      </x:c>
      <x:c r="G310" s="10" t="str">
        <x:f>VLOOKUP(H310,'Taxonomy'!$A$6:$G$70,5,FALSE)</x:f>
        <x:v>五项核心能力</x:v>
      </x:c>
      <x:c r="H310" s="8" t="str">
        <x:v>2.3.4</x:v>
      </x:c>
      <x:c r="I310" s="10" t="str">
        <x:f>VLOOKUP(H310,'Taxonomy'!$A$6:$G$70,6,FALSE)</x:f>
        <x:v>执行与状态管理</x:v>
      </x:c>
      <x:c r="J310" s="8" t="str">
        <x:v>变化后的重新同步;分布信息、澄清与协调;回滚、补偿与路径调整</x:v>
      </x:c>
      <x:c r="K310" s="8" t="str">
        <x:v>规划与协调;执行与状态管理;验证、恢复与重新规划</x:v>
      </x:c>
      <x:c r="L310" s="8" t="str">
        <x:v>2.2.2 工作开放性;2.3.5 验证、恢复与重新规划;6.1.1 任务构造策略</x:v>
      </x:c>
      <x:c r="M310" s="8" t="str"/>
      <x:c r="N310" s="8" t="str">
        <x:v>Benchmark;Framework</x:v>
      </x:c>
      <x:c r="O310" s="11" t="str">
        <x:v>https://arxiv.org/abs/2502.06994</x:v>
      </x:c>
      <x:c r="P310" s="8" t="str">
        <x:v>基于代码库演化构造认知与真实环境不同步的场景，比较自主探索和向协作者询问两种恢复方式。</x:v>
      </x:c>
      <x:c r="Q310" s="8" t="str">
        <x:v>直接补充共享工作空间会被他人改变的情形；恢复需要更新对环境的认识，不能只保存自己的旧上下文。</x:v>
      </x:c>
      <x:c r="R310" s="8" t="str">
        <x:v>代码库与测试提供可执行验证；资源成本有实验设定的假想成本，不能照搬成真实ROI。</x:v>
      </x:c>
      <x:c r="S310" s="8" t="str">
        <x:v>核心</x:v>
      </x:c>
      <x:c r="T310" s="12" t="str">
        <x:v>未分配</x:v>
      </x:c>
      <x:c r="U310" s="12" t="str"/>
      <x:c r="V310" s="12" t="str"/>
      <x:c r="W310" s="12" t="str"/>
      <x:c r="X310" s="8" t="str">
        <x:v>verified</x:v>
      </x:c>
      <x:c r="Y310" s="11" t="str">
        <x:v>https://github.com/xhguo7/SyncMind</x:v>
      </x:c>
      <x:c r="Z310" s="11" t="str">
        <x:v>https://huggingface.co/datasets/xuehang/SyncBench</x:v>
      </x:c>
      <x:c r="AA310" s="11" t="str">
        <x:v>https://arxiv.org/pdf/2502.06994</x:v>
      </x:c>
      <x:c r="AB310" s="11" t="str">
        <x:v>https://arxiv.org/abs/2502.06994</x:v>
      </x:c>
      <x:c r="AC310" s="8" t="str">
        <x:v>L039</x:v>
      </x:c>
      <x:c r="AD310" s="8" t="str">
        <x:v>本轮新增候选；原文相关章节。</x:v>
      </x:c>
      <x:c r="AE310" s="8" t="str">
        <x:v>2.2开放性；2.3状态和协作恢复；6恢复成本。</x:v>
      </x:c>
      <x:c r="AF310" s="8" t="str">
        <x:v>用于“执行与状态管理”：直接补充共享工作空间会被他人改变的情形；恢复需要更新对环境的认识，不能只保存自己的旧上下文。 恢复来自更新对外部已变化代码库的认识，不能用仅保存旧上下文替代。</x:v>
      </x:c>
      <x:c r="AG310" s="8" t="str">
        <x:v>swe-science</x:v>
      </x:c>
      <x:c r="AH310" s="8" t="str">
        <x:v>collaborative repository state mismatch recovery</x:v>
      </x:c>
      <x:c r="AI310" s="8" t="str"/>
      <x:c r="AJ310" s="8" t="str">
        <x:v>2026-10-16 chapter 2 / former chapter 4 supplement</x:v>
      </x:c>
      <x:c r="AK310" s="13" t="d">
        <x:v>2026-10-16T00:00:00.000Z</x:v>
      </x:c>
      <x:c r="AL310" s="8" t="str">
        <x:v>本轮核验官方书目页、摘要与论文首页单位；来源阅读深度为书目材料原文，不代表本次全文阅读。SyncMind 是框架，SyncBench 是同一论文提供的数据集；不拆成独立论文。</x:v>
      </x:c>
      <x:c r="AM310" s="8" t="str"/>
    </x:row>
    <x:row r="311" ht="68" customHeight="1">
      <x:c r="A311" s="8" t="str">
        <x:v>WA-0324</x:v>
      </x:c>
      <x:c r="B311" s="8" t="str">
        <x:v>AgentDebug</x:v>
      </x:c>
      <x:c r="C311" s="8" t="str">
        <x:v>Where LLM Agents Fail and How They can Learn From Failures</x:v>
      </x:c>
      <x:c r="D311" s="9" t="n">
        <x:v>2025</x:v>
      </x:c>
      <x:c r="E311" s="8" t="str">
        <x:v>University of Illinois Urbana-Champaign; Stanford University; AMD; OpenManus; University of Toronto; Likelihood Lab</x:v>
      </x:c>
      <x:c r="F311" s="10" t="str">
        <x:f>VLOOKUP(H311,'Taxonomy'!$A$6:$G$70,3,FALSE)</x:f>
        <x:v>基础：定义、工作条件与核心能力</x:v>
      </x:c>
      <x:c r="G311" s="10" t="str">
        <x:f>VLOOKUP(H311,'Taxonomy'!$A$6:$G$70,5,FALSE)</x:f>
        <x:v>五项核心能力</x:v>
      </x:c>
      <x:c r="H311" s="8" t="str">
        <x:v>2.3.5</x:v>
      </x:c>
      <x:c r="I311" s="10" t="str">
        <x:f>VLOOKUP(H311,'Taxonomy'!$A$6:$G$70,6,FALSE)</x:f>
        <x:v>验证、恢复与重新规划</x:v>
      </x:c>
      <x:c r="J311" s="8" t="str">
        <x:v>失败定位与根因诊断;回滚、补偿与路径调整;答案、产物、状态与过程证据</x:v>
      </x:c>
      <x:c r="K311" s="8" t="str">
        <x:v>推理与决策;验证、恢复与重新规划</x:v>
      </x:c>
      <x:c r="L311" s="8" t="str">
        <x:v>6.2.1 评估目标与可观察证据;5.3.2 提示与工作流优化</x:v>
      </x:c>
      <x:c r="M311" s="8" t="str"/>
      <x:c r="N311" s="8" t="str">
        <x:v>Benchmark;Method</x:v>
      </x:c>
      <x:c r="O311" s="11" t="str">
        <x:v>https://arxiv.org/abs/2509.25370</x:v>
      </x:c>
      <x:c r="P311" s="8" t="str">
        <x:v>给出记忆、反思、规划、行动和系统层的错误分类，构建AgentErrorBench并提出定位根因的AgentDebug。</x:v>
      </x:c>
      <x:c r="Q311" s="8" t="str">
        <x:v>用“根因如何传播到后续动作”解释为什么恢复需要诊断，不能只重新生成最终答案。</x:v>
      </x:c>
      <x:c r="R311" s="8" t="str">
        <x:v>实验集中在ALFWorld、GAIA和WebShop等任务；错误分类不可直接等同本文五能力的一对一测量。</x:v>
      </x:c>
      <x:c r="S311" s="8" t="str">
        <x:v>核心</x:v>
      </x:c>
      <x:c r="T311" s="12" t="str">
        <x:v>未分配</x:v>
      </x:c>
      <x:c r="U311" s="12" t="str"/>
      <x:c r="V311" s="12" t="str"/>
      <x:c r="W311" s="12" t="str"/>
      <x:c r="X311" s="8" t="str">
        <x:v>verified</x:v>
      </x:c>
      <x:c r="Y311" s="11" t="str">
        <x:v>https://github.com/ulab-uiuc/AgentDebug</x:v>
      </x:c>
      <x:c r="Z311" s="11" t="str"/>
      <x:c r="AA311" s="11" t="str">
        <x:v>https://arxiv.org/pdf/2509.25370</x:v>
      </x:c>
      <x:c r="AB311" s="11" t="str">
        <x:v>https://arxiv.org/abs/2509.25370</x:v>
      </x:c>
      <x:c r="AC311" s="8" t="str">
        <x:v>L041</x:v>
      </x:c>
      <x:c r="AD311" s="8" t="str">
        <x:v>文献库已有，2／4未引；官方摘要。</x:v>
      </x:c>
      <x:c r="AE311" s="8" t="str">
        <x:v>2.3验证恢复；6诊断；5定向反馈。</x:v>
      </x:c>
      <x:c r="AF311" s="8" t="str">
        <x:v>用于“验证、恢复与重新规划”：用“根因如何传播到后续动作”解释为什么恢复需要诊断，不能只重新生成最终答案。</x:v>
      </x:c>
      <x:c r="AG311" s="8" t="str">
        <x:v>verification</x:v>
      </x:c>
      <x:c r="AH311" s="8" t="str">
        <x:v>root-cause agent failure diagnosis and feedback</x:v>
      </x:c>
      <x:c r="AI311" s="8" t="str"/>
      <x:c r="AJ311" s="8" t="str">
        <x:v>2026-10-16 chapter 2 / former chapter 4 supplement</x:v>
      </x:c>
      <x:c r="AK311" s="13" t="d">
        <x:v>2026-10-16T00:00:00.000Z</x:v>
      </x:c>
      <x:c r="AL311" s="8" t="str">
        <x:v>本轮核验官方书目页、摘要与论文首页单位；来源阅读深度为书目材料原文，不代表本次全文阅读。AgentErrorTaxonomy、AgentErrorBench 与 AgentDebug 为同一论文的三项贡献，不重复计数。</x:v>
      </x:c>
      <x:c r="AM311" s="8" t="str"/>
    </x:row>
    <x:row r="312" ht="68" customHeight="1">
      <x:c r="A312" s="8" t="str">
        <x:v>WA-0325</x:v>
      </x:c>
      <x:c r="B312" s="8" t="str">
        <x:v>MAST</x:v>
      </x:c>
      <x:c r="C312" s="8" t="str">
        <x:v>Why Do Multi-Agent LLM Systems Fail?</x:v>
      </x:c>
      <x:c r="D312" s="9" t="n">
        <x:v>2025</x:v>
      </x:c>
      <x:c r="E312" s="8" t="str">
        <x:v>University of California, Berkeley; Intesa Sanpaolo</x:v>
      </x:c>
      <x:c r="F312" s="10" t="str">
        <x:f>VLOOKUP(H312,'Taxonomy'!$A$6:$G$70,3,FALSE)</x:f>
        <x:v>基础：定义、工作条件与核心能力</x:v>
      </x:c>
      <x:c r="G312" s="10" t="str">
        <x:f>VLOOKUP(H312,'Taxonomy'!$A$6:$G$70,5,FALSE)</x:f>
        <x:v>五项核心能力</x:v>
      </x:c>
      <x:c r="H312" s="8" t="str">
        <x:v>2.3.3</x:v>
      </x:c>
      <x:c r="I312" s="10" t="str">
        <x:f>VLOOKUP(H312,'Taxonomy'!$A$6:$G$70,6,FALSE)</x:f>
        <x:v>规划与协调</x:v>
      </x:c>
      <x:c r="J312" s="8" t="str">
        <x:v>分布信息、澄清与协调;失败定位与根因诊断;答案、产物、状态与过程证据</x:v>
      </x:c>
      <x:c r="K312" s="8" t="str">
        <x:v>规划与协调;验证、恢复与重新规划</x:v>
      </x:c>
      <x:c r="L312" s="8" t="str">
        <x:v>2.3.5 验证、恢复与重新规划;6.2.1 评估目标与可观察证据</x:v>
      </x:c>
      <x:c r="M312" s="8" t="str"/>
      <x:c r="N312" s="8" t="str">
        <x:v>Benchmark;Background</x:v>
      </x:c>
      <x:c r="O312" s="11" t="str">
        <x:v>https://arxiv.org/abs/2503.13657</x:v>
      </x:c>
      <x:c r="P312" s="8" t="str">
        <x:v>基于多框架轨迹建立失败分类，涵盖系统设计、智能体间不一致和任务验证等问题。</x:v>
      </x:c>
      <x:c r="Q312" s="8" t="str">
        <x:v>直接推动“增加智能体为何不必然提高工作可靠性”的论证，连接组织与验证。</x:v>
      </x:c>
      <x:c r="R312" s="8" t="str">
        <x:v>观察性轨迹归因不能单独证明某类机制对所有任务都有因果优势。</x:v>
      </x:c>
      <x:c r="S312" s="8" t="str">
        <x:v>核心</x:v>
      </x:c>
      <x:c r="T312" s="12" t="str">
        <x:v>未分配</x:v>
      </x:c>
      <x:c r="U312" s="12" t="str"/>
      <x:c r="V312" s="12" t="str"/>
      <x:c r="W312" s="12" t="str"/>
      <x:c r="X312" s="8" t="str">
        <x:v>verified</x:v>
      </x:c>
      <x:c r="Y312" s="11" t="str">
        <x:v>https://github.com/multi-agent-systems-failure-taxonomy/MAST</x:v>
      </x:c>
      <x:c r="Z312" s="11" t="str">
        <x:v>https://huggingface.co/datasets/mcemri/MAST-Data</x:v>
      </x:c>
      <x:c r="AA312" s="11" t="str">
        <x:v>https://arxiv.org/pdf/2503.13657</x:v>
      </x:c>
      <x:c r="AB312" s="11" t="str">
        <x:v>https://arxiv.org/abs/2503.13657</x:v>
      </x:c>
      <x:c r="AC312" s="8" t="str">
        <x:v>L042</x:v>
      </x:c>
      <x:c r="AD312" s="8" t="str">
        <x:v>文献库已有，2／4未引；官方摘要。</x:v>
      </x:c>
      <x:c r="AE312" s="8" t="str">
        <x:v>2.3协调和验证；6失败诊断。</x:v>
      </x:c>
      <x:c r="AF312" s="8" t="str">
        <x:v>用于“规划与协调”：直接推动“增加智能体为何不必然提高工作可靠性”的论证，连接组织与验证。</x:v>
      </x:c>
      <x:c r="AG312" s="8" t="str">
        <x:v>verification</x:v>
      </x:c>
      <x:c r="AH312" s="8" t="str">
        <x:v>multi-agent system failure taxonomy and traces</x:v>
      </x:c>
      <x:c r="AI312" s="8" t="str"/>
      <x:c r="AJ312" s="8" t="str">
        <x:v>2026-10-16 chapter 2 / former chapter 4 supplement</x:v>
      </x:c>
      <x:c r="AK312" s="13" t="d">
        <x:v>2026-10-16T00:00:00.000Z</x:v>
      </x:c>
      <x:c r="AL312" s="8" t="str">
        <x:v>本轮核验官方书目页、摘要与论文首页单位；来源阅读深度为书目材料原文，不代表本次全文阅读。MAST、MAST-Data 和配套标注器为同一论文的贡献；观察性失败归因不能直接当因果证据。</x:v>
      </x:c>
      <x:c r="AM312" s="8" t="str"/>
    </x:row>
    <x:row r="313" ht="68" customHeight="1">
      <x:c r="A313" s="8" t="str">
        <x:v>WA-0326</x:v>
      </x:c>
      <x:c r="B313" s="8" t="str">
        <x:v>LongDocURL</x:v>
      </x:c>
      <x:c r="C313" s="8" t="str">
        <x:v>LongDocURL: a Comprehensive Multimodal Long Document Benchmark Integrating Understanding, Reasoning, and Locating</x:v>
      </x:c>
      <x:c r="D313" s="9" t="n">
        <x:v>2024</x:v>
      </x:c>
      <x:c r="E313" s="8" t="str">
        <x:v>Institute of Automation, Chinese Academy of Sciences; University of Chinese Academy of Sciences; Zhongguancun Academy; Taobao &amp; Tmall Group, Alibaba</x:v>
      </x:c>
      <x:c r="F313" s="10" t="str">
        <x:f>VLOOKUP(H313,'Taxonomy'!$A$6:$G$70,3,FALSE)</x:f>
        <x:v>基础：定义、工作条件与核心能力</x:v>
      </x:c>
      <x:c r="G313" s="10" t="str">
        <x:f>VLOOKUP(H313,'Taxonomy'!$A$6:$G$70,5,FALSE)</x:f>
        <x:v>五项核心能力</x:v>
      </x:c>
      <x:c r="H313" s="8" t="str">
        <x:v>2.3.1</x:v>
      </x:c>
      <x:c r="I313" s="10" t="str">
        <x:f>VLOOKUP(H313,'Taxonomy'!$A$6:$G$70,6,FALSE)</x:f>
        <x:v>感知与理解</x:v>
      </x:c>
      <x:c r="J313" s="8" t="str">
        <x:v>材料发现与证据定位;对象结构、模态与语义;证据整合与推理</x:v>
      </x:c>
      <x:c r="K313" s="8" t="str">
        <x:v>感知与理解;推理与决策</x:v>
      </x:c>
      <x:c r="L313" s="8" t="str">
        <x:v>2.3.2 推理与决策;6.2.1 评估目标与可观察证据</x:v>
      </x:c>
      <x:c r="M313" s="8" t="str"/>
      <x:c r="N313" s="8" t="str">
        <x:v>Benchmark</x:v>
      </x:c>
      <x:c r="O313" s="11" t="str">
        <x:v>https://arxiv.org/abs/2412.18424</x:v>
      </x:c>
      <x:c r="P313" s="8" t="str">
        <x:v>分别测长文档理解、数值推理与跨元素定位，把最终回答和证据位置区分。</x:v>
      </x:c>
      <x:c r="Q313" s="8" t="str">
        <x:v>帮助区分感知、定位与推理的任务要求，而不是笼统合称文档能力；具体失败机制仍需结合实验分析。</x:v>
      </x:c>
      <x:c r="R313" s="8" t="str">
        <x:v>ACL2025，2024已有预印本；仅从任务划分不能推定各子任务完全独立。 此处用首发2024年，ACL正式发表2025年。</x:v>
      </x:c>
      <x:c r="S313" s="8" t="str">
        <x:v>核心</x:v>
      </x:c>
      <x:c r="T313" s="12" t="str">
        <x:v>未分配</x:v>
      </x:c>
      <x:c r="U313" s="12" t="str"/>
      <x:c r="V313" s="12" t="str"/>
      <x:c r="W313" s="12" t="str"/>
      <x:c r="X313" s="8" t="str">
        <x:v>verified</x:v>
      </x:c>
      <x:c r="Y313" s="11" t="str">
        <x:v>https://github.com/dengc2023/LongDocURL</x:v>
      </x:c>
      <x:c r="Z313" s="11" t="str"/>
      <x:c r="AA313" s="11" t="str">
        <x:v>https://arxiv.org/pdf/2412.18424</x:v>
      </x:c>
      <x:c r="AB313" s="11" t="str">
        <x:v>https://arxiv.org/abs/2412.18424</x:v>
      </x:c>
      <x:c r="AC313" s="8" t="str">
        <x:v>L048</x:v>
      </x:c>
      <x:c r="AD313" s="8" t="str">
        <x:v>本轮新增候选；官方摘要。</x:v>
      </x:c>
      <x:c r="AE313" s="8" t="str">
        <x:v>2.3.1定位；2.3.2推理；评估章感知分解。</x:v>
      </x:c>
      <x:c r="AF313" s="8" t="str">
        <x:v>用于“感知与理解”：帮助区分感知、定位与推理的任务要求，而不是笼统合称文档能力；具体失败机制仍需结合实验分析。</x:v>
      </x:c>
      <x:c r="AG313" s="8" t="str">
        <x:v>related</x:v>
      </x:c>
      <x:c r="AH313" s="8" t="str">
        <x:v>long-document understanding reasoning and evidence locating</x:v>
      </x:c>
      <x:c r="AI313" s="8" t="str"/>
      <x:c r="AJ313" s="8" t="str">
        <x:v>2026-10-16 chapter 2 / former chapter 4 supplement</x:v>
      </x:c>
      <x:c r="AK313" s="13" t="d">
        <x:v>2026-10-16T00:00:00.000Z</x:v>
      </x:c>
      <x:c r="AL313" s="8" t="str">
        <x:v>本轮核验官方书目页、摘要与论文首页单位；来源阅读深度为书目材料原文，不代表本次全文阅读。</x:v>
      </x:c>
      <x:c r="AM313" s="8" t="str"/>
    </x:row>
    <x:row r="314" ht="68" customHeight="1">
      <x:c r="A314" s="8" t="str">
        <x:v>WA-0327</x:v>
      </x:c>
      <x:c r="B314" s="8" t="str">
        <x:v>CoALA</x:v>
      </x:c>
      <x:c r="C314" s="8" t="str">
        <x:v>Cognitive Architectures for Language Agents</x:v>
      </x:c>
      <x:c r="D314" s="9" t="n">
        <x:v>2023</x:v>
      </x:c>
      <x:c r="E314" s="8" t="str">
        <x:v>Princeton University</x:v>
      </x:c>
      <x:c r="F314" s="10" t="str">
        <x:f>VLOOKUP(H314,'Taxonomy'!$A$6:$G$70,3,FALSE)</x:f>
        <x:v>基础：定义、工作条件与核心能力</x:v>
      </x:c>
      <x:c r="G314" s="10" t="str">
        <x:f>VLOOKUP(H314,'Taxonomy'!$A$6:$G$70,5,FALSE)</x:f>
        <x:v>定义与系统视角</x:v>
      </x:c>
      <x:c r="H314" s="8" t="str">
        <x:v>2.1.2</x:v>
      </x:c>
      <x:c r="I314" s="10" t="str">
        <x:f>VLOOKUP(H314,'Taxonomy'!$A$6:$G$70,6,FALSE)</x:f>
        <x:v>工作过程六要素</x:v>
      </x:c>
      <x:c r="J314" s="8" t="str">
        <x:v>定义、系统职责与工作循环;证据与规则约束下的决策;上下文与记忆管理</x:v>
      </x:c>
      <x:c r="K314" s="8" t="str">
        <x:v>推理与决策;规划与协调;执行与状态管理</x:v>
      </x:c>
      <x:c r="L314" s="8" t="str">
        <x:v>2.3.2 推理与决策;2.3.3 规划与协调</x:v>
      </x:c>
      <x:c r="M314" s="8" t="str"/>
      <x:c r="N314" s="8" t="str">
        <x:v>Survey;Background</x:v>
      </x:c>
      <x:c r="O314" s="11" t="str">
        <x:v>https://arxiv.org/abs/2309.02427</x:v>
      </x:c>
      <x:c r="P314" s="8" t="str">
        <x:v>以记忆、内部和外部行动、决策过程描述语言智能体；决策循环包含提出、评价、选择和执行。</x:v>
      </x:c>
      <x:c r="Q314" s="8" t="str">
        <x:v>帮助把Model提出候选与运行时组织执行的职责说清楚，避免把所有规划都等同模型的一次推理。</x:v>
      </x:c>
      <x:c r="R314" s="8" t="str">
        <x:v>属于概念架构，不是本文六要素有效性的实验验证；首发2023，TMLR发表2024。</x:v>
      </x:c>
      <x:c r="S314" s="8" t="str">
        <x:v>核心</x:v>
      </x:c>
      <x:c r="T314" s="12" t="str">
        <x:v>未分配</x:v>
      </x:c>
      <x:c r="U314" s="12" t="str"/>
      <x:c r="V314" s="12" t="str"/>
      <x:c r="W314" s="12" t="str"/>
      <x:c r="X314" s="8" t="str">
        <x:v>verified</x:v>
      </x:c>
      <x:c r="Y314" s="11" t="str">
        <x:v>https://github.com/ysymyth/awesome-language-agents</x:v>
      </x:c>
      <x:c r="Z314" s="11" t="str"/>
      <x:c r="AA314" s="11" t="str">
        <x:v>https://arxiv.org/pdf/2309.02427</x:v>
      </x:c>
      <x:c r="AB314" s="11" t="str">
        <x:v>https://arxiv.org/abs/2309.02427</x:v>
      </x:c>
      <x:c r="AC314" s="8" t="str">
        <x:v>L061</x:v>
      </x:c>
      <x:c r="AD314" s="8" t="str">
        <x:v>本轮新增候选；原文相关章节。</x:v>
      </x:c>
      <x:c r="AE314" s="8" t="str">
        <x:v>2.1系统组成；2.3推理与规划。</x:v>
      </x:c>
      <x:c r="AF314" s="8" t="str">
        <x:v>用于“工作过程六要素”：帮助把Model提出候选与运行时组织执行的职责说清楚，避免把所有规划都等同模型的一次推理。</x:v>
      </x:c>
      <x:c r="AG314" s="8" t="str">
        <x:v>harness</x:v>
      </x:c>
      <x:c r="AH314" s="8" t="str">
        <x:v>cognitive memory action and decision architecture</x:v>
      </x:c>
      <x:c r="AI314" s="8" t="str"/>
      <x:c r="AJ314" s="8" t="str">
        <x:v>2026-10-16 chapter 2 / former chapter 4 supplement</x:v>
      </x:c>
      <x:c r="AK314" s="13" t="d">
        <x:v>2026-10-16T00:00:00.000Z</x:v>
      </x:c>
      <x:c r="AL314" s="8" t="str">
        <x:v>本轮核验官方书目页、摘要与论文首页单位；来源阅读深度为书目材料原文，不代表本次全文阅读。CoALA 是概念架构与文献组织框架，未以 Framework 类型声称其为独立运行时；首次预印本 2023，TMLR 2024。</x:v>
      </x:c>
      <x:c r="AM314" s="8" t="str"/>
    </x:row>
    <x:row r="315" ht="68" customHeight="1">
      <x:c r="A315" s="8" t="str">
        <x:v>WA-0328</x:v>
      </x:c>
      <x:c r="B315" s="8" t="str">
        <x:v>C-World</x:v>
      </x:c>
      <x:c r="C315" s="8" t="str">
        <x:v>C-World: A Computer Use Agent Environment Creator</x:v>
      </x:c>
      <x:c r="D315" s="9" t="n">
        <x:v>2026</x:v>
      </x:c>
      <x:c r="E315" s="8" t="str">
        <x:v>University of California, San Diego</x:v>
      </x:c>
      <x:c r="F315" s="10" t="str">
        <x:f>VLOOKUP(H315,'Taxonomy'!$A$6:$G$70,3,FALSE)</x:f>
        <x:v>评估与资源：如何检验工作完成</x:v>
      </x:c>
      <x:c r="G315" s="10" t="str">
        <x:f>VLOOKUP(H315,'Taxonomy'!$A$6:$G$70,5,FALSE)</x:f>
        <x:v>基准与任务构造</x:v>
      </x:c>
      <x:c r="H315" s="8" t="str">
        <x:v>6.1.1</x:v>
      </x:c>
      <x:c r="I315" s="10" t="str">
        <x:f>VLOOKUP(H315,'Taxonomy'!$A$6:$G$70,6,FALSE)</x:f>
        <x:v>任务构造策略</x:v>
      </x:c>
      <x:c r="J315" s="8" t="str">
        <x:v>任务、环境与扰动构造;任务与环境合成;工具、界面与应用执行</x:v>
      </x:c>
      <x:c r="K315" s="8" t="str">
        <x:v>规划与协调;执行与状态管理;验证、恢复与重新规划</x:v>
      </x:c>
      <x:c r="L315" s="8" t="str">
        <x:v>2.2.2 工作开放性;2.1.2 工作过程六要素</x:v>
      </x:c>
      <x:c r="M315" s="8" t="str"/>
      <x:c r="N315" s="8" t="str">
        <x:v>Method;Framework;Benchmark</x:v>
      </x:c>
      <x:c r="O315" s="11" t="str">
        <x:v>https://arxiv.org/abs/2601.06328v2</x:v>
      </x:c>
      <x:c r="P315" s="8" t="str">
        <x:v>通过行动空间、任务分布、状态转移和奖励设置构造计算机使用环境，包含真实API与模拟模式。</x:v>
      </x:c>
      <x:c r="Q315" s="8" t="str">
        <x:v>为区分任务、环境状态和执行接口提供具体参照。</x:v>
      </x:c>
      <x:c r="R315" s="8" t="str">
        <x:v>同一标识的旧版本曾以ToolGym题名出现；应按版本引用，不能算成两个独立新基准。</x:v>
      </x:c>
      <x:c r="S315" s="8" t="str">
        <x:v>补充</x:v>
      </x:c>
      <x:c r="T315" s="12" t="str">
        <x:v>未分配</x:v>
      </x:c>
      <x:c r="U315" s="12" t="str"/>
      <x:c r="V315" s="12" t="str"/>
      <x:c r="W315" s="12" t="str"/>
      <x:c r="X315" s="8" t="str">
        <x:v>verified</x:v>
      </x:c>
      <x:c r="Y315" s="11" t="str">
        <x:v>https://github.com/Ziqiao-git/ToolGym</x:v>
      </x:c>
      <x:c r="Z315" s="11" t="str"/>
      <x:c r="AA315" s="11" t="str">
        <x:v>https://arxiv.org/pdf/2601.06328</x:v>
      </x:c>
      <x:c r="AB315" s="11" t="str">
        <x:v>https://arxiv.org/abs/2601.06328v2</x:v>
      </x:c>
      <x:c r="AC315" s="8" t="str">
        <x:v>L067</x:v>
      </x:c>
      <x:c r="AD315" s="8" t="str">
        <x:v>本轮新增候选；官方摘要。</x:v>
      </x:c>
      <x:c r="AE315" s="8" t="str">
        <x:v>2.2环境；第六章环境构造。</x:v>
      </x:c>
      <x:c r="AF315" s="8" t="str">
        <x:v>用于“任务构造策略”：为区分任务、环境状态和执行接口提供具体参照。 C-World 与早期 ToolGym 为同一标识的版本演进；本行是任务/环境构造参考，不重复列作另一个系统。</x:v>
      </x:c>
      <x:c r="AG315" s="8" t="str">
        <x:v>harness</x:v>
      </x:c>
      <x:c r="AH315" s="8" t="str">
        <x:v>on-demand tool and API environment creation</x:v>
      </x:c>
      <x:c r="AI315" s="8" t="str"/>
      <x:c r="AJ315" s="8" t="str">
        <x:v>2026-10-16 chapter 2 / former chapter 4 supplement</x:v>
      </x:c>
      <x:c r="AK315" s="13" t="d">
        <x:v>2026-10-16T00:00:00.000Z</x:v>
      </x:c>
      <x:c r="AL315" s="8" t="str">
        <x:v>本轮核验官方书目页、摘要与论文首页单位；来源阅读深度为书目材料原文，不代表本次全文阅读。C-World 的旧版本题名为 ToolGym；同一 arXiv 标识只计一篇，当前官方项目仍链接 ToolGym 代码仓库。虽然题名含 Computer Use，核心接口为工具/API，不据题名推断为纯 GUI 环境。</x:v>
      </x:c>
      <x:c r="AM315" s="8" t="str"/>
    </x:row>
    <x:row r="316" ht="68" customHeight="1">
      <x:c r="A316" s="8" t="str">
        <x:v>WA-0329</x:v>
      </x:c>
      <x:c r="B316" s="8" t="str">
        <x:v>OpenAgent</x:v>
      </x:c>
      <x:c r="C316" s="8" t="str">
        <x:v>Can Agents Generalize to the Open World? Unveiling the Fragility of Static Training in Tool Use</x:v>
      </x:c>
      <x:c r="D316" s="9" t="n">
        <x:v>2026</x:v>
      </x:c>
      <x:c r="E316" s="8" t="str">
        <x:v>Nanjing University</x:v>
      </x:c>
      <x:c r="F316" s="10" t="str">
        <x:f>VLOOKUP(H316,'Taxonomy'!$A$6:$G$70,3,FALSE)</x:f>
        <x:v>基础：定义、工作条件与核心能力</x:v>
      </x:c>
      <x:c r="G316" s="10" t="str">
        <x:f>VLOOKUP(H316,'Taxonomy'!$A$6:$G$70,5,FALSE)</x:f>
        <x:v>工作条件</x:v>
      </x:c>
      <x:c r="H316" s="8" t="str">
        <x:v>2.2.2</x:v>
      </x:c>
      <x:c r="I316" s="10" t="str">
        <x:f>VLOOKUP(H316,'Taxonomy'!$A$6:$G$70,6,FALSE)</x:f>
        <x:v>工作开放性</x:v>
      </x:c>
      <x:c r="J316" s="8" t="str">
        <x:v>开放与变化条件;任务、环境与扰动构造;答案、产物、状态与过程证据</x:v>
      </x:c>
      <x:c r="K316" s="8" t="str">
        <x:v>感知与理解;推理与决策;执行与状态管理;验证、恢复与重新规划</x:v>
      </x:c>
      <x:c r="L316" s="8" t="str">
        <x:v>6.1.1 任务构造策略;6.2.1 评估目标与可观察证据</x:v>
      </x:c>
      <x:c r="M316" s="8" t="str"/>
      <x:c r="N316" s="8" t="str">
        <x:v>Benchmark;Method</x:v>
      </x:c>
      <x:c r="O316" s="11" t="str">
        <x:v>https://arxiv.org/abs/2607.01084</x:v>
      </x:c>
      <x:c r="P316" s="8" t="str">
        <x:v>在受控环境中改变查询、行动、观察和领域，考查工具智能体对变化的泛化。</x:v>
      </x:c>
      <x:c r="Q316" s="8" t="str">
        <x:v>将“开放性”拆成可研究的变化来源，而不只等同访问互联网。</x:v>
      </x:c>
      <x:c r="R316" s="8" t="str">
        <x:v>受控分布变化仍不覆盖现实工作中所有开放条件。</x:v>
      </x:c>
      <x:c r="S316" s="8" t="str">
        <x:v>补充</x:v>
      </x:c>
      <x:c r="T316" s="12" t="str">
        <x:v>未分配</x:v>
      </x:c>
      <x:c r="U316" s="12" t="str"/>
      <x:c r="V316" s="12" t="str"/>
      <x:c r="W316" s="12" t="str"/>
      <x:c r="X316" s="8" t="str">
        <x:v>verified</x:v>
      </x:c>
      <x:c r="Y316" s="11" t="str">
        <x:v>https://github.com/LAMDA-NeSy/OpenAgent</x:v>
      </x:c>
      <x:c r="Z316" s="11" t="str"/>
      <x:c r="AA316" s="11" t="str">
        <x:v>https://arxiv.org/pdf/2607.01084</x:v>
      </x:c>
      <x:c r="AB316" s="11" t="str">
        <x:v>https://arxiv.org/abs/2607.01084</x:v>
      </x:c>
      <x:c r="AC316" s="8" t="str">
        <x:v>L068</x:v>
      </x:c>
      <x:c r="AD316" s="8" t="str">
        <x:v>本轮新增候选；官方摘要。</x:v>
      </x:c>
      <x:c r="AE316" s="8" t="str">
        <x:v>2.2开放性；2.3适应；第六章受控评估。</x:v>
      </x:c>
      <x:c r="AF316" s="8" t="str">
        <x:v>用于“工作开放性”：将“开放性”拆成可研究的变化来源，而不只等同访问互联网。</x:v>
      </x:c>
      <x:c r="AG316" s="8" t="str">
        <x:v>tool-enterprise</x:v>
      </x:c>
      <x:c r="AH316" s="8" t="str">
        <x:v>controlled open-world tool-use shifts</x:v>
      </x:c>
      <x:c r="AI316" s="8" t="str"/>
      <x:c r="AJ316" s="8" t="str">
        <x:v>2026-10-16 chapter 2 / former chapter 4 supplement</x:v>
      </x:c>
      <x:c r="AK316" s="13" t="d">
        <x:v>2026-10-16T00:00:00.000Z</x:v>
      </x:c>
      <x:c r="AL316" s="8" t="str">
        <x:v>本轮核验官方书目页、摘要与论文首页单位；来源阅读深度为书目材料原文，不代表本次全文阅读。论文还提出 Perturbation-Augmented Fine-Tuning，因此列 Benchmark;Method；代码链接由原文给出，代码发布状态须以仓库为准。</x:v>
      </x:c>
      <x:c r="AM316" s="8" t="str"/>
    </x:row>
    <x:row r="317" ht="68" customHeight="1">
      <x:c r="A317" s="8" t="str">
        <x:v>WA-0330</x:v>
      </x:c>
      <x:c r="B317" s="8" t="str">
        <x:v>Harness Engineering</x:v>
      </x:c>
      <x:c r="C317" s="8" t="str">
        <x:v>Harness Engineering: Anatomy, Architecture, and Evolution of Coding Agents -- A Source-Code Study of Eleven Systems</x:v>
      </x:c>
      <x:c r="D317" s="9" t="n">
        <x:v>2026</x:v>
      </x:c>
      <x:c r="E317" s="8" t="str">
        <x:v>Inclusive Brains; Wavestone AI Lab</x:v>
      </x:c>
      <x:c r="F317" s="10" t="str">
        <x:f>VLOOKUP(H317,'Taxonomy'!$A$6:$G$70,3,FALSE)</x:f>
        <x:v>基础：定义、工作条件与核心能力</x:v>
      </x:c>
      <x:c r="G317" s="10" t="str">
        <x:f>VLOOKUP(H317,'Taxonomy'!$A$6:$G$70,5,FALSE)</x:f>
        <x:v>定义与系统视角</x:v>
      </x:c>
      <x:c r="H317" s="8" t="str">
        <x:v>2.1.2</x:v>
      </x:c>
      <x:c r="I317" s="10" t="str">
        <x:f>VLOOKUP(H317,'Taxonomy'!$A$6:$G$70,6,FALSE)</x:f>
        <x:v>工作过程六要素</x:v>
      </x:c>
      <x:c r="J317" s="8" t="str">
        <x:v>定义、系统职责与工作循环;执行平台、隔离与规模化;当前状态与版本有效性</x:v>
      </x:c>
      <x:c r="K317" s="8" t="str">
        <x:v>规划与协调;执行与状态管理;验证、恢复与重新规划</x:v>
      </x:c>
      <x:c r="L317" s="8" t="str">
        <x:v>2.3.4 执行与状态管理;6.4 开放框架与执行环境</x:v>
      </x:c>
      <x:c r="M317" s="8" t="str"/>
      <x:c r="N317" s="8" t="str">
        <x:v>Background</x:v>
      </x:c>
      <x:c r="O317" s="11" t="str">
        <x:v>https://arxiv.org/abs/2609.00006</x:v>
      </x:c>
      <x:c r="P317" s="8" t="str">
        <x:v>从十一套编码智能体系统的源代码研究运行时架构及其演变。</x:v>
      </x:c>
      <x:c r="Q317" s="8" t="str">
        <x:v>为Harness作为实际系统组成提供具体工程证据。</x:v>
      </x:c>
      <x:c r="R317" s="8" t="str">
        <x:v>样本是编码智能体，不能直接把每个工程特征推广到全部职业工作。</x:v>
      </x:c>
      <x:c r="S317" s="8" t="str">
        <x:v>补充</x:v>
      </x:c>
      <x:c r="T317" s="12" t="str">
        <x:v>未分配</x:v>
      </x:c>
      <x:c r="U317" s="12" t="str"/>
      <x:c r="V317" s="12" t="str"/>
      <x:c r="W317" s="12" t="str"/>
      <x:c r="X317" s="8" t="str">
        <x:v>verified</x:v>
      </x:c>
      <x:c r="Y317" s="11" t="str"/>
      <x:c r="Z317" s="11" t="str"/>
      <x:c r="AA317" s="11" t="str">
        <x:v>https://arxiv.org/pdf/2609.00006</x:v>
      </x:c>
      <x:c r="AB317" s="11" t="str">
        <x:v>https://arxiv.org/abs/2609.00006</x:v>
      </x:c>
      <x:c r="AC317" s="8" t="str">
        <x:v>L071</x:v>
      </x:c>
      <x:c r="AD317" s="8" t="str">
        <x:v>本轮新增候选；官方摘要。</x:v>
      </x:c>
      <x:c r="AE317" s="8" t="str">
        <x:v>2.1 Harness职责；2.3执行与状态。</x:v>
      </x:c>
      <x:c r="AF317" s="8" t="str">
        <x:v>用于“工作过程六要素”：为Harness作为实际系统组成提供具体工程证据。</x:v>
      </x:c>
      <x:c r="AG317" s="8" t="str">
        <x:v>harness</x:v>
      </x:c>
      <x:c r="AH317" s="8" t="str">
        <x:v>source-code anatomy of coding-agent runtimes</x:v>
      </x:c>
      <x:c r="AI317" s="8" t="str"/>
      <x:c r="AJ317" s="8" t="str">
        <x:v>2026-10-16 chapter 2 / former chapter 4 supplement</x:v>
      </x:c>
      <x:c r="AK317" s="13" t="d">
        <x:v>2026-10-16T00:00:00.000Z</x:v>
      </x:c>
      <x:c r="AL317" s="8" t="str">
        <x:v>本轮核验官方书目页、摘要与论文首页单位；来源阅读深度为书目材料原文，不代表本次全文阅读。研究样本是编码代理运行时，不把样本中的工程实践推广成所有职业代理的事实。</x:v>
      </x:c>
      <x:c r="AM317" s="8" t="str"/>
    </x:row>
    <x:row r="318" ht="68" customHeight="1">
      <x:c r="A318" s="8" t="str">
        <x:v>WA-0331</x:v>
      </x:c>
      <x:c r="B318" s="8" t="str">
        <x:v>VibeSearchBench</x:v>
      </x:c>
      <x:c r="C318" s="8" t="str">
        <x:v>VibeSearchBench: Benchmarking Long-horizon Proactive Search in the Wild</x:v>
      </x:c>
      <x:c r="D318" s="9" t="n">
        <x:v>2026</x:v>
      </x:c>
      <x:c r="E318" s="8" t="str">
        <x:v>Xiaohongshu Dots Studio; Unipat AI</x:v>
      </x:c>
      <x:c r="F318" s="10" t="str">
        <x:f>VLOOKUP(H318,'Taxonomy'!$A$6:$G$70,3,FALSE)</x:f>
        <x:v>基础：定义、工作条件与核心能力</x:v>
      </x:c>
      <x:c r="G318" s="10" t="str">
        <x:f>VLOOKUP(H318,'Taxonomy'!$A$6:$G$70,5,FALSE)</x:f>
        <x:v>工作条件</x:v>
      </x:c>
      <x:c r="H318" s="8" t="str">
        <x:v>2.2.2</x:v>
      </x:c>
      <x:c r="I318" s="10" t="str">
        <x:f>VLOOKUP(H318,'Taxonomy'!$A$6:$G$70,6,FALSE)</x:f>
        <x:v>工作开放性</x:v>
      </x:c>
      <x:c r="J318" s="8" t="str">
        <x:v>开放与变化条件;分布信息、澄清与协调;材料发现与证据定位</x:v>
      </x:c>
      <x:c r="K318" s="8" t="str">
        <x:v>感知与理解;推理与决策;规划与协调;执行与状态管理</x:v>
      </x:c>
      <x:c r="L318" s="8" t="str">
        <x:v>2.3.1 感知与理解;2.3.3 规划与协调</x:v>
      </x:c>
      <x:c r="M318" s="8" t="str"/>
      <x:c r="N318" s="8" t="str">
        <x:v>Benchmark</x:v>
      </x:c>
      <x:c r="O318" s="11" t="str">
        <x:v>https://arxiv.org/abs/2605.27882</x:v>
      </x:c>
      <x:c r="P318" s="8" t="str">
        <x:v>通过多轮用户模拟和逐步披露信息，从模糊需求形成结构化知识。</x:v>
      </x:c>
      <x:c r="Q318" s="8" t="str">
        <x:v>补充openness不只是环境变化，目标/偏好本身也需交互澄清。</x:v>
      </x:c>
      <x:c r="R318" s="8" t="str">
        <x:v>模拟器交互不等于真实用户满意度；搜索任务也未必是持续职责。</x:v>
      </x:c>
      <x:c r="S318" s="8" t="str">
        <x:v>补充</x:v>
      </x:c>
      <x:c r="T318" s="12" t="str">
        <x:v>未分配</x:v>
      </x:c>
      <x:c r="U318" s="12" t="str"/>
      <x:c r="V318" s="12" t="str"/>
      <x:c r="W318" s="12" t="str"/>
      <x:c r="X318" s="8" t="str">
        <x:v>verified</x:v>
      </x:c>
      <x:c r="Y318" s="11" t="str"/>
      <x:c r="Z318" s="11" t="str"/>
      <x:c r="AA318" s="11" t="str">
        <x:v>https://arxiv.org/pdf/2605.27882</x:v>
      </x:c>
      <x:c r="AB318" s="11" t="str">
        <x:v>https://arxiv.org/abs/2605.27882</x:v>
      </x:c>
      <x:c r="AC318" s="8" t="str">
        <x:v>L073</x:v>
      </x:c>
      <x:c r="AD318" s="8" t="str">
        <x:v>本轮新增候选；官方摘要。</x:v>
      </x:c>
      <x:c r="AE318" s="8" t="str">
        <x:v>2.2 Work Openness；2.3 理解/沟通。</x:v>
      </x:c>
      <x:c r="AF318" s="8" t="str">
        <x:v>用于“工作开放性”：补充openness不只是环境变化，目标/偏好本身也需交互澄清。</x:v>
      </x:c>
      <x:c r="AG318" s="8" t="str">
        <x:v>related</x:v>
      </x:c>
      <x:c r="AH318" s="8" t="str">
        <x:v>multi-turn intent elicitation and knowledge construction</x:v>
      </x:c>
      <x:c r="AI318" s="8" t="str"/>
      <x:c r="AJ318" s="8" t="str">
        <x:v>2026-10-16 chapter 2 / former chapter 4 supplement</x:v>
      </x:c>
      <x:c r="AK318" s="13" t="d">
        <x:v>2026-10-16T00:00:00.000Z</x:v>
      </x:c>
      <x:c r="AL318" s="8" t="str">
        <x:v>本轮核验官方书目页、摘要与论文首页单位；来源阅读深度为书目材料原文，不代表本次全文阅读。论文身份与首页单位已核验；原文项目链接 https://vibebench.github.io/VibeSearchBench 本次返回 404，未添加未经核验的代码/数据地址。</x:v>
      </x:c>
      <x:c r="AM318" s="8" t="str"/>
    </x:row>
    <x:row r="319" ht="68" customHeight="1">
      <x:c r="A319" s="8" t="str">
        <x:v>WA-0333</x:v>
      </x:c>
      <x:c r="B319" s="8" t="str">
        <x:v>Agent Evaluation and Benchmarking Survey</x:v>
      </x:c>
      <x:c r="C319" s="8" t="str">
        <x:v>Evaluation and Benchmarking of LLM Agents: A Survey</x:v>
      </x:c>
      <x:c r="D319" s="9" t="n">
        <x:v>2025</x:v>
      </x:c>
      <x:c r="E319" s="8" t="str">
        <x:v>SAP Labs</x:v>
      </x:c>
      <x:c r="F319" s="10" t="str">
        <x:f>VLOOKUP(H319,'Taxonomy'!$A$6:$G$70,3,FALSE)</x:f>
        <x:v>评估与资源：如何检验工作完成</x:v>
      </x:c>
      <x:c r="G319" s="10" t="str">
        <x:f>VLOOKUP(H319,'Taxonomy'!$A$6:$G$70,5,FALSE)</x:f>
        <x:v>评估方法</x:v>
      </x:c>
      <x:c r="H319" s="8" t="str">
        <x:v>6.2</x:v>
      </x:c>
      <x:c r="I319" s="10" t="str">
        <x:f>VLOOKUP(H319,'Taxonomy'!$A$6:$G$70,6,FALSE)</x:f>
        <x:v>评估方法</x:v>
      </x:c>
      <x:c r="J319" s="8" t="str">
        <x:v>答案、产物、状态与过程证据;任务覆盖与泛化边界;范式与自主性边界</x:v>
      </x:c>
      <x:c r="K319" s="8" t="str">
        <x:v>验证、恢复与重新规划</x:v>
      </x:c>
      <x:c r="L319" s="8" t="str">
        <x:v>2.3 五项核心能力;6.1.2 领域覆盖与工作要求</x:v>
      </x:c>
      <x:c r="M319" s="8" t="str"/>
      <x:c r="N319" s="8" t="str">
        <x:v>Survey</x:v>
      </x:c>
      <x:c r="O319" s="11" t="str">
        <x:v>https://arxiv.org/abs/2507.21504</x:v>
      </x:c>
      <x:c r="P319" s="8" t="str">
        <x:v>区分评价什么与如何评价，并讨论企业场景中的可靠性、访问控制等挑战。</x:v>
      </x:c>
      <x:c r="Q319" s="8" t="str">
        <x:v>帮助把能力定义与测量协议分层，避免第二章变成基准目录。</x:v>
      </x:c>
      <x:c r="R319" s="8" t="str">
        <x:v>某基准覆盖某项能力不等于它单独、充分地测量该能力。</x:v>
      </x:c>
      <x:c r="S319" s="8" t="str">
        <x:v>补充</x:v>
      </x:c>
      <x:c r="T319" s="12" t="str">
        <x:v>未分配</x:v>
      </x:c>
      <x:c r="U319" s="12" t="str"/>
      <x:c r="V319" s="12" t="str"/>
      <x:c r="W319" s="12" t="str"/>
      <x:c r="X319" s="8" t="str">
        <x:v>verified</x:v>
      </x:c>
      <x:c r="Y319" s="11" t="str"/>
      <x:c r="Z319" s="11" t="str"/>
      <x:c r="AA319" s="11" t="str">
        <x:v>https://arxiv.org/html/2507.21504v1</x:v>
      </x:c>
      <x:c r="AB319" s="11" t="str">
        <x:v>https://arxiv.org/abs/2507.21504</x:v>
      </x:c>
      <x:c r="AC319" s="8" t="str">
        <x:v>L076</x:v>
      </x:c>
      <x:c r="AD319" s="8" t="str">
        <x:v>本轮新增候选；官方摘要。</x:v>
      </x:c>
      <x:c r="AE319" s="8" t="str">
        <x:v>2.3能力导语；第六章评估结构。</x:v>
      </x:c>
      <x:c r="AF319" s="8" t="str">
        <x:v>用于“评估方法”：帮助把能力定义与测量协议分层，避免第二章变成基准目录。</x:v>
      </x:c>
      <x:c r="AG319" s="8" t="str">
        <x:v>verification</x:v>
      </x:c>
      <x:c r="AH319" s="8" t="str">
        <x:v>evaluation objectives and procedures</x:v>
      </x:c>
      <x:c r="AI319" s="8" t="str"/>
      <x:c r="AJ319" s="8" t="str">
        <x:v>2026-10-16 chapter 2 / former chapter 4 supplement</x:v>
      </x:c>
      <x:c r="AK319" s="13" t="d">
        <x:v>2026-10-16T00:00:00.000Z</x:v>
      </x:c>
      <x:c r="AL319" s="8" t="str">
        <x:v>本轮独立核验arXiv题名、URL、首发年份及正文前置机构信息；未声称通读全文。</x:v>
      </x:c>
      <x:c r="AM319" s="8" t="str"/>
    </x:row>
    <x:row r="320" ht="68" customHeight="1">
      <x:c r="A320" s="8" t="str">
        <x:v>WA-0334</x:v>
      </x:c>
      <x:c r="B320" s="8" t="str">
        <x:v>Levels of Autonomy</x:v>
      </x:c>
      <x:c r="C320" s="8" t="str">
        <x:v>Levels of Autonomy for AI Agents</x:v>
      </x:c>
      <x:c r="D320" s="9" t="n">
        <x:v>2025</x:v>
      </x:c>
      <x:c r="E320" s="8" t="str">
        <x:v>University of Washington</x:v>
      </x:c>
      <x:c r="F320" s="10" t="str">
        <x:f>VLOOKUP(H320,'Taxonomy'!$A$6:$G$70,3,FALSE)</x:f>
        <x:v>基础：定义、工作条件与核心能力</x:v>
      </x:c>
      <x:c r="G320" s="10" t="str">
        <x:f>VLOOKUP(H320,'Taxonomy'!$A$6:$G$70,5,FALSE)</x:f>
        <x:v>相关智能体范式</x:v>
      </x:c>
      <x:c r="H320" s="8" t="str">
        <x:v>2.4.4</x:v>
      </x:c>
      <x:c r="I320" s="10" t="str">
        <x:f>VLOOKUP(H320,'Taxonomy'!$A$6:$G$70,6,FALSE)</x:f>
        <x:v>范式间关系</x:v>
      </x:c>
      <x:c r="J320" s="8" t="str">
        <x:v>范式与自主性边界;分布信息、澄清与协调;委托、责任与权限</x:v>
      </x:c>
      <x:c r="K320" s="8" t="str">
        <x:v>规划与协调</x:v>
      </x:c>
      <x:c r="L320" s="8" t="str">
        <x:v>3.1 响应级工作;7.4.3 组织集成与经济价值</x:v>
      </x:c>
      <x:c r="M320" s="8" t="str"/>
      <x:c r="N320" s="8" t="str">
        <x:v>Background</x:v>
      </x:c>
      <x:c r="O320" s="11" t="str">
        <x:v>https://arxiv.org/abs/2506.12469</x:v>
      </x:c>
      <x:c r="P320" s="8" t="str">
        <x:v>以人在交互中的角色区分自主程度，如操作者、合作者、顾问、批准者和观察者。</x:v>
      </x:c>
      <x:c r="Q320" s="8" t="str">
        <x:v>支撑工作组织形态与自主程度应分开描述；多步骤任务不等于更高自主性。</x:v>
      </x:c>
      <x:c r="R320" s="8" t="str">
        <x:v>人的参与程度不是本文五类工作形态的替代尺度。</x:v>
      </x:c>
      <x:c r="S320" s="8" t="str">
        <x:v>补充</x:v>
      </x:c>
      <x:c r="T320" s="12" t="str">
        <x:v>未分配</x:v>
      </x:c>
      <x:c r="U320" s="12" t="str"/>
      <x:c r="V320" s="12" t="str"/>
      <x:c r="W320" s="12" t="str"/>
      <x:c r="X320" s="8" t="str">
        <x:v>verified</x:v>
      </x:c>
      <x:c r="Y320" s="11" t="str"/>
      <x:c r="Z320" s="11" t="str"/>
      <x:c r="AA320" s="11" t="str">
        <x:v>https://arxiv.org/html/2506.12469v1</x:v>
      </x:c>
      <x:c r="AB320" s="11" t="str">
        <x:v>https://arxiv.org/abs/2506.12469</x:v>
      </x:c>
      <x:c r="AC320" s="8" t="str">
        <x:v>L077</x:v>
      </x:c>
      <x:c r="AD320" s="8" t="str">
        <x:v>文献库已有，2／4未引；官方摘要。</x:v>
      </x:c>
      <x:c r="AE320" s="8" t="str">
        <x:v>2.4范式边界；第三章分类说明。</x:v>
      </x:c>
      <x:c r="AF320" s="8" t="str">
        <x:v>用于“范式间关系”：支撑工作组织形态与自主程度应分开描述；多步骤任务不等于更高自主性。 人的参与角色不等同于第3章工作组织层级，二者不建立严格对应。</x:v>
      </x:c>
      <x:c r="AG320" s="8" t="str">
        <x:v>related</x:v>
      </x:c>
      <x:c r="AH320" s="8" t="str">
        <x:v>autonomy and human control</x:v>
      </x:c>
      <x:c r="AI320" s="8" t="str"/>
      <x:c r="AJ320" s="8" t="str">
        <x:v>2026-10-16 chapter 2 / former chapter 4 supplement</x:v>
      </x:c>
      <x:c r="AK320" s="13" t="d">
        <x:v>2026-10-16T00:00:00.000Z</x:v>
      </x:c>
      <x:c r="AL320" s="8" t="str">
        <x:v>本轮独立核验arXiv题名、URL、首发年份及正文前置机构信息；未声称通读全文。</x:v>
      </x:c>
      <x:c r="AM320" s="8" t="str"/>
    </x:row>
    <x:row r="321" ht="68" customHeight="1">
      <x:c r="A321" s="8" t="str">
        <x:v>WA-0335</x:v>
      </x:c>
      <x:c r="B321" s="8" t="str">
        <x:v>Rethinking Agent Memory</x:v>
      </x:c>
      <x:c r="C321" s="8" t="str">
        <x:v>Rethinking Memory in LLM based Agents: Representations, Operations, and Emerging Topics</x:v>
      </x:c>
      <x:c r="D321" s="9" t="n">
        <x:v>2025</x:v>
      </x:c>
      <x:c r="E321" s="8" t="str">
        <x:v>Chinese University of Hong Kong; University of Edinburgh; HKUST; Huawei UK R&amp;D</x:v>
      </x:c>
      <x:c r="F321" s="10" t="str">
        <x:f>VLOOKUP(H321,'Taxonomy'!$A$6:$G$70,3,FALSE)</x:f>
        <x:v>基础：定义、工作条件与核心能力</x:v>
      </x:c>
      <x:c r="G321" s="10" t="str">
        <x:f>VLOOKUP(H321,'Taxonomy'!$A$6:$G$70,5,FALSE)</x:f>
        <x:v>五项核心能力</x:v>
      </x:c>
      <x:c r="H321" s="8" t="str">
        <x:v>2.3.4</x:v>
      </x:c>
      <x:c r="I321" s="10" t="str">
        <x:f>VLOOKUP(H321,'Taxonomy'!$A$6:$G$70,6,FALSE)</x:f>
        <x:v>执行与状态管理</x:v>
      </x:c>
      <x:c r="J321" s="8" t="str">
        <x:v>上下文与记忆管理;当前状态与版本有效性</x:v>
      </x:c>
      <x:c r="K321" s="8" t="str">
        <x:v>执行与状态管理</x:v>
      </x:c>
      <x:c r="L321" s="8" t="str">
        <x:v>7.2.1 持久用户记忆与工作状态</x:v>
      </x:c>
      <x:c r="M321" s="8" t="str"/>
      <x:c r="N321" s="8" t="str">
        <x:v>Survey</x:v>
      </x:c>
      <x:c r="O321" s="11" t="str">
        <x:v>https://arxiv.org/abs/2505.00675</x:v>
      </x:c>
      <x:c r="P321" s="8" t="str">
        <x:v>区分参数化与上下文记忆，并梳理更新、索引、遗忘、检索等记忆操作。</x:v>
      </x:c>
      <x:c r="Q321" s="8" t="str">
        <x:v>帮助说明保存历史信息与维护当前有效工作状态之间的关系。</x:v>
      </x:c>
      <x:c r="R321" s="8" t="str">
        <x:v>记忆机制不自动等于外部业务状态、文件版本或事务一致性。</x:v>
      </x:c>
      <x:c r="S321" s="8" t="str">
        <x:v>补充</x:v>
      </x:c>
      <x:c r="T321" s="12" t="str">
        <x:v>未分配</x:v>
      </x:c>
      <x:c r="U321" s="12" t="str"/>
      <x:c r="V321" s="12" t="str"/>
      <x:c r="W321" s="12" t="str"/>
      <x:c r="X321" s="8" t="str">
        <x:v>verified</x:v>
      </x:c>
      <x:c r="Y321" s="11" t="str">
        <x:v>https://github.com/Elvin-Yiming-Du/Survey_Memory_in_AI</x:v>
      </x:c>
      <x:c r="Z321" s="11" t="str"/>
      <x:c r="AA321" s="11" t="str">
        <x:v>https://arxiv.org/html/2505.00675v1</x:v>
      </x:c>
      <x:c r="AB321" s="11" t="str">
        <x:v>https://arxiv.org/abs/2505.00675</x:v>
      </x:c>
      <x:c r="AC321" s="8" t="str">
        <x:v>L082</x:v>
      </x:c>
      <x:c r="AD321" s="8" t="str">
        <x:v>本轮新增候选；官方摘要。</x:v>
      </x:c>
      <x:c r="AE321" s="8" t="str">
        <x:v>2.3.4执行与状态管理。</x:v>
      </x:c>
      <x:c r="AF321" s="8" t="str">
        <x:v>用于“执行与状态管理”：帮助说明保存历史信息与维护当前有效工作状态之间的关系。</x:v>
      </x:c>
      <x:c r="AG321" s="8" t="str">
        <x:v>persistent</x:v>
      </x:c>
      <x:c r="AH321" s="8" t="str">
        <x:v>memory representations and operations</x:v>
      </x:c>
      <x:c r="AI321" s="8" t="str"/>
      <x:c r="AJ321" s="8" t="str">
        <x:v>2026-10-16 chapter 2 / former chapter 4 supplement</x:v>
      </x:c>
      <x:c r="AK321" s="13" t="d">
        <x:v>2026-10-16T00:00:00.000Z</x:v>
      </x:c>
      <x:c r="AL321" s="8" t="str">
        <x:v>本轮独立核验arXiv题名、URL、首发年份及正文前置机构信息；未声称通读全文。</x:v>
      </x:c>
      <x:c r="AM321" s="8" t="str"/>
    </x:row>
    <x:row r="322" ht="68" customHeight="1">
      <x:c r="A322" s="8" t="str">
        <x:v>WA-0336</x:v>
      </x:c>
      <x:c r="B322" s="8" t="str">
        <x:v>Multimodal Document RAG Survey</x:v>
      </x:c>
      <x:c r="C322" s="8" t="str">
        <x:v>Scaling Beyond Context: A Survey of Multimodal Retrieval-Augmented Generation for Document Understanding</x:v>
      </x:c>
      <x:c r="D322" s="9" t="n">
        <x:v>2025</x:v>
      </x:c>
      <x:c r="E322" s="8" t="str">
        <x:v>Tsinghua University; Alibaba International Digital Commerce Group; MBZUAI; Wuhan University; University of Melbourne</x:v>
      </x:c>
      <x:c r="F322" s="10" t="str">
        <x:f>VLOOKUP(H322,'Taxonomy'!$A$6:$G$70,3,FALSE)</x:f>
        <x:v>基础：定义、工作条件与核心能力</x:v>
      </x:c>
      <x:c r="G322" s="10" t="str">
        <x:f>VLOOKUP(H322,'Taxonomy'!$A$6:$G$70,5,FALSE)</x:f>
        <x:v>五项核心能力</x:v>
      </x:c>
      <x:c r="H322" s="8" t="str">
        <x:v>2.3.1</x:v>
      </x:c>
      <x:c r="I322" s="10" t="str">
        <x:f>VLOOKUP(H322,'Taxonomy'!$A$6:$G$70,6,FALSE)</x:f>
        <x:v>感知与理解</x:v>
      </x:c>
      <x:c r="J322" s="8" t="str">
        <x:v>对象结构、模态与语义;材料发现与证据定位;对象关系、来源与依赖</x:v>
      </x:c>
      <x:c r="K322" s="8" t="str">
        <x:v>感知与理解;推理与决策</x:v>
      </x:c>
      <x:c r="L322" s="8" t="str">
        <x:v>6.2.1 评估目标与可观察证据</x:v>
      </x:c>
      <x:c r="M322" s="8" t="str"/>
      <x:c r="N322" s="8" t="str">
        <x:v>Survey</x:v>
      </x:c>
      <x:c r="O322" s="11" t="str">
        <x:v>https://arxiv.org/abs/2510.15253</x:v>
      </x:c>
      <x:c r="P322" s="8" t="str">
        <x:v>按领域、检索模态与粒度整理文档RAG，并讨论图结构和Agent框架。</x:v>
      </x:c>
      <x:c r="Q322" s="8" t="str">
        <x:v>帮助把感知理解段落按材料表示—证据获取—理解组织，避免成为格式或模型名单。</x:v>
      </x:c>
      <x:c r="R322" s="8" t="str">
        <x:v>范围是文档RAG，不是working agent整体；本轮核摘要、分类与参考列表，未逐条复核其综述结论。</x:v>
      </x:c>
      <x:c r="S322" s="8" t="str">
        <x:v>补充</x:v>
      </x:c>
      <x:c r="T322" s="12" t="str">
        <x:v>未分配</x:v>
      </x:c>
      <x:c r="U322" s="12" t="str"/>
      <x:c r="V322" s="12" t="str"/>
      <x:c r="W322" s="12" t="str"/>
      <x:c r="X322" s="8" t="str">
        <x:v>verified</x:v>
      </x:c>
      <x:c r="Y322" s="11" t="str"/>
      <x:c r="Z322" s="11" t="str"/>
      <x:c r="AA322" s="11" t="str">
        <x:v>https://arxiv.org/html/2510.15253v1</x:v>
      </x:c>
      <x:c r="AB322" s="11" t="str">
        <x:v>https://arxiv.org/abs/2510.15253</x:v>
      </x:c>
      <x:c r="AC322" s="8" t="str">
        <x:v>L083</x:v>
      </x:c>
      <x:c r="AD322" s="8" t="str">
        <x:v>本轮新增候选；原文相关章节。</x:v>
      </x:c>
      <x:c r="AE322" s="8" t="str">
        <x:v>2.3.1背景组织；原4.1压缩时的文献入口。</x:v>
      </x:c>
      <x:c r="AF322" s="8" t="str">
        <x:v>用于“感知与理解”：帮助把感知理解段落按材料表示—证据获取—理解组织，避免成为格式或模型名单。</x:v>
      </x:c>
      <x:c r="AG322" s="8" t="str">
        <x:v>related</x:v>
      </x:c>
      <x:c r="AH322" s="8" t="str">
        <x:v>multimodal document retrieval</x:v>
      </x:c>
      <x:c r="AI322" s="8" t="str"/>
      <x:c r="AJ322" s="8" t="str">
        <x:v>2026-10-16 chapter 2 / former chapter 4 supplement</x:v>
      </x:c>
      <x:c r="AK322" s="13" t="d">
        <x:v>2026-10-16T00:00:00.000Z</x:v>
      </x:c>
      <x:c r="AL322" s="8" t="str">
        <x:v>附件补充一手来源：[参考列表追踪方法与文档理解基准；其年份为首次2025而非后续修订日期。](https://arxiv.org/html/2510.15253)。 本轮独立核验arXiv题名、URL、首发年份及正文前置机构信息；未声称通读全文。</x:v>
      </x:c>
      <x:c r="AM322" s="8" t="str"/>
    </x:row>
    <x:row r="323" ht="68" customHeight="1">
      <x:c r="A323" s="8" t="str">
        <x:v>WA-0337</x:v>
      </x:c>
      <x:c r="B323" s="8" t="str">
        <x:v>Survey on Agent Evaluation</x:v>
      </x:c>
      <x:c r="C323" s="8" t="str">
        <x:v>Survey on Evaluation of LLM-based Agents</x:v>
      </x:c>
      <x:c r="D323" s="9" t="n">
        <x:v>2025</x:v>
      </x:c>
      <x:c r="E323" s="8" t="str">
        <x:v>Hebrew University of Jerusalem; IBM Research; Yale University</x:v>
      </x:c>
      <x:c r="F323" s="10" t="str">
        <x:f>VLOOKUP(H323,'Taxonomy'!$A$6:$G$70,3,FALSE)</x:f>
        <x:v>评估与资源：如何检验工作完成</x:v>
      </x:c>
      <x:c r="G323" s="10" t="str">
        <x:f>VLOOKUP(H323,'Taxonomy'!$A$6:$G$70,5,FALSE)</x:f>
        <x:v>评估方法</x:v>
      </x:c>
      <x:c r="H323" s="8" t="str">
        <x:v>6.2</x:v>
      </x:c>
      <x:c r="I323" s="10" t="str">
        <x:f>VLOOKUP(H323,'Taxonomy'!$A$6:$G$70,6,FALSE)</x:f>
        <x:v>评估方法</x:v>
      </x:c>
      <x:c r="J323" s="8" t="str">
        <x:v>答案、产物、状态与过程证据;标准、量规与裁判;任务覆盖与泛化边界</x:v>
      </x:c>
      <x:c r="K323" s="8" t="str">
        <x:v>验证、恢复与重新规划</x:v>
      </x:c>
      <x:c r="L323" s="8" t="str">
        <x:v>2.3 五项核心能力;6.1.2 领域覆盖与工作要求</x:v>
      </x:c>
      <x:c r="M323" s="8" t="str"/>
      <x:c r="N323" s="8" t="str">
        <x:v>Survey</x:v>
      </x:c>
      <x:c r="O323" s="11" t="str">
        <x:v>https://arxiv.org/abs/2503.16416</x:v>
      </x:c>
      <x:c r="P323" s="8" t="str">
        <x:v>现行摘要从核心能力、应用、通用智能体、基准维度及框架工具等角度组织评价。</x:v>
      </x:c>
      <x:c r="Q323" s="8" t="str">
        <x:v>为能力维度与任务设置分开编表提供参照。</x:v>
      </x:c>
      <x:c r="R323" s="8" t="str">
        <x:v>当前版本与早期结构不同，引用分类数量时需要绑定版本。</x:v>
      </x:c>
      <x:c r="S323" s="8" t="str">
        <x:v>补充</x:v>
      </x:c>
      <x:c r="T323" s="12" t="str">
        <x:v>未分配</x:v>
      </x:c>
      <x:c r="U323" s="12" t="str"/>
      <x:c r="V323" s="12" t="str"/>
      <x:c r="W323" s="12" t="str"/>
      <x:c r="X323" s="8" t="str">
        <x:v>verified</x:v>
      </x:c>
      <x:c r="Y323" s="11" t="str"/>
      <x:c r="Z323" s="11" t="str"/>
      <x:c r="AA323" s="11" t="str">
        <x:v>https://arxiv.org/html/2503.16416v1</x:v>
      </x:c>
      <x:c r="AB323" s="11" t="str">
        <x:v>https://arxiv.org/abs/2503.16416</x:v>
      </x:c>
      <x:c r="AC323" s="8" t="str">
        <x:v>L084</x:v>
      </x:c>
      <x:c r="AD323" s="8" t="str">
        <x:v>本轮新增候选；官方摘要。</x:v>
      </x:c>
      <x:c r="AE323" s="8" t="str">
        <x:v>2.3能力概览；第六章评估。</x:v>
      </x:c>
      <x:c r="AF323" s="8" t="str">
        <x:v>用于“评估方法”：为能力维度与任务设置分开编表提供参照。</x:v>
      </x:c>
      <x:c r="AG323" s="8" t="str">
        <x:v>verification</x:v>
      </x:c>
      <x:c r="AH323" s="8" t="str">
        <x:v>agent evaluation taxonomy</x:v>
      </x:c>
      <x:c r="AI323" s="8" t="str"/>
      <x:c r="AJ323" s="8" t="str">
        <x:v>2026-10-16 chapter 2 / former chapter 4 supplement</x:v>
      </x:c>
      <x:c r="AK323" s="13" t="d">
        <x:v>2026-10-16T00:00:00.000Z</x:v>
      </x:c>
      <x:c r="AL323" s="8" t="str">
        <x:v>本轮独立核验arXiv题名、URL、首发年份及正文前置机构信息；未声称通读全文。</x:v>
      </x:c>
      <x:c r="AM323" s="8" t="str"/>
    </x:row>
    <x:row r="324" ht="68" customHeight="1">
      <x:c r="A324" s="8" t="str">
        <x:v>WA-0338</x:v>
      </x:c>
      <x:c r="B324" s="8" t="str">
        <x:v>ColPali / ViDoRe</x:v>
      </x:c>
      <x:c r="C324" s="8" t="str">
        <x:v>ColPali: Efficient Document Retrieval with Vision Language Models</x:v>
      </x:c>
      <x:c r="D324" s="9" t="n">
        <x:v>2024</x:v>
      </x:c>
      <x:c r="E324" s="8" t="str">
        <x:v>Illuin Technology; CentraleSupélec, Paris-Saclay; ETH Zürich; Equall.ai</x:v>
      </x:c>
      <x:c r="F324" s="10" t="str">
        <x:f>VLOOKUP(H324,'Taxonomy'!$A$6:$G$70,3,FALSE)</x:f>
        <x:v>基础：定义、工作条件与核心能力</x:v>
      </x:c>
      <x:c r="G324" s="10" t="str">
        <x:f>VLOOKUP(H324,'Taxonomy'!$A$6:$G$70,5,FALSE)</x:f>
        <x:v>五项核心能力</x:v>
      </x:c>
      <x:c r="H324" s="8" t="str">
        <x:v>2.3.1</x:v>
      </x:c>
      <x:c r="I324" s="10" t="str">
        <x:f>VLOOKUP(H324,'Taxonomy'!$A$6:$G$70,6,FALSE)</x:f>
        <x:v>感知与理解</x:v>
      </x:c>
      <x:c r="J324" s="8" t="str">
        <x:v>材料发现与证据定位;对象结构、模态与语义</x:v>
      </x:c>
      <x:c r="K324" s="8" t="str">
        <x:v>感知与理解</x:v>
      </x:c>
      <x:c r="L324" s="8" t="str">
        <x:v>6.2.1 评估目标与可观察证据</x:v>
      </x:c>
      <x:c r="M324" s="8" t="str"/>
      <x:c r="N324" s="8" t="str">
        <x:v>Method;Benchmark</x:v>
      </x:c>
      <x:c r="O324" s="11" t="str">
        <x:v>https://arxiv.org/abs/2407.01449</x:v>
      </x:c>
      <x:c r="P324" s="8" t="str">
        <x:v>以页面图像多向量表示和晚交互检索避免只依赖OCR文本；同时提出ViDoRe。</x:v>
      </x:c>
      <x:c r="Q324" s="8" t="str">
        <x:v>给“版面和图像是有用信息”一个可操作的检索方案，而不是泛泛强调多模态。</x:v>
      </x:c>
      <x:c r="R324" s="8" t="str">
        <x:v>页检索不保留所有原生对象可编辑结构；视觉检索优势不能直接推出端到端工作成果更好。</x:v>
      </x:c>
      <x:c r="S324" s="8" t="str">
        <x:v>补充</x:v>
      </x:c>
      <x:c r="T324" s="12" t="str">
        <x:v>未分配</x:v>
      </x:c>
      <x:c r="U324" s="12" t="str"/>
      <x:c r="V324" s="12" t="str"/>
      <x:c r="W324" s="12" t="str"/>
      <x:c r="X324" s="8" t="str">
        <x:v>verified</x:v>
      </x:c>
      <x:c r="Y324" s="11" t="str">
        <x:v>https://github.com/illuin-tech/colpali</x:v>
      </x:c>
      <x:c r="Z324" s="11" t="str"/>
      <x:c r="AA324" s="11" t="str">
        <x:v>https://arxiv.org/html/2407.01449v1</x:v>
      </x:c>
      <x:c r="AB324" s="11" t="str">
        <x:v>https://arxiv.org/abs/2407.01449</x:v>
      </x:c>
      <x:c r="AC324" s="8" t="str">
        <x:v>L085</x:v>
      </x:c>
      <x:c r="AD324" s="8" t="str">
        <x:v>本轮新增候选；官方摘要。</x:v>
      </x:c>
      <x:c r="AE324" s="8" t="str">
        <x:v>2.3.1感知与材料发现。</x:v>
      </x:c>
      <x:c r="AF324" s="8" t="str">
        <x:v>用于“感知与理解”：给“版面和图像是有用信息”一个可操作的检索方案，而不是泛泛强调多模态。</x:v>
      </x:c>
      <x:c r="AG324" s="8" t="str">
        <x:v>related</x:v>
      </x:c>
      <x:c r="AH324" s="8" t="str">
        <x:v>visual document retrieval</x:v>
      </x:c>
      <x:c r="AI324" s="8" t="str"/>
      <x:c r="AJ324" s="8" t="str">
        <x:v>2026-10-16 chapter 2 / former chapter 4 supplement</x:v>
      </x:c>
      <x:c r="AK324" s="13" t="d">
        <x:v>2026-10-16T00:00:00.000Z</x:v>
      </x:c>
      <x:c r="AL324" s="8" t="str">
        <x:v>本轮独立核验arXiv题名、URL、首发年份及正文前置机构信息；未声称通读全文。</x:v>
      </x:c>
      <x:c r="AM324" s="8" t="str"/>
    </x:row>
    <x:row r="325" ht="68" customHeight="1">
      <x:c r="A325" s="8" t="str">
        <x:v>WA-0339</x:v>
      </x:c>
      <x:c r="B325" s="8" t="str">
        <x:v>DocBench</x:v>
      </x:c>
      <x:c r="C325" s="8" t="str">
        <x:v>DOCBENCH: A Benchmark for Evaluating LLM-based Document Reading Systems</x:v>
      </x:c>
      <x:c r="D325" s="9" t="n">
        <x:v>2024</x:v>
      </x:c>
      <x:c r="E325" s="8" t="str">
        <x:v>Shanghai Jiao Tong University; Tencent AI Lab</x:v>
      </x:c>
      <x:c r="F325" s="10" t="str">
        <x:f>VLOOKUP(H325,'Taxonomy'!$A$6:$G$70,3,FALSE)</x:f>
        <x:v>基础：定义、工作条件与核心能力</x:v>
      </x:c>
      <x:c r="G325" s="10" t="str">
        <x:f>VLOOKUP(H325,'Taxonomy'!$A$6:$G$70,5,FALSE)</x:f>
        <x:v>五项核心能力</x:v>
      </x:c>
      <x:c r="H325" s="8" t="str">
        <x:v>2.3.1</x:v>
      </x:c>
      <x:c r="I325" s="10" t="str">
        <x:f>VLOOKUP(H325,'Taxonomy'!$A$6:$G$70,6,FALSE)</x:f>
        <x:v>感知与理解</x:v>
      </x:c>
      <x:c r="J325" s="8" t="str">
        <x:v>对象结构、模态与语义;定义、系统职责与工作循环;答案、产物、状态与过程证据</x:v>
      </x:c>
      <x:c r="K325" s="8" t="str">
        <x:v>感知与理解;推理与决策</x:v>
      </x:c>
      <x:c r="L325" s="8" t="str">
        <x:v>2.1.2 工作过程六要素;6.2.1 评估目标与可观察证据</x:v>
      </x:c>
      <x:c r="M325" s="8" t="str"/>
      <x:c r="N325" s="8" t="str">
        <x:v>Benchmark</x:v>
      </x:c>
      <x:c r="O325" s="11" t="str">
        <x:v>https://arxiv.org/abs/2407.10701</x:v>
      </x:c>
      <x:c r="P325" s="8" t="str">
        <x:v>以用户上传原始文件后问答的系统为评测对象，覆盖解析、元信息、多模态及长上下文问题。</x:v>
      </x:c>
      <x:c r="Q325" s="8" t="str">
        <x:v>支持模型能力与文件处理管线共同构成实际表现，而不是只给已抽取文本。</x:v>
      </x:c>
      <x:c r="R325" s="8" t="str">
        <x:v>主要是文档阅读系统，不能把含pipeline就等同自主工作Agent。</x:v>
      </x:c>
      <x:c r="S325" s="8" t="str">
        <x:v>补充</x:v>
      </x:c>
      <x:c r="T325" s="12" t="str">
        <x:v>未分配</x:v>
      </x:c>
      <x:c r="U325" s="12" t="str"/>
      <x:c r="V325" s="12" t="str"/>
      <x:c r="W325" s="12" t="str"/>
      <x:c r="X325" s="8" t="str">
        <x:v>verified</x:v>
      </x:c>
      <x:c r="Y325" s="11" t="str">
        <x:v>https://github.com/Anni-Zou/DocBench</x:v>
      </x:c>
      <x:c r="Z325" s="11" t="str"/>
      <x:c r="AA325" s="11" t="str">
        <x:v>https://arxiv.org/html/2407.10701v1</x:v>
      </x:c>
      <x:c r="AB325" s="11" t="str">
        <x:v>https://arxiv.org/abs/2407.10701</x:v>
      </x:c>
      <x:c r="AC325" s="8" t="str">
        <x:v>L088;AIO-292</x:v>
      </x:c>
      <x:c r="AD325" s="8" t="str">
        <x:v>本轮新增候选；官方摘要。</x:v>
      </x:c>
      <x:c r="AE325" s="8" t="str">
        <x:v>2.1系统视角；2.3.1文档理解。</x:v>
      </x:c>
      <x:c r="AF325" s="8" t="str">
        <x:v>用于“感知与理解”：支持模型能力与文件处理管线共同构成实际表现，而不是只给已抽取文本。</x:v>
      </x:c>
      <x:c r="AG325" s="8" t="str">
        <x:v>related</x:v>
      </x:c>
      <x:c r="AH325" s="8" t="str">
        <x:v>end-to-end document reading</x:v>
      </x:c>
      <x:c r="AI325" s="8" t="str"/>
      <x:c r="AJ325" s="8" t="str">
        <x:v>2026-10-16 chapter 2 / former chapter 4 supplement;2026-10-16 AI Office survey bibliography</x:v>
      </x:c>
      <x:c r="AK325" s="13" t="d">
        <x:v>2026-10-16T00:00:00.000Z</x:v>
      </x:c>
      <x:c r="AL325" s="8" t="str">
        <x:v>本轮独立核验arXiv题名、URL、首发年份及正文前置机构信息；未声称通读全文。</x:v>
      </x:c>
      <x:c r="AM325" s="8" t="str"/>
    </x:row>
    <x:row r="326" ht="68" customHeight="1">
      <x:c r="A326" s="8" t="str">
        <x:v>WA-0340</x:v>
      </x:c>
      <x:c r="B326" s="8" t="str">
        <x:v>M-LongDoc</x:v>
      </x:c>
      <x:c r="C326" s="8" t="str">
        <x:v>M-Longdoc: A Benchmark For Multimodal Super-Long Document Understanding And A Retrieval-Aware Tuning Framework</x:v>
      </x:c>
      <x:c r="D326" s="9" t="n">
        <x:v>2024</x:v>
      </x:c>
      <x:c r="E326" s="8" t="str">
        <x:v>Alibaba DAMO Academy; Singapore University of Technology and Design; Nanyang Technological University</x:v>
      </x:c>
      <x:c r="F326" s="10" t="str">
        <x:f>VLOOKUP(H326,'Taxonomy'!$A$6:$G$70,3,FALSE)</x:f>
        <x:v>基础：定义、工作条件与核心能力</x:v>
      </x:c>
      <x:c r="G326" s="10" t="str">
        <x:f>VLOOKUP(H326,'Taxonomy'!$A$6:$G$70,5,FALSE)</x:f>
        <x:v>五项核心能力</x:v>
      </x:c>
      <x:c r="H326" s="8" t="str">
        <x:v>2.3.1</x:v>
      </x:c>
      <x:c r="I326" s="10" t="str">
        <x:f>VLOOKUP(H326,'Taxonomy'!$A$6:$G$70,6,FALSE)</x:f>
        <x:v>感知与理解</x:v>
      </x:c>
      <x:c r="J326" s="8" t="str">
        <x:v>材料发现与证据定位;对象结构、模态与语义;证据整合与推理</x:v>
      </x:c>
      <x:c r="K326" s="8" t="str">
        <x:v>感知与理解;推理与决策</x:v>
      </x:c>
      <x:c r="L326" s="8" t="str">
        <x:v>2.3.2 推理与决策;6.1.2 领域覆盖与工作要求</x:v>
      </x:c>
      <x:c r="M326" s="8" t="str"/>
      <x:c r="N326" s="8" t="str">
        <x:v>Benchmark;Method</x:v>
      </x:c>
      <x:c r="O326" s="11" t="str">
        <x:v>https://arxiv.org/abs/2411.06176</x:v>
      </x:c>
      <x:c r="P326" s="8" t="str">
        <x:v>面向数百页文档的开放式答案，另提出利用检索页并忽略干扰页的训练方法。</x:v>
      </x:c>
      <x:c r="Q326" s="8" t="str">
        <x:v>补充仅短答案或定位任务不足以覆盖综合分析的证据。</x:v>
      </x:c>
      <x:c r="R326" s="8" t="str">
        <x:v>2024预印本/EMNLP2025；读文档仍不代表修改文件或维护工作状态。</x:v>
      </x:c>
      <x:c r="S326" s="8" t="str">
        <x:v>补充</x:v>
      </x:c>
      <x:c r="T326" s="12" t="str">
        <x:v>未分配</x:v>
      </x:c>
      <x:c r="U326" s="12" t="str"/>
      <x:c r="V326" s="12" t="str"/>
      <x:c r="W326" s="12" t="str"/>
      <x:c r="X326" s="8" t="str">
        <x:v>verified</x:v>
      </x:c>
      <x:c r="Y326" s="11" t="str"/>
      <x:c r="Z326" s="11" t="str"/>
      <x:c r="AA326" s="11" t="str">
        <x:v>https://arxiv.org/html/2411.06176v1</x:v>
      </x:c>
      <x:c r="AB326" s="11" t="str">
        <x:v>https://arxiv.org/abs/2411.06176</x:v>
      </x:c>
      <x:c r="AC326" s="8" t="str">
        <x:v>L091</x:v>
      </x:c>
      <x:c r="AD326" s="8" t="str">
        <x:v>本轮新增候选；官方摘要。</x:v>
      </x:c>
      <x:c r="AE326" s="8" t="str">
        <x:v>2.3.1工作材料检索；评估章长文档。</x:v>
      </x:c>
      <x:c r="AF326" s="8" t="str">
        <x:v>用于“感知与理解”：补充仅短答案或定位任务不足以覆盖综合分析的证据。</x:v>
      </x:c>
      <x:c r="AG326" s="8" t="str">
        <x:v>related</x:v>
      </x:c>
      <x:c r="AH326" s="8" t="str">
        <x:v>retrieval-aware multimodal document reading</x:v>
      </x:c>
      <x:c r="AI326" s="8" t="str"/>
      <x:c r="AJ326" s="8" t="str">
        <x:v>2026-10-16 chapter 2 / former chapter 4 supplement</x:v>
      </x:c>
      <x:c r="AK326" s="13" t="d">
        <x:v>2026-10-16T00:00:00.000Z</x:v>
      </x:c>
      <x:c r="AL326" s="8" t="str">
        <x:v>附件补充一手来源：[官方代码，确认EMNLP2025版本。](https://github.com/kenchan0226/multimodal-docs-public)。 本轮独立核验arXiv题名、URL、首发年份及正文前置机构信息；未声称通读全文。</x:v>
      </x:c>
      <x:c r="AM326" s="8" t="str"/>
    </x:row>
    <x:row r="327" ht="68" customHeight="1">
      <x:c r="A327" s="8" t="str">
        <x:v>WA-0341</x:v>
      </x:c>
      <x:c r="B327" s="8" t="str">
        <x:v>Tool Learning Survey</x:v>
      </x:c>
      <x:c r="C327" s="8" t="str">
        <x:v>Tool Learning with Large Language Models: A Survey</x:v>
      </x:c>
      <x:c r="D327" s="9" t="n">
        <x:v>2024</x:v>
      </x:c>
      <x:c r="E327" s="8" t="str">
        <x:v>Renmin University of China; Baidu; Institute of Computing Technology, Chinese Academy of Sciences</x:v>
      </x:c>
      <x:c r="F327" s="10" t="str">
        <x:f>VLOOKUP(H327,'Taxonomy'!$A$6:$G$70,3,FALSE)</x:f>
        <x:v>基础：定义、工作条件与核心能力</x:v>
      </x:c>
      <x:c r="G327" s="10" t="str">
        <x:f>VLOOKUP(H327,'Taxonomy'!$A$6:$G$70,5,FALSE)</x:f>
        <x:v>五项核心能力</x:v>
      </x:c>
      <x:c r="H327" s="8" t="str">
        <x:v>2.3.4</x:v>
      </x:c>
      <x:c r="I327" s="10" t="str">
        <x:f>VLOOKUP(H327,'Taxonomy'!$A$6:$G$70,6,FALSE)</x:f>
        <x:v>执行与状态管理</x:v>
      </x:c>
      <x:c r="J327" s="8" t="str">
        <x:v>工具、界面与应用执行;接口与观测优化;范式与自主性边界</x:v>
      </x:c>
      <x:c r="K327" s="8" t="str">
        <x:v>规划与协调;执行与状态管理</x:v>
      </x:c>
      <x:c r="L327" s="8" t="str">
        <x:v>5.3.1 接口与工具优化</x:v>
      </x:c>
      <x:c r="M327" s="8" t="str"/>
      <x:c r="N327" s="8" t="str">
        <x:v>Survey</x:v>
      </x:c>
      <x:c r="O327" s="11" t="str">
        <x:v>https://arxiv.org/abs/2405.17935</x:v>
      </x:c>
      <x:c r="P327" s="8" t="str">
        <x:v>以任务规划、工具选择、调用和响应生成组织工具学习流程。</x:v>
      </x:c>
      <x:c r="Q327" s="8" t="str">
        <x:v>说明工具调用是工作执行的实现步骤，应与更广泛的状态管理和验收区分。</x:v>
      </x:c>
      <x:c r="R327" s="8" t="str">
        <x:v>首发2024；后续期刊年份不作为新论文计数。</x:v>
      </x:c>
      <x:c r="S327" s="8" t="str">
        <x:v>补充</x:v>
      </x:c>
      <x:c r="T327" s="12" t="str">
        <x:v>未分配</x:v>
      </x:c>
      <x:c r="U327" s="12" t="str"/>
      <x:c r="V327" s="12" t="str"/>
      <x:c r="W327" s="12" t="str"/>
      <x:c r="X327" s="8" t="str">
        <x:v>verified</x:v>
      </x:c>
      <x:c r="Y327" s="11" t="str">
        <x:v>https://github.com/quchangle1/LLM-Tool-Survey</x:v>
      </x:c>
      <x:c r="Z327" s="11" t="str"/>
      <x:c r="AA327" s="11" t="str">
        <x:v>https://arxiv.org/html/2405.17935v1</x:v>
      </x:c>
      <x:c r="AB327" s="11" t="str">
        <x:v>https://arxiv.org/abs/2405.17935</x:v>
      </x:c>
      <x:c r="AC327" s="8" t="str">
        <x:v>L097</x:v>
      </x:c>
      <x:c r="AD327" s="8" t="str">
        <x:v>本轮新增候选；官方摘要。</x:v>
      </x:c>
      <x:c r="AE327" s="8" t="str">
        <x:v>2.3执行能力；第五章方法。</x:v>
      </x:c>
      <x:c r="AF327" s="8" t="str">
        <x:v>用于“执行与状态管理”：说明工具调用是工作执行的实现步骤，应与更广泛的状态管理和验收区分。</x:v>
      </x:c>
      <x:c r="AG327" s="8" t="str">
        <x:v>tool-enterprise</x:v>
      </x:c>
      <x:c r="AH327" s="8" t="str">
        <x:v>tool selection and execution taxonomy</x:v>
      </x:c>
      <x:c r="AI327" s="8" t="str"/>
      <x:c r="AJ327" s="8" t="str">
        <x:v>2026-10-16 chapter 2 / former chapter 4 supplement</x:v>
      </x:c>
      <x:c r="AK327" s="13" t="d">
        <x:v>2026-10-16T00:00:00.000Z</x:v>
      </x:c>
      <x:c r="AL327" s="8" t="str">
        <x:v>本轮独立核验arXiv题名、URL、首发年份及正文前置机构信息；未声称通读全文。</x:v>
      </x:c>
      <x:c r="AM327" s="8" t="str"/>
    </x:row>
    <x:row r="328" ht="68" customHeight="1">
      <x:c r="A328" s="8" t="str">
        <x:v>WA-0342</x:v>
      </x:c>
      <x:c r="B328" s="8" t="str">
        <x:v>LLM Agent Planning Survey</x:v>
      </x:c>
      <x:c r="C328" s="8" t="str">
        <x:v>Understanding the planning of LLM agents: A survey</x:v>
      </x:c>
      <x:c r="D328" s="9" t="n">
        <x:v>2024</x:v>
      </x:c>
      <x:c r="E328" s="8" t="str">
        <x:v>University of Science and Technology of China; Huawei Noah’s Ark Lab</x:v>
      </x:c>
      <x:c r="F328" s="10" t="str">
        <x:f>VLOOKUP(H328,'Taxonomy'!$A$6:$G$70,3,FALSE)</x:f>
        <x:v>基础：定义、工作条件与核心能力</x:v>
      </x:c>
      <x:c r="G328" s="10" t="str">
        <x:f>VLOOKUP(H328,'Taxonomy'!$A$6:$G$70,5,FALSE)</x:f>
        <x:v>五项核心能力</x:v>
      </x:c>
      <x:c r="H328" s="8" t="str">
        <x:v>2.3.3</x:v>
      </x:c>
      <x:c r="I328" s="10" t="str">
        <x:f>VLOOKUP(H328,'Taxonomy'!$A$6:$G$70,6,FALSE)</x:f>
        <x:v>规划与协调</x:v>
      </x:c>
      <x:c r="J328" s="8" t="str">
        <x:v>任务分解与行动依赖;范式与自主性边界</x:v>
      </x:c>
      <x:c r="K328" s="8" t="str">
        <x:v>推理与决策;规划与协调</x:v>
      </x:c>
      <x:c r="L328" s="8" t="str">
        <x:v>5.3.2 提示与工作流优化</x:v>
      </x:c>
      <x:c r="M328" s="8" t="str"/>
      <x:c r="N328" s="8" t="str">
        <x:v>Survey</x:v>
      </x:c>
      <x:c r="O328" s="11" t="str">
        <x:v>https://arxiv.org/abs/2402.02716</x:v>
      </x:c>
      <x:c r="P328" s="8" t="str">
        <x:v>从任务分解、候选选择、外部模块、反思与记忆等角度梳理规划。</x:v>
      </x:c>
      <x:c r="Q328" s="8" t="str">
        <x:v>帮助把规划定义为组织依赖行动，并以具体任务论文补充协调参与者的证据。</x:v>
      </x:c>
      <x:c r="R328" s="8" t="str">
        <x:v>其分类对象是规划方法，与本文五项工作能力不同。</x:v>
      </x:c>
      <x:c r="S328" s="8" t="str">
        <x:v>补充</x:v>
      </x:c>
      <x:c r="T328" s="12" t="str">
        <x:v>未分配</x:v>
      </x:c>
      <x:c r="U328" s="12" t="str"/>
      <x:c r="V328" s="12" t="str"/>
      <x:c r="W328" s="12" t="str"/>
      <x:c r="X328" s="8" t="str">
        <x:v>verified</x:v>
      </x:c>
      <x:c r="Y328" s="11" t="str"/>
      <x:c r="Z328" s="11" t="str"/>
      <x:c r="AA328" s="11" t="str">
        <x:v>https://arxiv.org/html/2402.02716v1</x:v>
      </x:c>
      <x:c r="AB328" s="11" t="str">
        <x:v>https://arxiv.org/abs/2402.02716</x:v>
      </x:c>
      <x:c r="AC328" s="8" t="str">
        <x:v>L098</x:v>
      </x:c>
      <x:c r="AD328" s="8" t="str">
        <x:v>本轮新增候选；官方摘要。</x:v>
      </x:c>
      <x:c r="AE328" s="8" t="str">
        <x:v>2.3.3规划能力。</x:v>
      </x:c>
      <x:c r="AF328" s="8" t="str">
        <x:v>用于“规划与协调”：帮助把规划定义为组织依赖行动，并以具体任务论文补充协调参与者的证据。</x:v>
      </x:c>
      <x:c r="AG328" s="8" t="str">
        <x:v>related</x:v>
      </x:c>
      <x:c r="AH328" s="8" t="str">
        <x:v>planning mechanisms and evidence</x:v>
      </x:c>
      <x:c r="AI328" s="8" t="str"/>
      <x:c r="AJ328" s="8" t="str">
        <x:v>2026-10-16 chapter 2 / former chapter 4 supplement</x:v>
      </x:c>
      <x:c r="AK328" s="13" t="d">
        <x:v>2026-10-16T00:00:00.000Z</x:v>
      </x:c>
      <x:c r="AL328" s="8" t="str">
        <x:v>本轮独立核验arXiv题名、URL、首发年份及正文前置机构信息；未声称通读全文。</x:v>
      </x:c>
      <x:c r="AM328" s="8" t="str"/>
    </x:row>
    <x:row r="329" ht="68" customHeight="1">
      <x:c r="A329" s="8" t="str">
        <x:v>WA-0343</x:v>
      </x:c>
      <x:c r="B329" s="8" t="str">
        <x:v>LLM Autonomous Agents Survey</x:v>
      </x:c>
      <x:c r="C329" s="8" t="str">
        <x:v>A Survey on Large Language Model based Autonomous Agents</x:v>
      </x:c>
      <x:c r="D329" s="9" t="n">
        <x:v>2023</x:v>
      </x:c>
      <x:c r="E329" s="8" t="str">
        <x:v>Renmin University of China</x:v>
      </x:c>
      <x:c r="F329" s="10" t="str">
        <x:f>VLOOKUP(H329,'Taxonomy'!$A$6:$G$70,3,FALSE)</x:f>
        <x:v>基础：定义、工作条件与核心能力</x:v>
      </x:c>
      <x:c r="G329" s="10" t="str">
        <x:f>VLOOKUP(H329,'Taxonomy'!$A$6:$G$70,5,FALSE)</x:f>
        <x:v>定义与系统视角</x:v>
      </x:c>
      <x:c r="H329" s="8" t="str">
        <x:v>2.1.2</x:v>
      </x:c>
      <x:c r="I329" s="10" t="str">
        <x:f>VLOOKUP(H329,'Taxonomy'!$A$6:$G$70,6,FALSE)</x:f>
        <x:v>工作过程六要素</x:v>
      </x:c>
      <x:c r="J329" s="8" t="str">
        <x:v>定义、系统职责与工作循环;范式与自主性边界</x:v>
      </x:c>
      <x:c r="K329" s="8" t="str">
        <x:v>规划与协调;执行与状态管理</x:v>
      </x:c>
      <x:c r="L329" s="8" t="str">
        <x:v>2.4.4 范式间关系</x:v>
      </x:c>
      <x:c r="M329" s="8" t="str"/>
      <x:c r="N329" s="8" t="str">
        <x:v>Survey</x:v>
      </x:c>
      <x:c r="O329" s="11" t="str">
        <x:v>https://arxiv.org/abs/2308.11432</x:v>
      </x:c>
      <x:c r="P329" s="8" t="str">
        <x:v>从构建、应用和评价组织自主智能体研究。</x:v>
      </x:c>
      <x:c r="Q329" s="8" t="str">
        <x:v>提供基础章节如何连接定义、组件与应用的结构参照。</x:v>
      </x:c>
      <x:c r="R329" s="8" t="str">
        <x:v>首发2023；后续出版或修订年份不能当作另一篇新文献。</x:v>
      </x:c>
      <x:c r="S329" s="8" t="str">
        <x:v>补充</x:v>
      </x:c>
      <x:c r="T329" s="12" t="str">
        <x:v>未分配</x:v>
      </x:c>
      <x:c r="U329" s="12" t="str"/>
      <x:c r="V329" s="12" t="str"/>
      <x:c r="W329" s="12" t="str"/>
      <x:c r="X329" s="8" t="str">
        <x:v>verified</x:v>
      </x:c>
      <x:c r="Y329" s="11" t="str"/>
      <x:c r="Z329" s="11" t="str"/>
      <x:c r="AA329" s="11" t="str">
        <x:v>https://arxiv.org/html/2308.11432v1</x:v>
      </x:c>
      <x:c r="AB329" s="11" t="str">
        <x:v>https://arxiv.org/abs/2308.11432</x:v>
      </x:c>
      <x:c r="AC329" s="8" t="str">
        <x:v>L099</x:v>
      </x:c>
      <x:c r="AD329" s="8" t="str">
        <x:v>本轮新增候选；官方摘要。</x:v>
      </x:c>
      <x:c r="AE329" s="8" t="str">
        <x:v>2.1基础；2.4相关范式。</x:v>
      </x:c>
      <x:c r="AF329" s="8" t="str">
        <x:v>用于“工作过程六要素”：提供基础章节如何连接定义、组件与应用的结构参照。</x:v>
      </x:c>
      <x:c r="AG329" s="8" t="str">
        <x:v>harness</x:v>
      </x:c>
      <x:c r="AH329" s="8" t="str">
        <x:v>agent architecture foundations</x:v>
      </x:c>
      <x:c r="AI329" s="8" t="str"/>
      <x:c r="AJ329" s="8" t="str">
        <x:v>2026-10-16 chapter 2 / former chapter 4 supplement</x:v>
      </x:c>
      <x:c r="AK329" s="13" t="d">
        <x:v>2026-10-16T00:00:00.000Z</x:v>
      </x:c>
      <x:c r="AL329" s="8" t="str">
        <x:v>本轮独立核验arXiv题名、URL、首发年份及正文前置机构信息；未声称通读全文。</x:v>
      </x:c>
      <x:c r="AM329" s="8" t="str"/>
    </x:row>
    <x:row r="330" ht="68" customHeight="1">
      <x:c r="A330" s="8" t="str">
        <x:v>WA-0344</x:v>
      </x:c>
      <x:c r="B330" s="8" t="str">
        <x:v>The Rise and Potential of LLM Agents</x:v>
      </x:c>
      <x:c r="C330" s="8" t="str">
        <x:v>The Rise and Potential of Large Language Model Based Agents: A Survey</x:v>
      </x:c>
      <x:c r="D330" s="9" t="n">
        <x:v>2023</x:v>
      </x:c>
      <x:c r="E330" s="8" t="str">
        <x:v>Fudan University; miHoYo</x:v>
      </x:c>
      <x:c r="F330" s="10" t="str">
        <x:f>VLOOKUP(H330,'Taxonomy'!$A$6:$G$70,3,FALSE)</x:f>
        <x:v>基础：定义、工作条件与核心能力</x:v>
      </x:c>
      <x:c r="G330" s="10" t="str">
        <x:f>VLOOKUP(H330,'Taxonomy'!$A$6:$G$70,5,FALSE)</x:f>
        <x:v>定义与系统视角</x:v>
      </x:c>
      <x:c r="H330" s="8" t="str">
        <x:v>2.1.2</x:v>
      </x:c>
      <x:c r="I330" s="10" t="str">
        <x:f>VLOOKUP(H330,'Taxonomy'!$A$6:$G$70,6,FALSE)</x:f>
        <x:v>工作过程六要素</x:v>
      </x:c>
      <x:c r="J330" s="8" t="str">
        <x:v>定义、系统职责与工作循环;范式与自主性边界</x:v>
      </x:c>
      <x:c r="K330" s="8" t="str">
        <x:v>推理与决策;规划与协调;执行与状态管理</x:v>
      </x:c>
      <x:c r="L330" s="8" t="str">
        <x:v>2.3 五项核心能力;2.4.4 范式间关系</x:v>
      </x:c>
      <x:c r="M330" s="8" t="str"/>
      <x:c r="N330" s="8" t="str">
        <x:v>Survey</x:v>
      </x:c>
      <x:c r="O330" s="11" t="str">
        <x:v>https://arxiv.org/abs/2309.07864</x:v>
      </x:c>
      <x:c r="P330" s="8" t="str">
        <x:v>以brain、perception、action梳理架构，并讨论知识、记忆和推理规划。</x:v>
      </x:c>
      <x:c r="Q330" s="8" t="str">
        <x:v>为基础闭环及知识的位置提供对照；本稿可继续推进到成果与验收。</x:v>
      </x:c>
      <x:c r="R330" s="8" t="str">
        <x:v>较早通用综述不能单独支撑2026职业表现，brain组织也不等同Model/Harness边界。</x:v>
      </x:c>
      <x:c r="S330" s="8" t="str">
        <x:v>补充</x:v>
      </x:c>
      <x:c r="T330" s="12" t="str">
        <x:v>未分配</x:v>
      </x:c>
      <x:c r="U330" s="12" t="str"/>
      <x:c r="V330" s="12" t="str"/>
      <x:c r="W330" s="12" t="str"/>
      <x:c r="X330" s="8" t="str">
        <x:v>verified</x:v>
      </x:c>
      <x:c r="Y330" s="11" t="str"/>
      <x:c r="Z330" s="11" t="str"/>
      <x:c r="AA330" s="11" t="str">
        <x:v>https://arxiv.org/html/2309.07864v1</x:v>
      </x:c>
      <x:c r="AB330" s="11" t="str">
        <x:v>https://arxiv.org/abs/2309.07864</x:v>
      </x:c>
      <x:c r="AC330" s="8" t="str">
        <x:v>L104</x:v>
      </x:c>
      <x:c r="AD330" s="8" t="str">
        <x:v>本轮新增候选；原文相关章节。</x:v>
      </x:c>
      <x:c r="AE330" s="8" t="str">
        <x:v>2.1 定义背景；2.3 能力；2.1系统视角；2.3能力；2.4相关范式。</x:v>
      </x:c>
      <x:c r="AF330" s="8" t="str">
        <x:v>用于“工作过程六要素”：为基础闭环及知识的位置提供对照；本稿可继续推进到成果与验收。</x:v>
      </x:c>
      <x:c r="AG330" s="8" t="str">
        <x:v>harness</x:v>
      </x:c>
      <x:c r="AH330" s="8" t="str">
        <x:v>agent construction and collaboration</x:v>
      </x:c>
      <x:c r="AI330" s="8" t="str"/>
      <x:c r="AJ330" s="8" t="str">
        <x:v>2026-10-16 chapter 2 / former chapter 4 supplement</x:v>
      </x:c>
      <x:c r="AK330" s="13" t="d">
        <x:v>2026-10-16T00:00:00.000Z</x:v>
      </x:c>
      <x:c r="AL330" s="8" t="str">
        <x:v>附件补充一手来源：[已定位§3.1.2知识、§3.1.4推理规划、§3.2感知、§3.3行动；仅用于结构对照。](https://arxiv.org/html/2309.07864v3)。 本轮独立核验arXiv题名、URL、首发年份及正文前置机构信息；未声称通读全文。</x:v>
      </x:c>
      <x:c r="AM330" s="8" t="str"/>
    </x:row>
    <x:row r="331" ht="68" customHeight="1">
      <x:c r="A331" s="8" t="str">
        <x:v>WA-0345</x:v>
      </x:c>
      <x:c r="B331" s="8" t="str">
        <x:v>AgentWorld</x:v>
      </x:c>
      <x:c r="C331" s="8" t="str">
        <x:v>AgentWorld: Benchmarking Long-Horizon Collaboration of Multi-agent LLMs</x:v>
      </x:c>
      <x:c r="D331" s="9" t="n">
        <x:v>2026</x:v>
      </x:c>
      <x:c r="E331" s="8" t="str">
        <x:v>OpenAgents; Columbia University; University of Pennsylvania; Seoul National University; Penn State University</x:v>
      </x:c>
      <x:c r="F331" s="10" t="str">
        <x:f>VLOOKUP(H331,'Taxonomy'!$A$6:$G$70,3,FALSE)</x:f>
        <x:v>基础：定义、工作条件与核心能力</x:v>
      </x:c>
      <x:c r="G331" s="10" t="str">
        <x:f>VLOOKUP(H331,'Taxonomy'!$A$6:$G$70,5,FALSE)</x:f>
        <x:v>五项核心能力</x:v>
      </x:c>
      <x:c r="H331" s="8" t="str">
        <x:v>2.3.3</x:v>
      </x:c>
      <x:c r="I331" s="10" t="str">
        <x:f>VLOOKUP(H331,'Taxonomy'!$A$6:$G$70,6,FALSE)</x:f>
        <x:v>规划与协调</x:v>
      </x:c>
      <x:c r="J331" s="8" t="str">
        <x:v>分布信息、澄清与协调;答案、产物、状态与过程证据;质量、时间成本与使用价值</x:v>
      </x:c>
      <x:c r="K331" s="8" t="str">
        <x:v>规划与协调;执行与状态管理</x:v>
      </x:c>
      <x:c r="L331" s="8" t="str">
        <x:v>6.2.1 评估目标与可观察证据</x:v>
      </x:c>
      <x:c r="M331" s="8" t="str"/>
      <x:c r="N331" s="8" t="str">
        <x:v>Benchmark</x:v>
      </x:c>
      <x:c r="O331" s="11" t="str">
        <x:v>https://arxiv.org/abs/2609.31590</x:v>
      </x:c>
      <x:c r="P331" s="8" t="str">
        <x:v>在多人游戏沙盒中以角色不对称、通信、共同计划和资源共享构造长程协作，并追踪行动因果贡献。</x:v>
      </x:c>
      <x:c r="Q331" s="8" t="str">
        <x:v>可借鉴“团队做了多少真正有用的配合”的评价思路，补足单一完成率。</x:v>
      </x:c>
      <x:c r="R331" s="8" t="str">
        <x:v>游戏任务不能直接证明职业协作能力；新论文当前仅摘要核实，适合候选证据。 独立摘要核验确认其环境为MMORPG，不是办公或企业工作流程；仅作协调机制相邻证据。</x:v>
      </x:c>
      <x:c r="S331" s="8" t="str">
        <x:v>候选</x:v>
      </x:c>
      <x:c r="T331" s="12" t="str">
        <x:v>未分配</x:v>
      </x:c>
      <x:c r="U331" s="12" t="str"/>
      <x:c r="V331" s="12" t="str"/>
      <x:c r="W331" s="12" t="str"/>
      <x:c r="X331" s="8" t="str">
        <x:v>verified</x:v>
      </x:c>
      <x:c r="Y331" s="11" t="str">
        <x:v>https://github.com/openagents-org/agentworld</x:v>
      </x:c>
      <x:c r="Z331" s="11" t="str"/>
      <x:c r="AA331" s="11" t="str">
        <x:v>https://arxiv.org/html/2609.31590v1</x:v>
      </x:c>
      <x:c r="AB331" s="11" t="str">
        <x:v>https://arxiv.org/abs/2609.31590</x:v>
      </x:c>
      <x:c r="AC331" s="8" t="str">
        <x:v>L106</x:v>
      </x:c>
      <x:c r="AD331" s="8" t="str">
        <x:v>本轮新增候选；官方摘要。</x:v>
      </x:c>
      <x:c r="AE331" s="8" t="str">
        <x:v>2.3协调的概念证据；6协作衡量。</x:v>
      </x:c>
      <x:c r="AF331" s="8" t="str">
        <x:v>用于“规划与协调”：可借鉴“团队做了多少真正有用的配合”的评价思路，补足单一完成率。 游戏沙盒只支持协作机制与测量的参照，不能直接推出职业工作可靠性。</x:v>
      </x:c>
      <x:c r="AG331" s="8" t="str">
        <x:v>harness</x:v>
      </x:c>
      <x:c r="AH331" s="8" t="str">
        <x:v>multi-agent collaboration in a game sandbox</x:v>
      </x:c>
      <x:c r="AI331" s="8" t="str"/>
      <x:c r="AJ331" s="8" t="str">
        <x:v>2026-10-16 chapter 2 / former chapter 4 supplement</x:v>
      </x:c>
      <x:c r="AK331" s="13" t="d">
        <x:v>2026-10-16T00:00:00.000Z</x:v>
      </x:c>
      <x:c r="AL331" s="8" t="str">
        <x:v>本轮独立核验arXiv题名、URL、首发年份及正文前置机构信息；未声称通读全文。</x:v>
      </x:c>
      <x:c r="AM331" s="8" t="str"/>
    </x:row>
    <x:row r="332" ht="68" customHeight="1">
      <x:c r="A332" s="8" t="str">
        <x:v>WA-0346</x:v>
      </x:c>
      <x:c r="B332" s="8" t="str">
        <x:v>AI Agent Systems Survey</x:v>
      </x:c>
      <x:c r="C332" s="8" t="str">
        <x:v>AI Agent Systems: Architectures, Applications, and Evaluation</x:v>
      </x:c>
      <x:c r="D332" s="9" t="n">
        <x:v>2026</x:v>
      </x:c>
      <x:c r="E332" s="8" t="str">
        <x:v>Arizona State University</x:v>
      </x:c>
      <x:c r="F332" s="10" t="str">
        <x:f>VLOOKUP(H332,'Taxonomy'!$A$6:$G$70,3,FALSE)</x:f>
        <x:v>基础：定义、工作条件与核心能力</x:v>
      </x:c>
      <x:c r="G332" s="10" t="str">
        <x:f>VLOOKUP(H332,'Taxonomy'!$A$6:$G$70,5,FALSE)</x:f>
        <x:v>相关智能体范式</x:v>
      </x:c>
      <x:c r="H332" s="8" t="str">
        <x:v>2.4.4</x:v>
      </x:c>
      <x:c r="I332" s="10" t="str">
        <x:f>VLOOKUP(H332,'Taxonomy'!$A$6:$G$70,6,FALSE)</x:f>
        <x:v>范式间关系</x:v>
      </x:c>
      <x:c r="J332" s="8" t="str">
        <x:v>定义、系统职责与工作循环;范式与自主性边界;答案、产物、状态与过程证据</x:v>
      </x:c>
      <x:c r="K332" s="8" t="str">
        <x:v>规划与协调;执行与状态管理;验证、恢复与重新规划</x:v>
      </x:c>
      <x:c r="L332" s="8" t="str">
        <x:v>5.3 运行框架优化;6.2 评估方法</x:v>
      </x:c>
      <x:c r="M332" s="8" t="str"/>
      <x:c r="N332" s="8" t="str">
        <x:v>Survey</x:v>
      </x:c>
      <x:c r="O332" s="11" t="str">
        <x:v>https://arxiv.org/abs/2601.01743</x:v>
      </x:c>
      <x:c r="P332" s="8" t="str">
        <x:v>综合智能体架构、应用与评价，讨论推理、规划、工具使用及部署。</x:v>
      </x:c>
      <x:c r="Q332" s="8" t="str">
        <x:v>用作系统层面的交叉检查，核对本文是否遗漏实现与评价的连接。</x:v>
      </x:c>
      <x:c r="R332" s="8" t="str">
        <x:v>目前只做摘要筛选，不建议凭此新增具体机制或性能论断。</x:v>
      </x:c>
      <x:c r="S332" s="8" t="str">
        <x:v>候选</x:v>
      </x:c>
      <x:c r="T332" s="12" t="str">
        <x:v>未分配</x:v>
      </x:c>
      <x:c r="U332" s="12" t="str"/>
      <x:c r="V332" s="12" t="str"/>
      <x:c r="W332" s="12" t="str"/>
      <x:c r="X332" s="8" t="str">
        <x:v>verified</x:v>
      </x:c>
      <x:c r="Y332" s="11" t="str"/>
      <x:c r="Z332" s="11" t="str"/>
      <x:c r="AA332" s="11" t="str">
        <x:v>https://arxiv.org/html/2601.01743v1</x:v>
      </x:c>
      <x:c r="AB332" s="11" t="str">
        <x:v>https://arxiv.org/abs/2601.01743</x:v>
      </x:c>
      <x:c r="AC332" s="8" t="str">
        <x:v>L107</x:v>
      </x:c>
      <x:c r="AD332" s="8" t="str">
        <x:v>本轮新增候选；官方摘要。</x:v>
      </x:c>
      <x:c r="AE332" s="8" t="str">
        <x:v>2.4相关综述；第五/六章参考。</x:v>
      </x:c>
      <x:c r="AF332" s="8" t="str">
        <x:v>用于“范式间关系”：用作系统层面的交叉检查，核对本文是否遗漏实现与评价的连接。</x:v>
      </x:c>
      <x:c r="AG332" s="8" t="str">
        <x:v>harness</x:v>
      </x:c>
      <x:c r="AH332" s="8" t="str">
        <x:v>architectures, applications and evaluation</x:v>
      </x:c>
      <x:c r="AI332" s="8" t="str"/>
      <x:c r="AJ332" s="8" t="str">
        <x:v>2026-10-16 chapter 2 / former chapter 4 supplement</x:v>
      </x:c>
      <x:c r="AK332" s="13" t="d">
        <x:v>2026-10-16T00:00:00.000Z</x:v>
      </x:c>
      <x:c r="AL332" s="8" t="str">
        <x:v>本轮独立核验arXiv题名、URL、首发年份及正文前置机构信息；未声称通读全文。</x:v>
      </x:c>
      <x:c r="AM332" s="8" t="str"/>
    </x:row>
    <x:row r="333" ht="68" customHeight="1">
      <x:c r="A333" s="8" t="str">
        <x:v>WA-0347</x:v>
      </x:c>
      <x:c r="B333" s="8" t="str">
        <x:v>Atomix</x:v>
      </x:c>
      <x:c r="C333" s="8" t="str">
        <x:v>Atomix: Timely, Transactional Tool Use for Reliable Agentic Workflows</x:v>
      </x:c>
      <x:c r="D333" s="9" t="n">
        <x:v>2026</x:v>
      </x:c>
      <x:c r="E333" s="8" t="str">
        <x:v>Max Planck Institute for Software Systems; Aarhus University; EPFL</x:v>
      </x:c>
      <x:c r="F333" s="10" t="str">
        <x:f>VLOOKUP(H333,'Taxonomy'!$A$6:$G$70,3,FALSE)</x:f>
        <x:v>基础：定义、工作条件与核心能力</x:v>
      </x:c>
      <x:c r="G333" s="10" t="str">
        <x:f>VLOOKUP(H333,'Taxonomy'!$A$6:$G$70,5,FALSE)</x:f>
        <x:v>五项核心能力</x:v>
      </x:c>
      <x:c r="H333" s="8" t="str">
        <x:v>2.3.4</x:v>
      </x:c>
      <x:c r="I333" s="10" t="str">
        <x:f>VLOOKUP(H333,'Taxonomy'!$A$6:$G$70,6,FALSE)</x:f>
        <x:v>执行与状态管理</x:v>
      </x:c>
      <x:c r="J333" s="8" t="str">
        <x:v>提交、幂等与副作用;回滚、补偿与路径调整;异步与并行执行</x:v>
      </x:c>
      <x:c r="K333" s="8" t="str">
        <x:v>执行与状态管理;验证、恢复与重新规划</x:v>
      </x:c>
      <x:c r="L333" s="8" t="str">
        <x:v>2.3.5 验证、恢复与重新规划;5.3.1 接口与工具优化</x:v>
      </x:c>
      <x:c r="M333" s="8" t="str"/>
      <x:c r="N333" s="8" t="str">
        <x:v>Method;Framework</x:v>
      </x:c>
      <x:c r="O333" s="11" t="str">
        <x:v>https://arxiv.org/abs/2602.14849</x:v>
      </x:c>
      <x:c r="P333" s="8" t="str">
        <x:v>以事务式机制管理工具读取、效果和提交边界，并区别缓冲、可逆和不可逆效果。</x:v>
      </x:c>
      <x:c r="Q333" s="8" t="str">
        <x:v>支持执行需要明确提交和补偿语义，重试工具并不总是安全或等价。</x:v>
      </x:c>
      <x:c r="R333" s="8" t="str">
        <x:v>依赖可识别的效果与事务边界；不能把任意真实操作都宣称为可回滚。 事务提交仍依赖对可缓冲、可逆和不可逆副作用的正确分类及底层工具支持，不宣称普遍可回滚。</x:v>
      </x:c>
      <x:c r="S333" s="8" t="str">
        <x:v>候选</x:v>
      </x:c>
      <x:c r="T333" s="12" t="str">
        <x:v>未分配</x:v>
      </x:c>
      <x:c r="U333" s="12" t="str"/>
      <x:c r="V333" s="12" t="str"/>
      <x:c r="W333" s="12" t="str"/>
      <x:c r="X333" s="8" t="str">
        <x:v>verified</x:v>
      </x:c>
      <x:c r="Y333" s="11" t="str">
        <x:v>https://github.com/mpi-dsg/atomix</x:v>
      </x:c>
      <x:c r="Z333" s="11" t="str"/>
      <x:c r="AA333" s="11" t="str">
        <x:v>https://arxiv.org/html/2602.14849v1</x:v>
      </x:c>
      <x:c r="AB333" s="11" t="str">
        <x:v>https://arxiv.org/abs/2602.14849</x:v>
      </x:c>
      <x:c r="AC333" s="8" t="str">
        <x:v>L108</x:v>
      </x:c>
      <x:c r="AD333" s="8" t="str">
        <x:v>文献库已有，2／4未引；官方摘要。</x:v>
      </x:c>
      <x:c r="AE333" s="8" t="str">
        <x:v>2.3执行和恢复；5运行时执行控制。</x:v>
      </x:c>
      <x:c r="AF333" s="8" t="str">
        <x:v>用于“执行与状态管理”：支持执行需要明确提交和补偿语义，重试工具并不总是安全或等价。</x:v>
      </x:c>
      <x:c r="AG333" s="8" t="str">
        <x:v>verification</x:v>
      </x:c>
      <x:c r="AH333" s="8" t="str">
        <x:v>transactional tool effects and settlement</x:v>
      </x:c>
      <x:c r="AI333" s="8" t="str"/>
      <x:c r="AJ333" s="8" t="str">
        <x:v>2026-10-16 chapter 2 / former chapter 4 supplement</x:v>
      </x:c>
      <x:c r="AK333" s="13" t="d">
        <x:v>2026-10-16T00:00:00.000Z</x:v>
      </x:c>
      <x:c r="AL333" s="8" t="str">
        <x:v>本轮独立核验arXiv题名、URL、首发年份及正文前置机构信息；未声称通读全文。</x:v>
      </x:c>
      <x:c r="AM333" s="8" t="str"/>
    </x:row>
    <x:row r="334" ht="68" customHeight="1">
      <x:c r="A334" s="8" t="str">
        <x:v>WA-0348</x:v>
      </x:c>
      <x:c r="B334" s="8" t="str">
        <x:v>MASBench</x:v>
      </x:c>
      <x:c r="C334" s="8" t="str">
        <x:v>MASBench: Benchmarking LLM-based Multi-Agent Collaboration under Partial Observability</x:v>
      </x:c>
      <x:c r="D334" s="9" t="n">
        <x:v>2026</x:v>
      </x:c>
      <x:c r="E334" s="8" t="str">
        <x:v>Beijing University of Posts and Telecommunications; Shanghai Jiao Tong University; Tsinghua University</x:v>
      </x:c>
      <x:c r="F334" s="10" t="str">
        <x:f>VLOOKUP(H334,'Taxonomy'!$A$6:$G$70,3,FALSE)</x:f>
        <x:v>基础：定义、工作条件与核心能力</x:v>
      </x:c>
      <x:c r="G334" s="10" t="str">
        <x:f>VLOOKUP(H334,'Taxonomy'!$A$6:$G$70,5,FALSE)</x:f>
        <x:v>五项核心能力</x:v>
      </x:c>
      <x:c r="H334" s="8" t="str">
        <x:v>2.3.3</x:v>
      </x:c>
      <x:c r="I334" s="10" t="str">
        <x:f>VLOOKUP(H334,'Taxonomy'!$A$6:$G$70,6,FALSE)</x:f>
        <x:v>规划与协调</x:v>
      </x:c>
      <x:c r="J334" s="8" t="str">
        <x:v>分布信息、澄清与协调;开放与变化条件;质量、时间成本与使用价值</x:v>
      </x:c>
      <x:c r="K334" s="8" t="str">
        <x:v>推理与决策;规划与协调</x:v>
      </x:c>
      <x:c r="L334" s="8" t="str">
        <x:v>2.2.2 工作开放性;6.3.1 任务成功与成果质量</x:v>
      </x:c>
      <x:c r="M334" s="8" t="str"/>
      <x:c r="N334" s="8" t="str">
        <x:v>Benchmark</x:v>
      </x:c>
      <x:c r="O334" s="11" t="str">
        <x:v>https://arxiv.org/abs/2610.04672</x:v>
      </x:c>
      <x:c r="P334" s="8" t="str">
        <x:v>在部分信息条件下比较协议、记忆和路由机制，评价推理、调度、游戏任务以及通信开销。</x:v>
      </x:c>
      <x:c r="Q334" s="8" t="str">
        <x:v>为协调的必要性提供具体前提：不同参与者拥有不同信息，沟通有成本。</x:v>
      </x:c>
      <x:c r="R334" s="8" t="str">
        <x:v>新近预印本且任务分布受控；不能将其中三类场景直接用作本文工作形态层级。</x:v>
      </x:c>
      <x:c r="S334" s="8" t="str">
        <x:v>候选</x:v>
      </x:c>
      <x:c r="T334" s="12" t="str">
        <x:v>未分配</x:v>
      </x:c>
      <x:c r="U334" s="12" t="str"/>
      <x:c r="V334" s="12" t="str"/>
      <x:c r="W334" s="12" t="str"/>
      <x:c r="X334" s="8" t="str">
        <x:v>verified</x:v>
      </x:c>
      <x:c r="Y334" s="11" t="str">
        <x:v>https://github.com/BUPT-GAMMA/MASBench</x:v>
      </x:c>
      <x:c r="Z334" s="11" t="str"/>
      <x:c r="AA334" s="11" t="str">
        <x:v>https://arxiv.org/html/2610.04672v1</x:v>
      </x:c>
      <x:c r="AB334" s="11" t="str">
        <x:v>https://arxiv.org/abs/2610.04672</x:v>
      </x:c>
      <x:c r="AC334" s="8" t="str">
        <x:v>L109</x:v>
      </x:c>
      <x:c r="AD334" s="8" t="str">
        <x:v>本轮新增候选；官方摘要。</x:v>
      </x:c>
      <x:c r="AE334" s="8" t="str">
        <x:v>2.2开放性；2.3协调；6成本与协作。</x:v>
      </x:c>
      <x:c r="AF334" s="8" t="str">
        <x:v>用于“规划与协调”：为协调的必要性提供具体前提：不同参与者拥有不同信息，沟通有成本。 部分可观察设置支持分布信息和通信成本论点，不据游戏成绩推断职业能力。</x:v>
      </x:c>
      <x:c r="AG334" s="8" t="str">
        <x:v>harness</x:v>
      </x:c>
      <x:c r="AH334" s="8" t="str">
        <x:v>collaboration under partial observability</x:v>
      </x:c>
      <x:c r="AI334" s="8" t="str"/>
      <x:c r="AJ334" s="8" t="str">
        <x:v>2026-10-16 chapter 2 / former chapter 4 supplement</x:v>
      </x:c>
      <x:c r="AK334" s="13" t="d">
        <x:v>2026-10-16T00:00:00.000Z</x:v>
      </x:c>
      <x:c r="AL334" s="8" t="str">
        <x:v>本轮独立核验arXiv题名、URL、首发年份及正文前置机构信息；未声称通读全文。</x:v>
      </x:c>
      <x:c r="AM334" s="8" t="str"/>
    </x:row>
    <x:row r="335" ht="68" customHeight="1">
      <x:c r="A335" s="8" t="str">
        <x:v>WA-0349</x:v>
      </x:c>
      <x:c r="B335" s="8" t="str">
        <x:v>Rollback-Induced Reflection</x:v>
      </x:c>
      <x:c r="C335" s="8" t="str">
        <x:v>Rollback the World, Keep the Reflection: Rollback-Induced Reflection for Long-Horizon LLM Agents</x:v>
      </x:c>
      <x:c r="D335" s="9" t="n">
        <x:v>2026</x:v>
      </x:c>
      <x:c r="E335" s="8" t="str">
        <x:v>Wuhan University; Alibaba Group</x:v>
      </x:c>
      <x:c r="F335" s="10" t="str">
        <x:f>VLOOKUP(H335,'Taxonomy'!$A$6:$G$70,3,FALSE)</x:f>
        <x:v>基础：定义、工作条件与核心能力</x:v>
      </x:c>
      <x:c r="G335" s="10" t="str">
        <x:f>VLOOKUP(H335,'Taxonomy'!$A$6:$G$70,5,FALSE)</x:f>
        <x:v>五项核心能力</x:v>
      </x:c>
      <x:c r="H335" s="8" t="str">
        <x:v>2.3.5</x:v>
      </x:c>
      <x:c r="I335" s="10" t="str">
        <x:f>VLOOKUP(H335,'Taxonomy'!$A$6:$G$70,6,FALSE)</x:f>
        <x:v>验证、恢复与重新规划</x:v>
      </x:c>
      <x:c r="J335" s="8" t="str">
        <x:v>回滚、补偿与路径调整;当前状态与版本有效性;上下文与记忆管理</x:v>
      </x:c>
      <x:c r="K335" s="8" t="str">
        <x:v>执行与状态管理;验证、恢复与重新规划</x:v>
      </x:c>
      <x:c r="L335" s="8" t="str">
        <x:v>5.3.1 接口与工具优化;2.3.4 执行与状态管理</x:v>
      </x:c>
      <x:c r="M335" s="8" t="str"/>
      <x:c r="N335" s="8" t="str">
        <x:v>Method</x:v>
      </x:c>
      <x:c r="O335" s="11" t="str">
        <x:v>https://arxiv.org/abs/2609.18304</x:v>
      </x:c>
      <x:c r="P335" s="8" t="str">
        <x:v>同时控制何时回退、回到哪里和保留何种经验，把环境状态恢复与反思记忆保留结合。</x:v>
      </x:c>
      <x:c r="Q335" s="8" t="str">
        <x:v>揭示只改上下文不一定修复外部世界，而完全重置又可能丢失失败经验，补全恢复机制的逻辑。</x:v>
      </x:c>
      <x:c r="R335" s="8" t="str">
        <x:v>要求存在可恢复的环境状态；不宜推广成现实系统中不可逆动作都可撤销。</x:v>
      </x:c>
      <x:c r="S335" s="8" t="str">
        <x:v>候选</x:v>
      </x:c>
      <x:c r="T335" s="12" t="str">
        <x:v>未分配</x:v>
      </x:c>
      <x:c r="U335" s="12" t="str"/>
      <x:c r="V335" s="12" t="str"/>
      <x:c r="W335" s="12" t="str"/>
      <x:c r="X335" s="8" t="str">
        <x:v>verified</x:v>
      </x:c>
      <x:c r="Y335" s="11" t="str"/>
      <x:c r="Z335" s="11" t="str"/>
      <x:c r="AA335" s="11" t="str">
        <x:v>https://arxiv.org/html/2609.18304v1</x:v>
      </x:c>
      <x:c r="AB335" s="11" t="str">
        <x:v>https://arxiv.org/abs/2609.18304</x:v>
      </x:c>
      <x:c r="AC335" s="8" t="str">
        <x:v>L110</x:v>
      </x:c>
      <x:c r="AD335" s="8" t="str">
        <x:v>本轮新增候选；官方摘要。</x:v>
      </x:c>
      <x:c r="AE335" s="8" t="str">
        <x:v>2.3恢复；5运行时干预。</x:v>
      </x:c>
      <x:c r="AF335" s="8" t="str">
        <x:v>用于“验证、恢复与重新规划”：揭示只改上下文不一定修复外部世界，而完全重置又可能丢失失败经验，补全恢复机制的逻辑。 同时区分环境恢复和反思经验保留，避免把重新生成文字当作修复外部世界。</x:v>
      </x:c>
      <x:c r="AG335" s="8" t="str">
        <x:v>verification</x:v>
      </x:c>
      <x:c r="AH335" s="8" t="str">
        <x:v>rollback with retained reflection</x:v>
      </x:c>
      <x:c r="AI335" s="8" t="str"/>
      <x:c r="AJ335" s="8" t="str">
        <x:v>2026-10-16 chapter 2 / former chapter 4 supplement</x:v>
      </x:c>
      <x:c r="AK335" s="13" t="d">
        <x:v>2026-10-16T00:00:00.000Z</x:v>
      </x:c>
      <x:c r="AL335" s="8" t="str">
        <x:v>本轮独立核验arXiv题名、URL、首发年份及正文前置机构信息；未声称通读全文。</x:v>
      </x:c>
      <x:c r="AM335" s="8" t="str"/>
    </x:row>
    <x:row r="336" ht="68" customHeight="1">
      <x:c r="A336" s="8" t="str">
        <x:v>WA-0350</x:v>
      </x:c>
      <x:c r="B336" s="8" t="str">
        <x:v>YC-Bench</x:v>
      </x:c>
      <x:c r="C336" s="8" t="str">
        <x:v>YC-Bench: Benchmarking AI Agents for Long-Term Planning and Consistent Execution</x:v>
      </x:c>
      <x:c r="D336" s="9" t="n">
        <x:v>2026</x:v>
      </x:c>
      <x:c r="E336" s="8" t="str">
        <x:v>Pending verification</x:v>
      </x:c>
      <x:c r="F336" s="10" t="str">
        <x:f>VLOOKUP(H336,'Taxonomy'!$A$6:$G$70,3,FALSE)</x:f>
        <x:v>基础：定义、工作条件与核心能力</x:v>
      </x:c>
      <x:c r="G336" s="10" t="str">
        <x:f>VLOOKUP(H336,'Taxonomy'!$A$6:$G$70,5,FALSE)</x:f>
        <x:v>工作条件</x:v>
      </x:c>
      <x:c r="H336" s="8" t="str">
        <x:v>2.2.1</x:v>
      </x:c>
      <x:c r="I336" s="10" t="str">
        <x:f>VLOOKUP(H336,'Taxonomy'!$A$6:$G$70,6,FALSE)</x:f>
        <x:v>工作持久性</x:v>
      </x:c>
      <x:c r="J336" s="8" t="str">
        <x:v>跨请求工作连续性;任务分解与行动依赖;质量、时间成本与使用价值</x:v>
      </x:c>
      <x:c r="K336" s="8" t="str">
        <x:v>规划与协调;执行与状态管理</x:v>
      </x:c>
      <x:c r="L336" s="8" t="str">
        <x:v>2.3.3 规划与协调;6.3.1 任务成功与成果质量;7.2.2 主动与事件驱动工作</x:v>
      </x:c>
      <x:c r="M336" s="8" t="str"/>
      <x:c r="N336" s="8" t="str">
        <x:v>Benchmark</x:v>
      </x:c>
      <x:c r="O336" s="11" t="str">
        <x:v>https://arxiv.org/abs/2604.01212</x:v>
      </x:c>
      <x:c r="P336" s="8" t="str">
        <x:v>让智能体经营模拟创业公司，持续管理员工、合同和资金，在部分可观察条件下承受决策的累积后果。</x:v>
      </x:c>
      <x:c r="Q336" s="8" t="str">
        <x:v>可把长期能力从操作链延伸到目标一致性和资源分配，并与ROI讨论衔接。</x:v>
      </x:c>
      <x:c r="R336" s="8" t="str">
        <x:v>模拟创业收益不是实际经济价值或真实ROI；当前主要读官方摘要，不能把模拟经营成功等同职业胜任。</x:v>
      </x:c>
      <x:c r="S336" s="8" t="str">
        <x:v>候选</x:v>
      </x:c>
      <x:c r="T336" s="12" t="str">
        <x:v>未分配</x:v>
      </x:c>
      <x:c r="U336" s="12" t="str"/>
      <x:c r="V336" s="12" t="str"/>
      <x:c r="W336" s="12" t="str"/>
      <x:c r="X336" s="8" t="str">
        <x:v>metadata-only</x:v>
      </x:c>
      <x:c r="Y336" s="11" t="str">
        <x:v>https://github.com/collinear-ai/yc-bench</x:v>
      </x:c>
      <x:c r="Z336" s="11" t="str"/>
      <x:c r="AA336" s="11" t="str"/>
      <x:c r="AB336" s="11" t="str">
        <x:v>https://arxiv.org/abs/2604.01212</x:v>
      </x:c>
      <x:c r="AC336" s="8" t="str">
        <x:v>L112</x:v>
      </x:c>
      <x:c r="AD336" s="8" t="str">
        <x:v>本轮新增候选；官方摘要。</x:v>
      </x:c>
      <x:c r="AE336" s="8" t="str">
        <x:v>2.2持续性；2.3规划；6长期成本收益；7持续职责。</x:v>
      </x:c>
      <x:c r="AF336" s="8" t="str">
        <x:v>用于“工作持久性”：可把长期能力从操作链延伸到目标一致性和资源分配，并与ROI讨论衔接。</x:v>
      </x:c>
      <x:c r="AG336" s="8" t="str">
        <x:v>persistent</x:v>
      </x:c>
      <x:c r="AH336" s="8" t="str">
        <x:v>long-term business simulation</x:v>
      </x:c>
      <x:c r="AI336" s="8" t="str"/>
      <x:c r="AJ336" s="8" t="str">
        <x:v>2026-10-16 chapter 2 / former chapter 4 supplement</x:v>
      </x:c>
      <x:c r="AK336" s="13" t="d">
        <x:v>2026-10-16T00:00:00.000Z</x:v>
      </x:c>
      <x:c r="AL336" s="8" t="str">
        <x:v>本轮独立核验题名、URL与首发2026年；正文未明确作者机构，保留待核验。官方repo的旧BibTeX年份为2025，不能覆盖arXiv首发口径。</x:v>
      </x:c>
      <x:c r="AM336" s="8" t="str"/>
    </x:row>
    <x:row r="337" ht="68" customHeight="1">
      <x:c r="A337" s="8" t="str">
        <x:v>WA-0351</x:v>
      </x:c>
      <x:c r="B337" s="8" t="str">
        <x:v>Document Haystack</x:v>
      </x:c>
      <x:c r="C337" s="8" t="str">
        <x:v>Document Haystack: A Long Context Multimodal Image/Document Understanding Vision LLM Benchmark</x:v>
      </x:c>
      <x:c r="D337" s="9" t="n">
        <x:v>2025</x:v>
      </x:c>
      <x:c r="E337" s="8" t="str">
        <x:v>Amazon AGI</x:v>
      </x:c>
      <x:c r="F337" s="10" t="str">
        <x:f>VLOOKUP(H337,'Taxonomy'!$A$6:$G$70,3,FALSE)</x:f>
        <x:v>基础：定义、工作条件与核心能力</x:v>
      </x:c>
      <x:c r="G337" s="10" t="str">
        <x:f>VLOOKUP(H337,'Taxonomy'!$A$6:$G$70,5,FALSE)</x:f>
        <x:v>五项核心能力</x:v>
      </x:c>
      <x:c r="H337" s="8" t="str">
        <x:v>2.3.1</x:v>
      </x:c>
      <x:c r="I337" s="10" t="str">
        <x:f>VLOOKUP(H337,'Taxonomy'!$A$6:$G$70,6,FALSE)</x:f>
        <x:v>感知与理解</x:v>
      </x:c>
      <x:c r="J337" s="8" t="str">
        <x:v>材料发现与证据定位;对象结构、模态与语义</x:v>
      </x:c>
      <x:c r="K337" s="8" t="str">
        <x:v>感知与理解;推理与决策</x:v>
      </x:c>
      <x:c r="L337" s="8" t="str">
        <x:v>6.2.1 评估目标与可观察证据</x:v>
      </x:c>
      <x:c r="M337" s="8" t="str"/>
      <x:c r="N337" s="8" t="str">
        <x:v>Benchmark</x:v>
      </x:c>
      <x:c r="O337" s="11" t="str">
        <x:v>https://arxiv.org/abs/2507.15882</x:v>
      </x:c>
      <x:c r="P337" s="8" t="str">
        <x:v>针对长且视觉复杂文档评测视觉语言模型的文档理解。</x:v>
      </x:c>
      <x:c r="Q337" s="8" t="str">
        <x:v>作为检查长文档证据检索覆盖的补充候选。</x:v>
      </x:c>
      <x:c r="R337" s="8" t="str">
        <x:v>本轮仅核摘要，尚未核具体needle构造和任务协议；不把其结果直接归因长期记忆。</x:v>
      </x:c>
      <x:c r="S337" s="8" t="str">
        <x:v>候选</x:v>
      </x:c>
      <x:c r="T337" s="12" t="str">
        <x:v>未分配</x:v>
      </x:c>
      <x:c r="U337" s="12" t="str"/>
      <x:c r="V337" s="12" t="str"/>
      <x:c r="W337" s="12" t="str"/>
      <x:c r="X337" s="8" t="str">
        <x:v>verified</x:v>
      </x:c>
      <x:c r="Y337" s="11" t="str">
        <x:v>https://github.com/amazon-science/document-haystack</x:v>
      </x:c>
      <x:c r="Z337" s="11" t="str">
        <x:v>https://huggingface.co/datasets/AmazonScience/document-haystack</x:v>
      </x:c>
      <x:c r="AA337" s="11" t="str">
        <x:v>https://arxiv.org/html/2507.15882v1</x:v>
      </x:c>
      <x:c r="AB337" s="11" t="str">
        <x:v>https://arxiv.org/abs/2507.15882</x:v>
      </x:c>
      <x:c r="AC337" s="8" t="str">
        <x:v>L113</x:v>
      </x:c>
      <x:c r="AD337" s="8" t="str">
        <x:v>本轮新增候选；官方摘要。</x:v>
      </x:c>
      <x:c r="AE337" s="8" t="str">
        <x:v>2.3.1材料检索与注意分配。</x:v>
      </x:c>
      <x:c r="AF337" s="8" t="str">
        <x:v>用于“感知与理解”：作为检查长文档证据检索覆盖的补充候选。</x:v>
      </x:c>
      <x:c r="AG337" s="8" t="str">
        <x:v>related</x:v>
      </x:c>
      <x:c r="AH337" s="8" t="str">
        <x:v>long-document multimodal retrieval</x:v>
      </x:c>
      <x:c r="AI337" s="8" t="str"/>
      <x:c r="AJ337" s="8" t="str">
        <x:v>2026-10-16 chapter 2 / former chapter 4 supplement</x:v>
      </x:c>
      <x:c r="AK337" s="13" t="d">
        <x:v>2026-10-16T00:00:00.000Z</x:v>
      </x:c>
      <x:c r="AL337" s="8" t="str">
        <x:v>本轮独立核验arXiv题名、URL、首发年份及正文前置机构信息；未声称通读全文。 独立摘要核验确认使用文本及图文needle；附件原有“未核needle构造”自述仍如实保留在适用边界。</x:v>
      </x:c>
      <x:c r="AM337" s="8" t="str"/>
    </x:row>
    <x:row r="338" ht="68" customHeight="1">
      <x:c r="A338" s="8" t="str">
        <x:v>WA-0352</x:v>
      </x:c>
      <x:c r="B338" s="8" t="str">
        <x:v>Agent Memory Mechanism Survey</x:v>
      </x:c>
      <x:c r="C338" s="8" t="str">
        <x:v>A Survey on the Memory Mechanism of Large Language Model based Agents</x:v>
      </x:c>
      <x:c r="D338" s="9" t="n">
        <x:v>2024</x:v>
      </x:c>
      <x:c r="E338" s="8" t="str">
        <x:v>Renmin University of China; Huawei Noah’s Ark Lab</x:v>
      </x:c>
      <x:c r="F338" s="10" t="str">
        <x:f>VLOOKUP(H338,'Taxonomy'!$A$6:$G$70,3,FALSE)</x:f>
        <x:v>基础：定义、工作条件与核心能力</x:v>
      </x:c>
      <x:c r="G338" s="10" t="str">
        <x:f>VLOOKUP(H338,'Taxonomy'!$A$6:$G$70,5,FALSE)</x:f>
        <x:v>五项核心能力</x:v>
      </x:c>
      <x:c r="H338" s="8" t="str">
        <x:v>2.3.4</x:v>
      </x:c>
      <x:c r="I338" s="10" t="str">
        <x:f>VLOOKUP(H338,'Taxonomy'!$A$6:$G$70,6,FALSE)</x:f>
        <x:v>执行与状态管理</x:v>
      </x:c>
      <x:c r="J338" s="8" t="str">
        <x:v>上下文与记忆管理;范式与自主性边界</x:v>
      </x:c>
      <x:c r="K338" s="8" t="str">
        <x:v>执行与状态管理</x:v>
      </x:c>
      <x:c r="L338" s="8" t="str">
        <x:v>7.2.1 持久用户记忆与工作状态</x:v>
      </x:c>
      <x:c r="M338" s="8" t="str"/>
      <x:c r="N338" s="8" t="str">
        <x:v>Survey</x:v>
      </x:c>
      <x:c r="O338" s="11" t="str">
        <x:v>https://arxiv.org/abs/2404.13501</x:v>
      </x:c>
      <x:c r="P338" s="8" t="str">
        <x:v>系统梳理智能体为何需要记忆、如何设计以及如何评价。</x:v>
      </x:c>
      <x:c r="Q338" s="8" t="str">
        <x:v>作为记忆研究的基础背景，可与近期状态管理研究形成发展线索。</x:v>
      </x:c>
      <x:c r="R338" s="8" t="str">
        <x:v>已有更新综述；不必同时堆叠多篇功能相同的综述。</x:v>
      </x:c>
      <x:c r="S338" s="8" t="str">
        <x:v>候选</x:v>
      </x:c>
      <x:c r="T338" s="12" t="str">
        <x:v>未分配</x:v>
      </x:c>
      <x:c r="U338" s="12" t="str"/>
      <x:c r="V338" s="12" t="str"/>
      <x:c r="W338" s="12" t="str"/>
      <x:c r="X338" s="8" t="str">
        <x:v>verified</x:v>
      </x:c>
      <x:c r="Y338" s="11" t="str">
        <x:v>https://github.com/nuster1128/LLM_Agent_Memory_Survey</x:v>
      </x:c>
      <x:c r="Z338" s="11" t="str"/>
      <x:c r="AA338" s="11" t="str">
        <x:v>https://arxiv.org/html/2404.13501v1</x:v>
      </x:c>
      <x:c r="AB338" s="11" t="str">
        <x:v>https://arxiv.org/abs/2404.13501</x:v>
      </x:c>
      <x:c r="AC338" s="8" t="str">
        <x:v>L114</x:v>
      </x:c>
      <x:c r="AD338" s="8" t="str">
        <x:v>本轮新增候选；官方摘要。</x:v>
      </x:c>
      <x:c r="AE338" s="8" t="str">
        <x:v>2.3.4记忆背景。</x:v>
      </x:c>
      <x:c r="AF338" s="8" t="str">
        <x:v>用于“执行与状态管理”：作为记忆研究的基础背景，可与近期状态管理研究形成发展线索。</x:v>
      </x:c>
      <x:c r="AG338" s="8" t="str">
        <x:v>persistent</x:v>
      </x:c>
      <x:c r="AH338" s="8" t="str">
        <x:v>memory design and evaluation</x:v>
      </x:c>
      <x:c r="AI338" s="8" t="str"/>
      <x:c r="AJ338" s="8" t="str">
        <x:v>2026-10-16 chapter 2 / former chapter 4 supplement</x:v>
      </x:c>
      <x:c r="AK338" s="13" t="d">
        <x:v>2026-10-16T00:00:00.000Z</x:v>
      </x:c>
      <x:c r="AL338" s="8" t="str">
        <x:v>本轮独立核验arXiv题名、URL、首发年份及正文前置机构信息；未声称通读全文。</x:v>
      </x:c>
      <x:c r="AM338" s="8" t="str"/>
    </x:row>
    <x:row r="339" ht="68" customHeight="1">
      <x:c r="A339" s="8" t="str">
        <x:v>WA-0353</x:v>
      </x:c>
      <x:c r="B339" s="8" t="str">
        <x:v>Docling</x:v>
      </x:c>
      <x:c r="C339" s="8" t="str">
        <x:v>Docling Technical Report</x:v>
      </x:c>
      <x:c r="D339" s="9" t="n">
        <x:v>2024</x:v>
      </x:c>
      <x:c r="E339" s="8" t="str">
        <x:v>IBM Research, AI4K Group</x:v>
      </x:c>
      <x:c r="F339" s="10" t="str">
        <x:f>VLOOKUP(H339,'Taxonomy'!$A$6:$G$70,3,FALSE)</x:f>
        <x:v>基础：定义、工作条件与核心能力</x:v>
      </x:c>
      <x:c r="G339" s="10" t="str">
        <x:f>VLOOKUP(H339,'Taxonomy'!$A$6:$G$70,5,FALSE)</x:f>
        <x:v>五项核心能力</x:v>
      </x:c>
      <x:c r="H339" s="8" t="str">
        <x:v>2.3.1</x:v>
      </x:c>
      <x:c r="I339" s="10" t="str">
        <x:f>VLOOKUP(H339,'Taxonomy'!$A$6:$G$70,6,FALSE)</x:f>
        <x:v>感知与理解</x:v>
      </x:c>
      <x:c r="J339" s="8" t="str">
        <x:v>对象结构、模态与语义;接口与观测优化</x:v>
      </x:c>
      <x:c r="K339" s="8" t="str">
        <x:v>感知与理解</x:v>
      </x:c>
      <x:c r="L339" s="8" t="str">
        <x:v>6.4 开放框架与执行环境</x:v>
      </x:c>
      <x:c r="M339" s="8" t="str"/>
      <x:c r="N339" s="8" t="str">
        <x:v>Framework;Background</x:v>
      </x:c>
      <x:c r="O339" s="11" t="str">
        <x:v>https://arxiv.org/abs/2408.09869</x:v>
      </x:c>
      <x:c r="P339" s="8" t="str">
        <x:v>将版面分析和表格结构识别组织为本地PDF转换工具，为代理提供机器可处理的工作材料。</x:v>
      </x:c>
      <x:c r="Q339" s="8" t="str">
        <x:v>补足2.3.1中从文件像素到结构化内容的具体系统路线；与ColPali检索视角互补。</x:v>
      </x:c>
      <x:c r="R339" s="8" t="str">
        <x:v>技术报告描述Docling v1；当前软件可能已变化。转换输出不等同于可编辑原生文件保真，亦不完成代理工作。</x:v>
      </x:c>
      <x:c r="S339" s="8" t="str">
        <x:v>补充</x:v>
      </x:c>
      <x:c r="T339" s="12" t="str">
        <x:v>未分配</x:v>
      </x:c>
      <x:c r="U339" s="12" t="str"/>
      <x:c r="V339" s="12" t="str"/>
      <x:c r="W339" s="12" t="str"/>
      <x:c r="X339" s="8" t="str">
        <x:v>verified</x:v>
      </x:c>
      <x:c r="Y339" s="11" t="str">
        <x:v>https://github.com/DS4SD/docling</x:v>
      </x:c>
      <x:c r="Z339" s="11" t="str"/>
      <x:c r="AA339" s="11" t="str">
        <x:v>https://arxiv.org/html/2408.09869v1</x:v>
      </x:c>
      <x:c r="AB339" s="11" t="str">
        <x:v>https://arxiv.org/abs/2408.09869</x:v>
      </x:c>
      <x:c r="AC339" s="8" t="str"/>
      <x:c r="AD339" s="8" t="str"/>
      <x:c r="AE339" s="8" t="str"/>
      <x:c r="AF339" s="8" t="str">
        <x:v>用于“感知与理解”：补足2.3.1中从文件像素到结构化内容的具体系统路线；与ColPali检索视角互补。 作为文档感知基础方法；解析或表示效果不等于端到端工作完成。</x:v>
      </x:c>
      <x:c r="AG339" s="8" t="str">
        <x:v>related</x:v>
      </x:c>
      <x:c r="AH339" s="8" t="str">
        <x:v>PDF conversion and document structure</x:v>
      </x:c>
      <x:c r="AI339" s="8" t="str"/>
      <x:c r="AJ339" s="8" t="str">
        <x:v>supplementary primary-source search</x:v>
      </x:c>
      <x:c r="AK339" s="13" t="d">
        <x:v>2026-10-16T00:00:00.000Z</x:v>
      </x:c>
      <x:c r="AL339" s="8" t="str">
        <x:v>附件149项之外的独立补充；本轮仅核验官方摘要、正文前置信息及官方链接，没有通读全文。</x:v>
      </x:c>
      <x:c r="AM339" s="8" t="str"/>
    </x:row>
    <x:row r="340" ht="68" customHeight="1">
      <x:c r="A340" s="8" t="str">
        <x:v>WA-0354</x:v>
      </x:c>
      <x:c r="B340" s="8" t="str">
        <x:v>MinerU</x:v>
      </x:c>
      <x:c r="C340" s="8" t="str">
        <x:v>MinerU: An Open-Source Solution for Precise Document Content Extraction</x:v>
      </x:c>
      <x:c r="D340" s="9" t="n">
        <x:v>2024</x:v>
      </x:c>
      <x:c r="E340" s="8" t="str">
        <x:v>Shanghai Artificial Intelligence Laboratory</x:v>
      </x:c>
      <x:c r="F340" s="10" t="str">
        <x:f>VLOOKUP(H340,'Taxonomy'!$A$6:$G$70,3,FALSE)</x:f>
        <x:v>基础：定义、工作条件与核心能力</x:v>
      </x:c>
      <x:c r="G340" s="10" t="str">
        <x:f>VLOOKUP(H340,'Taxonomy'!$A$6:$G$70,5,FALSE)</x:f>
        <x:v>五项核心能力</x:v>
      </x:c>
      <x:c r="H340" s="8" t="str">
        <x:v>2.3.1</x:v>
      </x:c>
      <x:c r="I340" s="10" t="str">
        <x:f>VLOOKUP(H340,'Taxonomy'!$A$6:$G$70,6,FALSE)</x:f>
        <x:v>感知与理解</x:v>
      </x:c>
      <x:c r="J340" s="8" t="str">
        <x:v>对象结构、模态与语义;接口与观测优化</x:v>
      </x:c>
      <x:c r="K340" s="8" t="str">
        <x:v>感知与理解</x:v>
      </x:c>
      <x:c r="L340" s="8" t="str">
        <x:v>6.4 开放框架与执行环境</x:v>
      </x:c>
      <x:c r="M340" s="8" t="str"/>
      <x:c r="N340" s="8" t="str">
        <x:v>Method;Framework</x:v>
      </x:c>
      <x:c r="O340" s="11" t="str">
        <x:v>https://arxiv.org/abs/2409.18839</x:v>
      </x:c>
      <x:c r="P340" s="8" t="str">
        <x:v>组合PDF-Extract-Kit模型与前后处理规则，提取文档文本、表格和公式等内容。</x:v>
      </x:c>
      <x:c r="Q340" s="8" t="str">
        <x:v>补足文档感知的工程型解析方法，便于解释输入表示如何影响下游代理。</x:v>
      </x:c>
      <x:c r="R340" s="8" t="str">
        <x:v>此条绑定2024技术报告；不可将新版MinerU能力回填至旧论文，也不把解析质量当成工作流成功率。</x:v>
      </x:c>
      <x:c r="S340" s="8" t="str">
        <x:v>补充</x:v>
      </x:c>
      <x:c r="T340" s="12" t="str">
        <x:v>未分配</x:v>
      </x:c>
      <x:c r="U340" s="12" t="str"/>
      <x:c r="V340" s="12" t="str"/>
      <x:c r="W340" s="12" t="str"/>
      <x:c r="X340" s="8" t="str">
        <x:v>verified</x:v>
      </x:c>
      <x:c r="Y340" s="11" t="str">
        <x:v>https://github.com/opendatalab/MinerU</x:v>
      </x:c>
      <x:c r="Z340" s="11" t="str"/>
      <x:c r="AA340" s="11" t="str">
        <x:v>https://arxiv.org/html/2409.18839v1</x:v>
      </x:c>
      <x:c r="AB340" s="11" t="str">
        <x:v>https://arxiv.org/abs/2409.18839</x:v>
      </x:c>
      <x:c r="AC340" s="8" t="str">
        <x:v>AIO-244</x:v>
      </x:c>
      <x:c r="AD340" s="8" t="str"/>
      <x:c r="AE340" s="8" t="str"/>
      <x:c r="AF340" s="8" t="str">
        <x:v>用于“感知与理解”：补足文档感知的工程型解析方法，便于解释输入表示如何影响下游代理。 作为文档感知基础方法；解析或表示效果不等于端到端工作完成。</x:v>
      </x:c>
      <x:c r="AG340" s="8" t="str">
        <x:v>related</x:v>
      </x:c>
      <x:c r="AH340" s="8" t="str">
        <x:v>Document content extraction</x:v>
      </x:c>
      <x:c r="AI340" s="8" t="str"/>
      <x:c r="AJ340" s="8" t="str">
        <x:v>supplementary primary-source search;2026-10-16 AI Office survey bibliography</x:v>
      </x:c>
      <x:c r="AK340" s="13" t="d">
        <x:v>2026-10-16T00:00:00.000Z</x:v>
      </x:c>
      <x:c r="AL340" s="8" t="str">
        <x:v>附件149项之外的独立补充；本轮仅核验官方摘要、正文前置信息及官方链接，没有通读全文。</x:v>
      </x:c>
      <x:c r="AM340" s="8" t="str"/>
    </x:row>
    <x:row r="341" ht="68" customHeight="1">
      <x:c r="A341" s="8" t="str">
        <x:v>WA-0355</x:v>
      </x:c>
      <x:c r="B341" s="8" t="str">
        <x:v>LayoutLMv3</x:v>
      </x:c>
      <x:c r="C341" s="8" t="str">
        <x:v>LayoutLMv3: Pre-training for Document AI with Unified Text and Image Masking</x:v>
      </x:c>
      <x:c r="D341" s="9" t="n">
        <x:v>2022</x:v>
      </x:c>
      <x:c r="E341" s="8" t="str">
        <x:v>Sun Yat-sen University; Microsoft Research</x:v>
      </x:c>
      <x:c r="F341" s="10" t="str">
        <x:f>VLOOKUP(H341,'Taxonomy'!$A$6:$G$70,3,FALSE)</x:f>
        <x:v>基础：定义、工作条件与核心能力</x:v>
      </x:c>
      <x:c r="G341" s="10" t="str">
        <x:f>VLOOKUP(H341,'Taxonomy'!$A$6:$G$70,5,FALSE)</x:f>
        <x:v>五项核心能力</x:v>
      </x:c>
      <x:c r="H341" s="8" t="str">
        <x:v>2.3.1</x:v>
      </x:c>
      <x:c r="I341" s="10" t="str">
        <x:f>VLOOKUP(H341,'Taxonomy'!$A$6:$G$70,6,FALSE)</x:f>
        <x:v>感知与理解</x:v>
      </x:c>
      <x:c r="J341" s="8" t="str">
        <x:v>对象结构、模态与语义;模型参数学习</x:v>
      </x:c>
      <x:c r="K341" s="8" t="str">
        <x:v>感知与理解</x:v>
      </x:c>
      <x:c r="L341" s="8" t="str">
        <x:v>5.2.1 中期训练与监督微调</x:v>
      </x:c>
      <x:c r="M341" s="8" t="str"/>
      <x:c r="N341" s="8" t="str">
        <x:v>Method;Background</x:v>
      </x:c>
      <x:c r="O341" s="11" t="str">
        <x:v>https://arxiv.org/abs/2204.08387</x:v>
      </x:c>
      <x:c r="P341" s="8" t="str">
        <x:v>以统一文本和图像掩码及词块对齐预训练文档表示，服务版面和文档理解任务。</x:v>
      </x:c>
      <x:c r="Q341" s="8" t="str">
        <x:v>为2.3.1提供多模态工作材料表示的经典方法依据，避免该节只有基准列表。</x:v>
      </x:c>
      <x:c r="R341" s="8" t="str">
        <x:v>表示预训练和下游理解任务不构成可执行代理；保留Related背景，不扩大主列表边界。</x:v>
      </x:c>
      <x:c r="S341" s="8" t="str">
        <x:v>补充</x:v>
      </x:c>
      <x:c r="T341" s="12" t="str">
        <x:v>未分配</x:v>
      </x:c>
      <x:c r="U341" s="12" t="str"/>
      <x:c r="V341" s="12" t="str"/>
      <x:c r="W341" s="12" t="str"/>
      <x:c r="X341" s="8" t="str">
        <x:v>verified</x:v>
      </x:c>
      <x:c r="Y341" s="11" t="str">
        <x:v>https://aka.ms/layoutlmv3</x:v>
      </x:c>
      <x:c r="Z341" s="11" t="str"/>
      <x:c r="AA341" s="11" t="str">
        <x:v>https://arxiv.org/html/2204.08387v1</x:v>
      </x:c>
      <x:c r="AB341" s="11" t="str">
        <x:v>https://arxiv.org/abs/2204.08387</x:v>
      </x:c>
      <x:c r="AC341" s="8" t="str">
        <x:v>AIO-102</x:v>
      </x:c>
      <x:c r="AD341" s="8" t="str"/>
      <x:c r="AE341" s="8" t="str"/>
      <x:c r="AF341" s="8" t="str">
        <x:v>用于“感知与理解”：为2.3.1提供多模态工作材料表示的经典方法依据，避免该节只有基准列表。 作为文档感知基础方法；解析或表示效果不等于端到端工作完成。</x:v>
      </x:c>
      <x:c r="AG341" s="8" t="str">
        <x:v>related</x:v>
      </x:c>
      <x:c r="AH341" s="8" t="str">
        <x:v>Text-image-layout representation learning</x:v>
      </x:c>
      <x:c r="AI341" s="8" t="str"/>
      <x:c r="AJ341" s="8" t="str">
        <x:v>supplementary primary-source search;2026-10-16 AI Office survey bibliography</x:v>
      </x:c>
      <x:c r="AK341" s="13" t="d">
        <x:v>2026-10-16T00:00:00.000Z</x:v>
      </x:c>
      <x:c r="AL341" s="8" t="str">
        <x:v>附件149项之外的独立补充；本轮仅核验官方摘要、正文前置信息及官方链接，没有通读全文。</x:v>
      </x:c>
      <x:c r="AM341" s="8" t="str"/>
    </x:row>
    <x:row r="342" ht="68" customHeight="1">
      <x:c r="A342" s="8" t="str">
        <x:v>WA-0356</x:v>
      </x:c>
      <x:c r="B342" s="8" t="str">
        <x:v>RADAR</x:v>
      </x:c>
      <x:c r="C342" s="8" t="str">
        <x:v>Automating Low-Risk Code Review at Meta: RADAR, Risk Calibration, and Review Efficiency</x:v>
      </x:c>
      <x:c r="D342" s="9" t="n">
        <x:v>2026</x:v>
      </x:c>
      <x:c r="E342" s="8" t="str">
        <x:v>Meta</x:v>
      </x:c>
      <x:c r="F342" s="21" t="str">
        <x:f>VLOOKUP(H342,'Taxonomy'!$A$6:$G$70,3,FALSE)</x:f>
        <x:v>基础：定义、工作条件与核心能力</x:v>
      </x:c>
      <x:c r="G342" s="21" t="str">
        <x:f>VLOOKUP(H342,'Taxonomy'!$A$6:$G$70,5,FALSE)</x:f>
        <x:v>五项核心能力</x:v>
      </x:c>
      <x:c r="H342" s="8" t="str">
        <x:v>2.3.5</x:v>
      </x:c>
      <x:c r="I342" s="21" t="str">
        <x:f>VLOOKUP(H342,'Taxonomy'!$A$6:$G$70,6,FALSE)</x:f>
        <x:v>验证、恢复与重新规划</x:v>
      </x:c>
      <x:c r="J342" s="8" t="str">
        <x:v>成果与实际状态核验;质量、时间成本与使用价值</x:v>
      </x:c>
      <x:c r="K342" s="8" t="str">
        <x:v>验证、恢复与重新规划</x:v>
      </x:c>
      <x:c r="L342" s="8" t="str">
        <x:v>6.2.2 评判程序;7.4.3 组织集成与经济价值</x:v>
      </x:c>
      <x:c r="M342" s="8" t="str"/>
      <x:c r="N342" s="8" t="str">
        <x:v>Method</x:v>
      </x:c>
      <x:c r="O342" s="11" t="str">
        <x:v>https://arxiv.org/abs/2605.30208</x:v>
      </x:c>
      <x:c r="P342" s="8" t="str">
        <x:v>以风险分层、校准和自动化审查研究低风险代码变更的审查效率。</x:v>
      </x:c>
      <x:c r="Q342" s="8" t="str">
        <x:v>用于2.3.5「验证、恢复与重新规划」：以风险分层、校准和自动化审查研究低风险代码变更的审查效率。</x:v>
      </x:c>
      <x:c r="R342" s="8" t="str">
        <x:v>支持论文所研究的规划、执行或反馈机制；跨环境可靠性仍需按原文实验设置判断。</x:v>
      </x:c>
      <x:c r="S342" s="8" t="str">
        <x:v>补充</x:v>
      </x:c>
      <x:c r="T342" s="22" t="str">
        <x:v>未分配</x:v>
      </x:c>
      <x:c r="U342" s="22" t="str"/>
      <x:c r="V342" s="22" t="str"/>
      <x:c r="W342" s="22" t="str"/>
      <x:c r="X342" s="8" t="str">
        <x:v>verified</x:v>
      </x:c>
      <x:c r="Y342" s="11" t="str"/>
      <x:c r="Z342" s="11" t="str"/>
      <x:c r="AA342" s="11" t="str">
        <x:v>https://arxiv.org/pdf/2605.30208</x:v>
      </x:c>
      <x:c r="AB342" s="11" t="str">
        <x:v>https://arxiv.org/abs/2605.30208</x:v>
      </x:c>
      <x:c r="AC342" s="8" t="str">
        <x:v>AIO-001</x:v>
      </x:c>
      <x:c r="AD342" s="8" t="str">
        <x:v>书目页、可得摘要与首页单位核验；未做全文精读。</x:v>
      </x:c>
      <x:c r="AE342" s="8" t="str"/>
      <x:c r="AF342" s="8" t="str">
        <x:v>按本综述2.3.5「验证、恢复与重新规划」的写作用途归类；以风险分层、校准和自动化审查研究低风险代码变更的审查效率。</x:v>
      </x:c>
      <x:c r="AG342" s="8" t="str">
        <x:v>verification</x:v>
      </x:c>
      <x:c r="AH342" s="8" t="str">
        <x:v>outcome-verification,quality-cost-value</x:v>
      </x:c>
      <x:c r="AI342" s="8" t="str"/>
      <x:c r="AJ342" s="8" t="str">
        <x:v>2026-10-16 AI Office survey bibliography</x:v>
      </x:c>
      <x:c r="AK342" s="13" t="d">
        <x:v>2026-10-16T00:00:00.000Z</x:v>
      </x:c>
      <x:c r="AL342" s="8" t="str">
        <x:v>从新增来源发现候选，正式题名、链接及单位以可得一手资料为准。</x:v>
      </x:c>
      <x:c r="AM342" s="8" t="str"/>
    </x:row>
    <x:row r="343" ht="68" customHeight="1">
      <x:c r="A343" s="8" t="str">
        <x:v>WA-0357</x:v>
      </x:c>
      <x:c r="B343" s="8" t="str">
        <x:v>Agent S</x:v>
      </x:c>
      <x:c r="C343" s="8" t="str">
        <x:v>Agent S: An Open Agentic Framework that Uses Computers Like a Human</x:v>
      </x:c>
      <x:c r="D343" s="9" t="n">
        <x:v>2024</x:v>
      </x:c>
      <x:c r="E343" s="8" t="str">
        <x:v>Simular Research</x:v>
      </x:c>
      <x:c r="F343" s="21" t="str">
        <x:f>VLOOKUP(H343,'Taxonomy'!$A$6:$G$70,3,FALSE)</x:f>
        <x:v>基础：定义、工作条件与核心能力</x:v>
      </x:c>
      <x:c r="G343" s="21" t="str">
        <x:f>VLOOKUP(H343,'Taxonomy'!$A$6:$G$70,5,FALSE)</x:f>
        <x:v>相关智能体范式</x:v>
      </x:c>
      <x:c r="H343" s="8" t="str">
        <x:v>2.4.2</x:v>
      </x:c>
      <x:c r="I343" s="21" t="str">
        <x:f>VLOOKUP(H343,'Taxonomy'!$A$6:$G$70,6,FALSE)</x:f>
        <x:v>计算机使用智能体</x:v>
      </x:c>
      <x:c r="J343" s="8" t="str">
        <x:v>工具、界面与应用执行;任务分解与行动依赖;经验记忆与技能优化</x:v>
      </x:c>
      <x:c r="K343" s="8" t="str">
        <x:v>感知与理解;规划与协调;执行与状态管理;验证、恢复与重新规划</x:v>
      </x:c>
      <x:c r="L343" s="8" t="str">
        <x:v>2.3.3 规划与协调;5.3.3 记忆与技能优化</x:v>
      </x:c>
      <x:c r="M343" s="8" t="str">
        <x:v>接口与工具优化;记忆与技能优化</x:v>
      </x:c>
      <x:c r="N343" s="8" t="str">
        <x:v>Framework</x:v>
      </x:c>
      <x:c r="O343" s="11" t="str">
        <x:v>https://arxiv.org/abs/2410.08164</x:v>
      </x:c>
      <x:c r="P343" s="8" t="str">
        <x:v>结合经验检索、分层规划与智能体计算机接口执行桌面任务。</x:v>
      </x:c>
      <x:c r="Q343" s="8" t="str">
        <x:v>用于2.4.2「计算机使用智能体」：结合经验检索、分层规划与智能体计算机接口执行桌面任务。</x:v>
      </x:c>
      <x:c r="R343" s="8" t="str">
        <x:v>外部记忆或技能改进不自动意味着基础模型权重学习，也不证明持续责任或跨领域泛化。</x:v>
      </x:c>
      <x:c r="S343" s="8" t="str">
        <x:v>补充</x:v>
      </x:c>
      <x:c r="T343" s="22" t="str">
        <x:v>未分配</x:v>
      </x:c>
      <x:c r="U343" s="22" t="str"/>
      <x:c r="V343" s="22" t="str"/>
      <x:c r="W343" s="22" t="str"/>
      <x:c r="X343" s="8" t="str">
        <x:v>verified</x:v>
      </x:c>
      <x:c r="Y343" s="11" t="str">
        <x:v>https://github.com/simular-ai/Agent-S</x:v>
      </x:c>
      <x:c r="Z343" s="11" t="str"/>
      <x:c r="AA343" s="11" t="str">
        <x:v>https://arxiv.org/pdf/2410.08164</x:v>
      </x:c>
      <x:c r="AB343" s="11" t="str">
        <x:v>https://arxiv.org/abs/2410.08164</x:v>
      </x:c>
      <x:c r="AC343" s="8" t="str">
        <x:v>AIO-004</x:v>
      </x:c>
      <x:c r="AD343" s="8" t="str">
        <x:v>书目页、可得摘要与首页单位核验；未做全文精读。</x:v>
      </x:c>
      <x:c r="AE343" s="8" t="str"/>
      <x:c r="AF343" s="8" t="str">
        <x:v>按本综述2.4.2「计算机使用智能体」的写作用途归类；结合经验检索、分层规划与智能体计算机接口执行桌面任务。</x:v>
      </x:c>
      <x:c r="AG343" s="8" t="str">
        <x:v>computer-use</x:v>
      </x:c>
      <x:c r="AH343" s="8" t="str">
        <x:v>tool-execution,planning-dependencies,memory-skill</x:v>
      </x:c>
      <x:c r="AI343" s="8" t="str"/>
      <x:c r="AJ343" s="8" t="str">
        <x:v>2026-10-16 AI Office survey bibliography</x:v>
      </x:c>
      <x:c r="AK343" s="13" t="d">
        <x:v>2026-10-16T00:00:00.000Z</x:v>
      </x:c>
      <x:c r="AL343" s="8" t="str">
        <x:v>从新增来源发现候选，正式题名、链接及单位以可得一手资料为准。</x:v>
      </x:c>
      <x:c r="AM343" s="8" t="str"/>
    </x:row>
    <x:row r="344" ht="68" customHeight="1">
      <x:c r="A344" s="8" t="str">
        <x:v>WA-0358</x:v>
      </x:c>
      <x:c r="B344" s="8" t="str">
        <x:v>Self-Healing Orchestrators</x:v>
      </x:c>
      <x:c r="C344" s="8" t="str">
        <x:v>Self-Healing Agentic Orchestrators for Reliable Tool-Augmented Large Language Model Systems</x:v>
      </x:c>
      <x:c r="D344" s="9" t="n">
        <x:v>2026</x:v>
      </x:c>
      <x:c r="E344" s="8" t="str">
        <x:v>Independent Researcher (first author; second affiliation not stated)</x:v>
      </x:c>
      <x:c r="F344" s="21" t="str">
        <x:f>VLOOKUP(H344,'Taxonomy'!$A$6:$G$70,3,FALSE)</x:f>
        <x:v>基础：定义、工作条件与核心能力</x:v>
      </x:c>
      <x:c r="G344" s="21" t="str">
        <x:f>VLOOKUP(H344,'Taxonomy'!$A$6:$G$70,5,FALSE)</x:f>
        <x:v>五项核心能力</x:v>
      </x:c>
      <x:c r="H344" s="8" t="str">
        <x:v>2.3.5</x:v>
      </x:c>
      <x:c r="I344" s="21" t="str">
        <x:f>VLOOKUP(H344,'Taxonomy'!$A$6:$G$70,6,FALSE)</x:f>
        <x:v>验证、恢复与重新规划</x:v>
      </x:c>
      <x:c r="J344" s="8" t="str">
        <x:v>失败定位与根因诊断;回滚、补偿与路径调整</x:v>
      </x:c>
      <x:c r="K344" s="8" t="str">
        <x:v>规划与协调;验证、恢复与重新规划</x:v>
      </x:c>
      <x:c r="L344" s="8" t="str">
        <x:v>5.3.2 提示与工作流优化;6.1.1 任务构造策略</x:v>
      </x:c>
      <x:c r="M344" s="8" t="str"/>
      <x:c r="N344" s="8" t="str">
        <x:v>Method</x:v>
      </x:c>
      <x:c r="O344" s="11" t="str">
        <x:v>https://arxiv.org/abs/2606.01416</x:v>
      </x:c>
      <x:c r="P344" s="8" t="str">
        <x:v>把故障分类、预算约束下的修复与修复后验证组织为运行控制循环。</x:v>
      </x:c>
      <x:c r="Q344" s="8" t="str">
        <x:v>用于2.3.5「验证、恢复与重新规划」：把故障分类、预算约束下的修复与修复后验证组织为运行控制循环。</x:v>
      </x:c>
      <x:c r="R344" s="8" t="str">
        <x:v>支持论文所研究的规划、执行或反馈机制；跨环境可靠性仍需按原文实验设置判断。</x:v>
      </x:c>
      <x:c r="S344" s="8" t="str">
        <x:v>补充</x:v>
      </x:c>
      <x:c r="T344" s="22" t="str">
        <x:v>未分配</x:v>
      </x:c>
      <x:c r="U344" s="22" t="str"/>
      <x:c r="V344" s="22" t="str"/>
      <x:c r="W344" s="22" t="str"/>
      <x:c r="X344" s="8" t="str">
        <x:v>metadata-only</x:v>
      </x:c>
      <x:c r="Y344" s="11" t="str"/>
      <x:c r="Z344" s="11" t="str"/>
      <x:c r="AA344" s="11" t="str">
        <x:v>https://arxiv.org/pdf/2606.01416</x:v>
      </x:c>
      <x:c r="AB344" s="11" t="str">
        <x:v>https://arxiv.org/abs/2606.01416</x:v>
      </x:c>
      <x:c r="AC344" s="8" t="str">
        <x:v>AIO-025</x:v>
      </x:c>
      <x:c r="AD344" s="8" t="str">
        <x:v>书目页、可得摘要与首页单位核验；未做全文精读。</x:v>
      </x:c>
      <x:c r="AE344" s="8" t="str"/>
      <x:c r="AF344" s="8" t="str">
        <x:v>按本综述2.3.5「验证、恢复与重新规划」的写作用途归类；把故障分类、预算约束下的修复与修复后验证组织为运行控制循环。</x:v>
      </x:c>
      <x:c r="AG344" s="8" t="str">
        <x:v>verification</x:v>
      </x:c>
      <x:c r="AH344" s="8" t="str">
        <x:v>failure-diagnosis,recovery-replanning</x:v>
      </x:c>
      <x:c r="AI344" s="8" t="str"/>
      <x:c r="AJ344" s="8" t="str">
        <x:v>2026-10-16 AI Office survey bibliography</x:v>
      </x:c>
      <x:c r="AK344" s="13" t="d">
        <x:v>2026-10-16T00:00:00.000Z</x:v>
      </x:c>
      <x:c r="AL344" s="8" t="str">
        <x:v>从新增来源发现候选，正式题名、链接及单位以可得一手资料为准。首页第一作者注明独立研究者，第二作者仅列IEEE身份，不能据邮箱推断其机构；单位信息不完整。</x:v>
      </x:c>
      <x:c r="AM344" s="8" t="str"/>
    </x:row>
    <x:row r="345" ht="68" customHeight="1">
      <x:c r="A345" s="8" t="str">
        <x:v>WA-0359</x:v>
      </x:c>
      <x:c r="B345" s="8" t="str">
        <x:v>Qwen2.5-VL</x:v>
      </x:c>
      <x:c r="C345" s="8" t="str">
        <x:v>Qwen2.5-VL Technical Report</x:v>
      </x:c>
      <x:c r="D345" s="9" t="n">
        <x:v>2025</x:v>
      </x:c>
      <x:c r="E345" s="8" t="str">
        <x:v>Alibaba Group</x:v>
      </x:c>
      <x:c r="F345" s="21" t="str">
        <x:f>VLOOKUP(H345,'Taxonomy'!$A$6:$G$70,3,FALSE)</x:f>
        <x:v>基础：定义、工作条件与核心能力</x:v>
      </x:c>
      <x:c r="G345" s="21" t="str">
        <x:f>VLOOKUP(H345,'Taxonomy'!$A$6:$G$70,5,FALSE)</x:f>
        <x:v>五项核心能力</x:v>
      </x:c>
      <x:c r="H345" s="8" t="str">
        <x:v>2.3.1</x:v>
      </x:c>
      <x:c r="I345" s="21" t="str">
        <x:f>VLOOKUP(H345,'Taxonomy'!$A$6:$G$70,6,FALSE)</x:f>
        <x:v>感知与理解</x:v>
      </x:c>
      <x:c r="J345" s="8" t="str">
        <x:v>对象结构、模态与语义;模型参数学习</x:v>
      </x:c>
      <x:c r="K345" s="8" t="str">
        <x:v>感知与理解</x:v>
      </x:c>
      <x:c r="L345" s="8" t="str">
        <x:v>5.2.1 中期训练与监督微调</x:v>
      </x:c>
      <x:c r="M345" s="8" t="str"/>
      <x:c r="N345" s="8" t="str">
        <x:v>Background</x:v>
      </x:c>
      <x:c r="O345" s="11" t="str">
        <x:v>https://arxiv.org/abs/2502.13923</x:v>
      </x:c>
      <x:c r="P345" s="8" t="str">
        <x:v>报告动态分辨率视觉建模、结构化文档理解与视觉定位能力。</x:v>
      </x:c>
      <x:c r="Q345" s="8" t="str">
        <x:v>用于2.3.1「感知与理解」：报告动态分辨率视觉建模、结构化文档理解与视觉定位能力。</x:v>
      </x:c>
      <x:c r="R345" s="8" t="str">
        <x:v>理解、问答或表示能力是工作智能体的组成部分，不等同于可编辑文件生成、跨文件一致性或端到端验收。</x:v>
      </x:c>
      <x:c r="S345" s="8" t="str">
        <x:v>补充</x:v>
      </x:c>
      <x:c r="T345" s="22" t="str">
        <x:v>未分配</x:v>
      </x:c>
      <x:c r="U345" s="22" t="str"/>
      <x:c r="V345" s="22" t="str"/>
      <x:c r="W345" s="22" t="str"/>
      <x:c r="X345" s="8" t="str">
        <x:v>verified</x:v>
      </x:c>
      <x:c r="Y345" s="11" t="str">
        <x:v>https://github.com/QwenLM/Qwen2.5-VL</x:v>
      </x:c>
      <x:c r="Z345" s="11" t="str"/>
      <x:c r="AA345" s="11" t="str">
        <x:v>https://arxiv.org/pdf/2502.13923</x:v>
      </x:c>
      <x:c r="AB345" s="11" t="str">
        <x:v>https://arxiv.org/abs/2502.13923</x:v>
      </x:c>
      <x:c r="AC345" s="8" t="str">
        <x:v>AIO-027</x:v>
      </x:c>
      <x:c r="AD345" s="8" t="str">
        <x:v>书目页、可得摘要与首页单位核验；未做全文精读。</x:v>
      </x:c>
      <x:c r="AE345" s="8" t="str"/>
      <x:c r="AF345" s="8" t="str">
        <x:v>按本综述2.3.1「感知与理解」的写作用途归类；报告动态分辨率视觉建模、结构化文档理解与视觉定位能力。</x:v>
      </x:c>
      <x:c r="AG345" s="8" t="str">
        <x:v>related</x:v>
      </x:c>
      <x:c r="AH345" s="8" t="str">
        <x:v>object-semantics,model-training</x:v>
      </x:c>
      <x:c r="AI345" s="8" t="str"/>
      <x:c r="AJ345" s="8" t="str">
        <x:v>2026-10-16 AI Office survey bibliography</x:v>
      </x:c>
      <x:c r="AK345" s="13" t="d">
        <x:v>2026-10-16T00:00:00.000Z</x:v>
      </x:c>
      <x:c r="AL345" s="8" t="str">
        <x:v>从新增来源发现候选，正式题名、链接及单位以可得一手资料为准。</x:v>
      </x:c>
      <x:c r="AM345" s="8" t="str"/>
    </x:row>
    <x:row r="346" ht="68" customHeight="1">
      <x:c r="A346" s="8" t="str">
        <x:v>WA-0360</x:v>
      </x:c>
      <x:c r="B346" s="8" t="str">
        <x:v>LongBench</x:v>
      </x:c>
      <x:c r="C346" s="8" t="str">
        <x:v>LongBench: A Bilingual, Multitask Benchmark for Long Context Understanding</x:v>
      </x:c>
      <x:c r="D346" s="9" t="n">
        <x:v>2023</x:v>
      </x:c>
      <x:c r="E346" s="8" t="str">
        <x:v>Tsinghua University; Zhipu AI; Institute of Automation, Chinese Academy of Sciences</x:v>
      </x:c>
      <x:c r="F346" s="21" t="str">
        <x:f>VLOOKUP(H346,'Taxonomy'!$A$6:$G$70,3,FALSE)</x:f>
        <x:v>评估与资源：如何检验工作完成</x:v>
      </x:c>
      <x:c r="G346" s="21" t="str">
        <x:f>VLOOKUP(H346,'Taxonomy'!$A$6:$G$70,5,FALSE)</x:f>
        <x:v>基准与任务构造</x:v>
      </x:c>
      <x:c r="H346" s="8" t="str">
        <x:v>6.1.2</x:v>
      </x:c>
      <x:c r="I346" s="21" t="str">
        <x:f>VLOOKUP(H346,'Taxonomy'!$A$6:$G$70,6,FALSE)</x:f>
        <x:v>领域覆盖与工作要求</x:v>
      </x:c>
      <x:c r="J346" s="8" t="str">
        <x:v>任务覆盖与泛化边界;对象结构、模态与语义</x:v>
      </x:c>
      <x:c r="K346" s="8" t="str">
        <x:v>感知与理解;推理与决策</x:v>
      </x:c>
      <x:c r="L346" s="8" t="str">
        <x:v>2.3.1 感知与理解</x:v>
      </x:c>
      <x:c r="M346" s="8" t="str"/>
      <x:c r="N346" s="8" t="str">
        <x:v>Benchmark</x:v>
      </x:c>
      <x:c r="O346" s="11" t="str">
        <x:v>https://arxiv.org/abs/2308.14508</x:v>
      </x:c>
      <x:c r="P346" s="8" t="str">
        <x:v>提供双语多任务长上下文理解评测，涵盖问答、摘要与代码等任务。</x:v>
      </x:c>
      <x:c r="Q346" s="8" t="str">
        <x:v>用于6.1.2「领域覆盖与工作要求」：提供双语多任务长上下文理解评测，涵盖问答、摘要与代码等任务。</x:v>
      </x:c>
      <x:c r="R346" s="8" t="str">
        <x:v>理解、问答或表示能力是工作智能体的组成部分，不等同于可编辑文件生成、跨文件一致性或端到端验收。</x:v>
      </x:c>
      <x:c r="S346" s="8" t="str">
        <x:v>补充</x:v>
      </x:c>
      <x:c r="T346" s="22" t="str">
        <x:v>未分配</x:v>
      </x:c>
      <x:c r="U346" s="22" t="str"/>
      <x:c r="V346" s="22" t="str"/>
      <x:c r="W346" s="22" t="str"/>
      <x:c r="X346" s="8" t="str">
        <x:v>verified</x:v>
      </x:c>
      <x:c r="Y346" s="11" t="str"/>
      <x:c r="Z346" s="11" t="str"/>
      <x:c r="AA346" s="11" t="str">
        <x:v>https://arxiv.org/pdf/2308.14508</x:v>
      </x:c>
      <x:c r="AB346" s="11" t="str">
        <x:v>https://arxiv.org/abs/2308.14508</x:v>
      </x:c>
      <x:c r="AC346" s="8" t="str">
        <x:v>AIO-028</x:v>
      </x:c>
      <x:c r="AD346" s="8" t="str">
        <x:v>书目页、可得摘要与首页单位核验；未做全文精读。</x:v>
      </x:c>
      <x:c r="AE346" s="8" t="str"/>
      <x:c r="AF346" s="8" t="str">
        <x:v>按本综述6.1.2「领域覆盖与工作要求」的写作用途归类；提供双语多任务长上下文理解评测，涵盖问答、摘要与代码等任务。</x:v>
      </x:c>
      <x:c r="AG346" s="8" t="str">
        <x:v>workspace</x:v>
      </x:c>
      <x:c r="AH346" s="8" t="str">
        <x:v>coverage-work-requirements,object-semantics</x:v>
      </x:c>
      <x:c r="AI346" s="8" t="str"/>
      <x:c r="AJ346" s="8" t="str">
        <x:v>2026-10-16 AI Office survey bibliography</x:v>
      </x:c>
      <x:c r="AK346" s="13" t="d">
        <x:v>2026-10-16T00:00:00.000Z</x:v>
      </x:c>
      <x:c r="AL346" s="8" t="str">
        <x:v>从新增来源发现候选，正式题名、链接及单位以可得一手资料为准。</x:v>
      </x:c>
      <x:c r="AM346" s="8" t="str"/>
    </x:row>
    <x:row r="347" ht="68" customHeight="1">
      <x:c r="A347" s="8" t="str">
        <x:v>WA-0361</x:v>
      </x:c>
      <x:c r="B347" s="8" t="str">
        <x:v>Ironies of Automation</x:v>
      </x:c>
      <x:c r="C347" s="8" t="str">
        <x:v>Ironies of Automation</x:v>
      </x:c>
      <x:c r="D347" s="9" t="n">
        <x:v>1983</x:v>
      </x:c>
      <x:c r="E347" s="8" t="str"/>
      <x:c r="F347" s="21" t="str">
        <x:f>VLOOKUP(H347,'Taxonomy'!$A$6:$G$70,3,FALSE)</x:f>
        <x:v>前沿：下一代 Working Agents</x:v>
      </x:c>
      <x:c r="G347" s="21" t="str">
        <x:f>VLOOKUP(H347,'Taxonomy'!$A$6:$G$70,5,FALSE)</x:f>
        <x:v>从专业质量到使用价值</x:v>
      </x:c>
      <x:c r="H347" s="8" t="str">
        <x:v>7.3.3</x:v>
      </x:c>
      <x:c r="I347" s="21" t="str">
        <x:f>VLOOKUP(H347,'Taxonomy'!$A$6:$G$70,6,FALSE)</x:f>
        <x:v>质量判断与使用价值</x:v>
      </x:c>
      <x:c r="J347" s="8" t="str">
        <x:v>委托、责任与权限;质量、时间成本与使用价值</x:v>
      </x:c>
      <x:c r="K347" s="8" t="str">
        <x:v>验证、恢复与重新规划</x:v>
      </x:c>
      <x:c r="L347" s="8" t="str"/>
      <x:c r="M347" s="8" t="str"/>
      <x:c r="N347" s="8" t="str">
        <x:v>Background</x:v>
      </x:c>
      <x:c r="O347" s="11" t="str">
        <x:v>https://doi.org/10.1016/0005-1098(83)90046-8</x:v>
      </x:c>
      <x:c r="P347" s="8" t="str">
        <x:v>分析自动化系统中人类监督、技能退化和异常接管的矛盾。</x:v>
      </x:c>
      <x:c r="Q347" s="8" t="str">
        <x:v>用于7.3.3「质量判断与使用价值」：分析自动化系统中人类监督、技能退化和异常接管的矛盾。</x:v>
      </x:c>
      <x:c r="R347" s="8" t="str">
        <x:v>用于概念、训练或工作影响背景；不作为完整工作智能体已具备相应能力的直接证据。</x:v>
      </x:c>
      <x:c r="S347" s="8" t="str">
        <x:v>补充</x:v>
      </x:c>
      <x:c r="T347" s="22" t="str">
        <x:v>未分配</x:v>
      </x:c>
      <x:c r="U347" s="22" t="str"/>
      <x:c r="V347" s="22" t="str"/>
      <x:c r="W347" s="22" t="str"/>
      <x:c r="X347" s="8" t="str">
        <x:v>metadata-only</x:v>
      </x:c>
      <x:c r="Y347" s="11" t="str"/>
      <x:c r="Z347" s="11" t="str"/>
      <x:c r="AA347" s="11" t="str"/>
      <x:c r="AB347" s="11" t="str">
        <x:v>https://doi.org/10.1016/0005-1098(83)90046-8</x:v>
      </x:c>
      <x:c r="AC347" s="8" t="str">
        <x:v>AIO-030</x:v>
      </x:c>
      <x:c r="AD347" s="8" t="str">
        <x:v>书目页、可得摘要与首页单位核验；未做全文精读。</x:v>
      </x:c>
      <x:c r="AE347" s="8" t="str"/>
      <x:c r="AF347" s="8" t="str">
        <x:v>按本综述7.3.3「质量判断与使用价值」的写作用途归类；分析自动化系统中人类监督、技能退化和异常接管的矛盾。</x:v>
      </x:c>
      <x:c r="AG347" s="8" t="str">
        <x:v>related</x:v>
      </x:c>
      <x:c r="AH347" s="8" t="str">
        <x:v>delegation-authority,quality-cost-value</x:v>
      </x:c>
      <x:c r="AI347" s="8" t="str"/>
      <x:c r="AJ347" s="8" t="str">
        <x:v>2026-10-16 AI Office survey bibliography</x:v>
      </x:c>
      <x:c r="AK347" s="13" t="d">
        <x:v>2026-10-16T00:00:00.000Z</x:v>
      </x:c>
      <x:c r="AL347" s="8" t="str">
        <x:v>从新增来源发现候选，正式题名、链接及单位以可得一手资料为准。题名和发表信息已通过出版方检索核对；本轮未获得完整单位证据，留空待补。</x:v>
      </x:c>
      <x:c r="AM347" s="8" t="str"/>
    </x:row>
    <x:row r="348" ht="68" customHeight="1">
      <x:c r="A348" s="8" t="str">
        <x:v>WA-0362</x:v>
      </x:c>
      <x:c r="B348" s="8" t="str">
        <x:v>Foundation Models</x:v>
      </x:c>
      <x:c r="C348" s="8" t="str">
        <x:v>On the Opportunities and Risks of Foundation Models</x:v>
      </x:c>
      <x:c r="D348" s="9" t="n">
        <x:v>2021</x:v>
      </x:c>
      <x:c r="E348" s="8" t="str">
        <x:v>Stanford University</x:v>
      </x:c>
      <x:c r="F348" s="21" t="str">
        <x:f>VLOOKUP(H348,'Taxonomy'!$A$6:$G$70,3,FALSE)</x:f>
        <x:v>基础：定义、工作条件与核心能力</x:v>
      </x:c>
      <x:c r="G348" s="21" t="str">
        <x:f>VLOOKUP(H348,'Taxonomy'!$A$6:$G$70,5,FALSE)</x:f>
        <x:v>定义与系统视角</x:v>
      </x:c>
      <x:c r="H348" s="8" t="str">
        <x:v>2.1.1</x:v>
      </x:c>
      <x:c r="I348" s="21" t="str">
        <x:f>VLOOKUP(H348,'Taxonomy'!$A$6:$G$70,6,FALSE)</x:f>
        <x:v>定义与范围</x:v>
      </x:c>
      <x:c r="J348" s="8" t="str">
        <x:v>范式与自主性边界;任务覆盖与泛化边界</x:v>
      </x:c>
      <x:c r="K348" s="8" t="str">
        <x:v>感知与理解;推理与决策</x:v>
      </x:c>
      <x:c r="L348" s="8" t="str"/>
      <x:c r="M348" s="8" t="str"/>
      <x:c r="N348" s="8" t="str">
        <x:v>Survey</x:v>
      </x:c>
      <x:c r="O348" s="11" t="str">
        <x:v>https://arxiv.org/abs/2108.07258</x:v>
      </x:c>
      <x:c r="P348" s="8" t="str">
        <x:v>系统讨论基础模型的技术能力、社会影响与风险，作为宏观背景。</x:v>
      </x:c>
      <x:c r="Q348" s="8" t="str">
        <x:v>用于2.1.1「定义与范围」：系统讨论基础模型的技术能力、社会影响与风险，作为宏观背景。</x:v>
      </x:c>
      <x:c r="R348" s="8" t="str">
        <x:v>作为研究覆盖与术语背景；具体性能结论应回到其引用的一手论文。</x:v>
      </x:c>
      <x:c r="S348" s="8" t="str">
        <x:v>补充</x:v>
      </x:c>
      <x:c r="T348" s="22" t="str">
        <x:v>未分配</x:v>
      </x:c>
      <x:c r="U348" s="22" t="str"/>
      <x:c r="V348" s="22" t="str"/>
      <x:c r="W348" s="22" t="str"/>
      <x:c r="X348" s="8" t="str">
        <x:v>verified</x:v>
      </x:c>
      <x:c r="Y348" s="11" t="str"/>
      <x:c r="Z348" s="11" t="str"/>
      <x:c r="AA348" s="11" t="str">
        <x:v>https://arxiv.org/pdf/2108.07258</x:v>
      </x:c>
      <x:c r="AB348" s="11" t="str">
        <x:v>https://arxiv.org/abs/2108.07258</x:v>
      </x:c>
      <x:c r="AC348" s="8" t="str">
        <x:v>AIO-032</x:v>
      </x:c>
      <x:c r="AD348" s="8" t="str">
        <x:v>书目页、可得摘要与首页单位核验；未做全文精读。</x:v>
      </x:c>
      <x:c r="AE348" s="8" t="str"/>
      <x:c r="AF348" s="8" t="str">
        <x:v>按本综述2.1.1「定义与范围」的写作用途归类；系统讨论基础模型的技术能力、社会影响与风险，作为宏观背景。</x:v>
      </x:c>
      <x:c r="AG348" s="8" t="str">
        <x:v>related</x:v>
      </x:c>
      <x:c r="AH348" s="8" t="str">
        <x:v>paradigm-comparison,coverage-work-requirements</x:v>
      </x:c>
      <x:c r="AI348" s="8" t="str"/>
      <x:c r="AJ348" s="8" t="str">
        <x:v>2026-10-16 AI Office survey bibliography</x:v>
      </x:c>
      <x:c r="AK348" s="13" t="d">
        <x:v>2026-10-16T00:00:00.000Z</x:v>
      </x:c>
      <x:c r="AL348" s="8" t="str">
        <x:v>从新增来源发现候选，正式题名、链接及单位以可得一手资料为准。综述书目写2022；本记录按arXiv首次公开的2021年。</x:v>
      </x:c>
      <x:c r="AM348" s="8" t="str"/>
    </x:row>
    <x:row r="349" ht="68" customHeight="1">
      <x:c r="A349" s="8" t="str">
        <x:v>WA-0363</x:v>
      </x:c>
      <x:c r="B349" s="8" t="str">
        <x:v>GPT-3</x:v>
      </x:c>
      <x:c r="C349" s="8" t="str">
        <x:v>Language Models are Few-Shot Learners</x:v>
      </x:c>
      <x:c r="D349" s="9" t="n">
        <x:v>2020</x:v>
      </x:c>
      <x:c r="E349" s="8" t="str">
        <x:v>OpenAI; Johns Hopkins University</x:v>
      </x:c>
      <x:c r="F349" s="21" t="str">
        <x:f>VLOOKUP(H349,'Taxonomy'!$A$6:$G$70,3,FALSE)</x:f>
        <x:v>优化：从工作经验到系统能力</x:v>
      </x:c>
      <x:c r="G349" s="21" t="str">
        <x:f>VLOOKUP(H349,'Taxonomy'!$A$6:$G$70,5,FALSE)</x:f>
        <x:v>模型优化</x:v>
      </x:c>
      <x:c r="H349" s="8" t="str">
        <x:v>5.2.1</x:v>
      </x:c>
      <x:c r="I349" s="21" t="str">
        <x:f>VLOOKUP(H349,'Taxonomy'!$A$6:$G$70,6,FALSE)</x:f>
        <x:v>中期训练与监督微调</x:v>
      </x:c>
      <x:c r="J349" s="8" t="str">
        <x:v>模型参数学习;范式与自主性边界</x:v>
      </x:c>
      <x:c r="K349" s="8" t="str">
        <x:v>推理与决策</x:v>
      </x:c>
      <x:c r="L349" s="8" t="str"/>
      <x:c r="M349" s="8" t="str">
        <x:v>中期训练与监督微调</x:v>
      </x:c>
      <x:c r="N349" s="8" t="str">
        <x:v>Background</x:v>
      </x:c>
      <x:c r="O349" s="11" t="str">
        <x:v>https://arxiv.org/abs/2005.14165</x:v>
      </x:c>
      <x:c r="P349" s="8" t="str">
        <x:v>研究大规模语言模型在少样本提示下的任务泛化。</x:v>
      </x:c>
      <x:c r="Q349" s="8" t="str">
        <x:v>用于5.2.1「中期训练与监督微调」：研究大规模语言模型在少样本提示下的任务泛化。</x:v>
      </x:c>
      <x:c r="R349" s="8" t="str">
        <x:v>用于概念、训练或工作影响背景；不作为完整工作智能体已具备相应能力的直接证据。</x:v>
      </x:c>
      <x:c r="S349" s="8" t="str">
        <x:v>补充</x:v>
      </x:c>
      <x:c r="T349" s="22" t="str">
        <x:v>未分配</x:v>
      </x:c>
      <x:c r="U349" s="22" t="str"/>
      <x:c r="V349" s="22" t="str"/>
      <x:c r="W349" s="22" t="str"/>
      <x:c r="X349" s="8" t="str">
        <x:v>verified</x:v>
      </x:c>
      <x:c r="Y349" s="11" t="str"/>
      <x:c r="Z349" s="11" t="str"/>
      <x:c r="AA349" s="11" t="str">
        <x:v>https://arxiv.org/pdf/2005.14165</x:v>
      </x:c>
      <x:c r="AB349" s="11" t="str">
        <x:v>https://arxiv.org/abs/2005.14165</x:v>
      </x:c>
      <x:c r="AC349" s="8" t="str">
        <x:v>AIO-034</x:v>
      </x:c>
      <x:c r="AD349" s="8" t="str">
        <x:v>书目页、可得摘要与首页单位核验；未做全文精读。</x:v>
      </x:c>
      <x:c r="AE349" s="8" t="str"/>
      <x:c r="AF349" s="8" t="str">
        <x:v>按本综述5.2.1「中期训练与监督微调」的写作用途归类；研究大规模语言模型在少样本提示下的任务泛化。</x:v>
      </x:c>
      <x:c r="AG349" s="8" t="str">
        <x:v>related</x:v>
      </x:c>
      <x:c r="AH349" s="8" t="str">
        <x:v>model-training,paradigm-comparison</x:v>
      </x:c>
      <x:c r="AI349" s="8" t="str"/>
      <x:c r="AJ349" s="8" t="str">
        <x:v>2026-10-16 AI Office survey bibliography</x:v>
      </x:c>
      <x:c r="AK349" s="13" t="d">
        <x:v>2026-10-16T00:00:00.000Z</x:v>
      </x:c>
      <x:c r="AL349" s="8" t="str">
        <x:v>从新增来源发现候选，正式题名、链接及单位以可得一手资料为准。</x:v>
      </x:c>
      <x:c r="AM349" s="8" t="str"/>
    </x:row>
    <x:row r="350" ht="68" customHeight="1">
      <x:c r="A350" s="8" t="str">
        <x:v>WA-0364</x:v>
      </x:c>
      <x:c r="B350" s="8" t="str">
        <x:v>IT Productivity Paradox</x:v>
      </x:c>
      <x:c r="C350" s="8" t="str">
        <x:v>The Productivity Paradox of Information Technology</x:v>
      </x:c>
      <x:c r="D350" s="9" t="n">
        <x:v>1993</x:v>
      </x:c>
      <x:c r="E350" s="8" t="str"/>
      <x:c r="F350" s="21" t="str">
        <x:f>VLOOKUP(H350,'Taxonomy'!$A$6:$G$70,3,FALSE)</x:f>
        <x:v>前沿：下一代 Working Agents</x:v>
      </x:c>
      <x:c r="G350" s="21" t="str">
        <x:f>VLOOKUP(H350,'Taxonomy'!$A$6:$G$70,5,FALSE)</x:f>
        <x:v>以工作为中心的系统</x:v>
      </x:c>
      <x:c r="H350" s="8" t="str">
        <x:v>7.4.3</x:v>
      </x:c>
      <x:c r="I350" s="21" t="str">
        <x:f>VLOOKUP(H350,'Taxonomy'!$A$6:$G$70,6,FALSE)</x:f>
        <x:v>组织集成与经济价值</x:v>
      </x:c>
      <x:c r="J350" s="8" t="str">
        <x:v>组织协作与真实生产率;质量、时间成本与使用价值</x:v>
      </x:c>
      <x:c r="K350" s="8" t="str"/>
      <x:c r="L350" s="8" t="str"/>
      <x:c r="M350" s="8" t="str"/>
      <x:c r="N350" s="8" t="str">
        <x:v>Background</x:v>
      </x:c>
      <x:c r="O350" s="11" t="str">
        <x:v>https://doi.org/10.1145/163298.163309</x:v>
      </x:c>
      <x:c r="P350" s="8" t="str">
        <x:v>梳理信息技术投入与可观测生产率之间的测量、时滞和组织解释。</x:v>
      </x:c>
      <x:c r="Q350" s="8" t="str">
        <x:v>用于7.4.3「组织集成与经济价值」：梳理信息技术投入与可观测生产率之间的测量、时滞和组织解释。</x:v>
      </x:c>
      <x:c r="R350" s="8" t="str">
        <x:v>用于概念、训练或工作影响背景；不作为完整工作智能体已具备相应能力的直接证据。</x:v>
      </x:c>
      <x:c r="S350" s="8" t="str">
        <x:v>补充</x:v>
      </x:c>
      <x:c r="T350" s="22" t="str">
        <x:v>未分配</x:v>
      </x:c>
      <x:c r="U350" s="22" t="str"/>
      <x:c r="V350" s="22" t="str"/>
      <x:c r="W350" s="22" t="str"/>
      <x:c r="X350" s="8" t="str">
        <x:v>metadata-only</x:v>
      </x:c>
      <x:c r="Y350" s="11" t="str"/>
      <x:c r="Z350" s="11" t="str"/>
      <x:c r="AA350" s="11" t="str"/>
      <x:c r="AB350" s="11" t="str">
        <x:v>https://doi.org/10.1145/163298.163309</x:v>
      </x:c>
      <x:c r="AC350" s="8" t="str">
        <x:v>AIO-035</x:v>
      </x:c>
      <x:c r="AD350" s="8" t="str">
        <x:v>书目页、可得摘要与首页单位核验；未做全文精读。</x:v>
      </x:c>
      <x:c r="AE350" s="8" t="str"/>
      <x:c r="AF350" s="8" t="str">
        <x:v>按本综述7.4.3「组织集成与经济价值」的写作用途归类；梳理信息技术投入与可观测生产率之间的测量、时滞和组织解释。</x:v>
      </x:c>
      <x:c r="AG350" s="8" t="str">
        <x:v>related</x:v>
      </x:c>
      <x:c r="AH350" s="8" t="str">
        <x:v>organizational-productivity,quality-cost-value</x:v>
      </x:c>
      <x:c r="AI350" s="8" t="str"/>
      <x:c r="AJ350" s="8" t="str">
        <x:v>2026-10-16 AI Office survey bibliography</x:v>
      </x:c>
      <x:c r="AK350" s="13" t="d">
        <x:v>2026-10-16T00:00:00.000Z</x:v>
      </x:c>
      <x:c r="AL350" s="8" t="str">
        <x:v>从新增来源发现候选，正式题名、链接及单位以可得一手资料为准。题名和发表信息已通过出版方检索核对；本轮未获得完整单位证据，留空待补。</x:v>
      </x:c>
      <x:c r="AM350" s="8" t="str"/>
    </x:row>
    <x:row r="351" ht="68" customHeight="1">
      <x:c r="A351" s="8" t="str">
        <x:v>WA-0365</x:v>
      </x:c>
      <x:c r="B351" s="8" t="str">
        <x:v>Sparks of AGI</x:v>
      </x:c>
      <x:c r="C351" s="8" t="str">
        <x:v>Sparks of Artificial General Intelligence: Early experiments with GPT-4</x:v>
      </x:c>
      <x:c r="D351" s="9" t="n">
        <x:v>2023</x:v>
      </x:c>
      <x:c r="E351" s="8" t="str">
        <x:v>Microsoft Research</x:v>
      </x:c>
      <x:c r="F351" s="21" t="str">
        <x:f>VLOOKUP(H351,'Taxonomy'!$A$6:$G$70,3,FALSE)</x:f>
        <x:v>基础：定义、工作条件与核心能力</x:v>
      </x:c>
      <x:c r="G351" s="21" t="str">
        <x:f>VLOOKUP(H351,'Taxonomy'!$A$6:$G$70,5,FALSE)</x:f>
        <x:v>五项核心能力</x:v>
      </x:c>
      <x:c r="H351" s="8" t="str">
        <x:v>2.3.2</x:v>
      </x:c>
      <x:c r="I351" s="21" t="str">
        <x:f>VLOOKUP(H351,'Taxonomy'!$A$6:$G$70,6,FALSE)</x:f>
        <x:v>推理与决策</x:v>
      </x:c>
      <x:c r="J351" s="8" t="str">
        <x:v>证据整合与推理;任务覆盖与泛化边界</x:v>
      </x:c>
      <x:c r="K351" s="8" t="str">
        <x:v>推理与决策</x:v>
      </x:c>
      <x:c r="L351" s="8" t="str"/>
      <x:c r="M351" s="8" t="str"/>
      <x:c r="N351" s="8" t="str">
        <x:v>Background</x:v>
      </x:c>
      <x:c r="O351" s="11" t="str">
        <x:v>https://arxiv.org/abs/2303.12712</x:v>
      </x:c>
      <x:c r="P351" s="8" t="str">
        <x:v>对早期GPT-4在多领域任务中的能力与局限进行探索。</x:v>
      </x:c>
      <x:c r="Q351" s="8" t="str">
        <x:v>用于2.3.2「推理与决策」：对早期GPT-4在多领域任务中的能力与局限进行探索。</x:v>
      </x:c>
      <x:c r="R351" s="8" t="str">
        <x:v>用于概念、训练或工作影响背景；不作为完整工作智能体已具备相应能力的直接证据。</x:v>
      </x:c>
      <x:c r="S351" s="8" t="str">
        <x:v>补充</x:v>
      </x:c>
      <x:c r="T351" s="22" t="str">
        <x:v>未分配</x:v>
      </x:c>
      <x:c r="U351" s="22" t="str"/>
      <x:c r="V351" s="22" t="str"/>
      <x:c r="W351" s="22" t="str"/>
      <x:c r="X351" s="8" t="str">
        <x:v>verified</x:v>
      </x:c>
      <x:c r="Y351" s="11" t="str"/>
      <x:c r="Z351" s="11" t="str"/>
      <x:c r="AA351" s="11" t="str">
        <x:v>https://arxiv.org/pdf/2303.12712</x:v>
      </x:c>
      <x:c r="AB351" s="11" t="str">
        <x:v>https://arxiv.org/abs/2303.12712</x:v>
      </x:c>
      <x:c r="AC351" s="8" t="str">
        <x:v>AIO-036</x:v>
      </x:c>
      <x:c r="AD351" s="8" t="str">
        <x:v>书目页、可得摘要与首页单位核验；未做全文精读。</x:v>
      </x:c>
      <x:c r="AE351" s="8" t="str"/>
      <x:c r="AF351" s="8" t="str">
        <x:v>按本综述2.3.2「推理与决策」的写作用途归类；对早期GPT-4在多领域任务中的能力与局限进行探索。</x:v>
      </x:c>
      <x:c r="AG351" s="8" t="str">
        <x:v>related</x:v>
      </x:c>
      <x:c r="AH351" s="8" t="str">
        <x:v>evidence-reasoning,coverage-work-requirements</x:v>
      </x:c>
      <x:c r="AI351" s="8" t="str"/>
      <x:c r="AJ351" s="8" t="str">
        <x:v>2026-10-16 AI Office survey bibliography</x:v>
      </x:c>
      <x:c r="AK351" s="13" t="d">
        <x:v>2026-10-16T00:00:00.000Z</x:v>
      </x:c>
      <x:c r="AL351" s="8" t="str">
        <x:v>从新增来源发现候选，正式题名、链接及单位以可得一手资料为准。</x:v>
      </x:c>
      <x:c r="AM351" s="8" t="str"/>
    </x:row>
    <x:row r="352" ht="68" customHeight="1">
      <x:c r="A352" s="8" t="str">
        <x:v>WA-0366</x:v>
      </x:c>
      <x:c r="B352" s="8" t="str">
        <x:v>MLLM-as-a-Judge</x:v>
      </x:c>
      <x:c r="C352" s="8" t="str">
        <x:v>MLLM-as-a-Judge: Assessing Multimodal LLM-as-a-Judge with Vision-Language Benchmark</x:v>
      </x:c>
      <x:c r="D352" s="9" t="n">
        <x:v>2024</x:v>
      </x:c>
      <x:c r="E352" s="8" t="str">
        <x:v>Huazhong University of Science and Technology; Zhejiang University of Technology; Lehigh University</x:v>
      </x:c>
      <x:c r="F352" s="21" t="str">
        <x:f>VLOOKUP(H352,'Taxonomy'!$A$6:$G$70,3,FALSE)</x:f>
        <x:v>评估与资源：如何检验工作完成</x:v>
      </x:c>
      <x:c r="G352" s="21" t="str">
        <x:f>VLOOKUP(H352,'Taxonomy'!$A$6:$G$70,5,FALSE)</x:f>
        <x:v>评估方法</x:v>
      </x:c>
      <x:c r="H352" s="8" t="str">
        <x:v>6.2.2</x:v>
      </x:c>
      <x:c r="I352" s="21" t="str">
        <x:f>VLOOKUP(H352,'Taxonomy'!$A$6:$G$70,6,FALSE)</x:f>
        <x:v>评判程序</x:v>
      </x:c>
      <x:c r="J352" s="8" t="str">
        <x:v>标准、量规与裁判;验证证据的有效性</x:v>
      </x:c>
      <x:c r="K352" s="8" t="str">
        <x:v>感知与理解;验证、恢复与重新规划</x:v>
      </x:c>
      <x:c r="L352" s="8" t="str"/>
      <x:c r="M352" s="8" t="str"/>
      <x:c r="N352" s="8" t="str">
        <x:v>Benchmark</x:v>
      </x:c>
      <x:c r="O352" s="11" t="str">
        <x:v>https://arxiv.org/abs/2402.04788</x:v>
      </x:c>
      <x:c r="P352" s="8" t="str">
        <x:v>评估多模态模型作为评分、成对比较与排序裁判的表现。</x:v>
      </x:c>
      <x:c r="Q352" s="8" t="str">
        <x:v>用于6.2.2「评判程序」：评估多模态模型作为评分、成对比较与排序裁判的表现。</x:v>
      </x:c>
      <x:c r="R352" s="8" t="str">
        <x:v>自动评分和量规受任务分布、裁判偏差与校准方式影响，不作为通用成果质量保证。</x:v>
      </x:c>
      <x:c r="S352" s="8" t="str">
        <x:v>补充</x:v>
      </x:c>
      <x:c r="T352" s="22" t="str">
        <x:v>未分配</x:v>
      </x:c>
      <x:c r="U352" s="22" t="str"/>
      <x:c r="V352" s="22" t="str"/>
      <x:c r="W352" s="22" t="str"/>
      <x:c r="X352" s="8" t="str">
        <x:v>verified</x:v>
      </x:c>
      <x:c r="Y352" s="11" t="str"/>
      <x:c r="Z352" s="11" t="str"/>
      <x:c r="AA352" s="11" t="str">
        <x:v>https://arxiv.org/pdf/2402.04788</x:v>
      </x:c>
      <x:c r="AB352" s="11" t="str">
        <x:v>https://arxiv.org/abs/2402.04788</x:v>
      </x:c>
      <x:c r="AC352" s="8" t="str">
        <x:v>AIO-042</x:v>
      </x:c>
      <x:c r="AD352" s="8" t="str">
        <x:v>书目页、可得摘要与首页单位核验；未做全文精读。</x:v>
      </x:c>
      <x:c r="AE352" s="8" t="str"/>
      <x:c r="AF352" s="8" t="str">
        <x:v>按本综述6.2.2「评判程序」的写作用途归类；评估多模态模型作为评分、成对比较与排序裁判的表现。</x:v>
      </x:c>
      <x:c r="AG352" s="8" t="str">
        <x:v>verification</x:v>
      </x:c>
      <x:c r="AH352" s="8" t="str">
        <x:v>rubric-judging,verification-validity</x:v>
      </x:c>
      <x:c r="AI352" s="8" t="str"/>
      <x:c r="AJ352" s="8" t="str">
        <x:v>2026-10-16 AI Office survey bibliography</x:v>
      </x:c>
      <x:c r="AK352" s="13" t="d">
        <x:v>2026-10-16T00:00:00.000Z</x:v>
      </x:c>
      <x:c r="AL352" s="8" t="str">
        <x:v>从新增来源发现候选，正式题名、链接及单位以可得一手资料为准。</x:v>
      </x:c>
      <x:c r="AM352" s="8" t="str"/>
    </x:row>
    <x:row r="353" ht="68" customHeight="1">
      <x:c r="A353" s="8" t="str">
        <x:v>WA-0367</x:v>
      </x:c>
      <x:c r="B353" s="8" t="str">
        <x:v>Codex / HumanEval</x:v>
      </x:c>
      <x:c r="C353" s="8" t="str">
        <x:v>Evaluating Large Language Models Trained on Code</x:v>
      </x:c>
      <x:c r="D353" s="9" t="n">
        <x:v>2021</x:v>
      </x:c>
      <x:c r="E353" s="8" t="str">
        <x:v>OpenAI; Anthropic; Zipline</x:v>
      </x:c>
      <x:c r="F353" s="21" t="str">
        <x:f>VLOOKUP(H353,'Taxonomy'!$A$6:$G$70,3,FALSE)</x:f>
        <x:v>优化：从工作经验到系统能力</x:v>
      </x:c>
      <x:c r="G353" s="21" t="str">
        <x:f>VLOOKUP(H353,'Taxonomy'!$A$6:$G$70,5,FALSE)</x:f>
        <x:v>模型优化</x:v>
      </x:c>
      <x:c r="H353" s="8" t="str">
        <x:v>5.2.1</x:v>
      </x:c>
      <x:c r="I353" s="21" t="str">
        <x:f>VLOOKUP(H353,'Taxonomy'!$A$6:$G$70,6,FALSE)</x:f>
        <x:v>中期训练与监督微调</x:v>
      </x:c>
      <x:c r="J353" s="8" t="str">
        <x:v>模型参数学习;训练奖励与可验证信号</x:v>
      </x:c>
      <x:c r="K353" s="8" t="str">
        <x:v>推理与决策;执行与状态管理</x:v>
      </x:c>
      <x:c r="L353" s="8" t="str">
        <x:v>6.2.1 评估目标与可观察证据</x:v>
      </x:c>
      <x:c r="M353" s="8" t="str">
        <x:v>中期训练与监督微调</x:v>
      </x:c>
      <x:c r="N353" s="8" t="str">
        <x:v>Method;Benchmark</x:v>
      </x:c>
      <x:c r="O353" s="11" t="str">
        <x:v>https://arxiv.org/abs/2107.03374</x:v>
      </x:c>
      <x:c r="P353" s="8" t="str">
        <x:v>介绍代码模型与基于单元测试的HumanEval评测，支持可执行正确性讨论。</x:v>
      </x:c>
      <x:c r="Q353" s="8" t="str">
        <x:v>用于5.2.1「中期训练与监督微调」：介绍代码模型与基于单元测试的HumanEval评测，支持可执行正确性讨论。</x:v>
      </x:c>
      <x:c r="R353" s="8" t="str">
        <x:v>按该评测的任务、接口与验收协议解释；能力标签表示任务需求，不是模型已经具备该能力。</x:v>
      </x:c>
      <x:c r="S353" s="8" t="str">
        <x:v>补充</x:v>
      </x:c>
      <x:c r="T353" s="22" t="str">
        <x:v>未分配</x:v>
      </x:c>
      <x:c r="U353" s="22" t="str"/>
      <x:c r="V353" s="22" t="str"/>
      <x:c r="W353" s="22" t="str"/>
      <x:c r="X353" s="8" t="str">
        <x:v>verified</x:v>
      </x:c>
      <x:c r="Y353" s="11" t="str"/>
      <x:c r="Z353" s="11" t="str"/>
      <x:c r="AA353" s="11" t="str">
        <x:v>https://arxiv.org/pdf/2107.03374</x:v>
      </x:c>
      <x:c r="AB353" s="11" t="str">
        <x:v>https://arxiv.org/abs/2107.03374</x:v>
      </x:c>
      <x:c r="AC353" s="8" t="str">
        <x:v>AIO-043</x:v>
      </x:c>
      <x:c r="AD353" s="8" t="str">
        <x:v>书目页、可得摘要与首页单位核验；未做全文精读。</x:v>
      </x:c>
      <x:c r="AE353" s="8" t="str"/>
      <x:c r="AF353" s="8" t="str">
        <x:v>按本综述5.2.1「中期训练与监督微调」的写作用途归类；介绍代码模型与基于单元测试的HumanEval评测，支持可执行正确性讨论。</x:v>
      </x:c>
      <x:c r="AG353" s="8" t="str">
        <x:v>harness</x:v>
      </x:c>
      <x:c r="AH353" s="8" t="str">
        <x:v>model-training,reward-verification</x:v>
      </x:c>
      <x:c r="AI353" s="8" t="str"/>
      <x:c r="AJ353" s="8" t="str">
        <x:v>2026-10-16 AI Office survey bibliography</x:v>
      </x:c>
      <x:c r="AK353" s="13" t="d">
        <x:v>2026-10-16T00:00:00.000Z</x:v>
      </x:c>
      <x:c r="AL353" s="8" t="str">
        <x:v>从新增来源发现候选，正式题名、链接及单位以可得一手资料为准。</x:v>
      </x:c>
      <x:c r="AM353" s="8" t="str"/>
    </x:row>
    <x:row r="354" ht="68" customHeight="1">
      <x:c r="A354" s="8" t="str">
        <x:v>WA-0368</x:v>
      </x:c>
      <x:c r="B354" s="8" t="str">
        <x:v>AutoRPA</x:v>
      </x:c>
      <x:c r="C354" s="8" t="str">
        <x:v>AutoRPA: Efficient GUI Automation through LLM-Driven Code Synthesis from Interactions</x:v>
      </x:c>
      <x:c r="D354" s="9" t="n">
        <x:v>2026</x:v>
      </x:c>
      <x:c r="E354" s="8" t="str">
        <x:v>Hangzhou Dianzi University</x:v>
      </x:c>
      <x:c r="F354" s="21" t="str">
        <x:f>VLOOKUP(H354,'Taxonomy'!$A$6:$G$70,3,FALSE)</x:f>
        <x:v>优化：从工作经验到系统能力</x:v>
      </x:c>
      <x:c r="G354" s="21" t="str">
        <x:f>VLOOKUP(H354,'Taxonomy'!$A$6:$G$70,5,FALSE)</x:f>
        <x:v>运行框架优化</x:v>
      </x:c>
      <x:c r="H354" s="8" t="str">
        <x:v>5.3.3</x:v>
      </x:c>
      <x:c r="I354" s="21" t="str">
        <x:f>VLOOKUP(H354,'Taxonomy'!$A$6:$G$70,6,FALSE)</x:f>
        <x:v>记忆与技能优化</x:v>
      </x:c>
      <x:c r="J354" s="8" t="str">
        <x:v>经验记忆与技能优化;接口与观测优化;工具、界面与应用执行</x:v>
      </x:c>
      <x:c r="K354" s="8" t="str">
        <x:v>规划与协调;执行与状态管理</x:v>
      </x:c>
      <x:c r="L354" s="8" t="str">
        <x:v>2.3.4 执行与状态管理</x:v>
      </x:c>
      <x:c r="M354" s="8" t="str">
        <x:v>记忆与技能优化;接口与工具优化</x:v>
      </x:c>
      <x:c r="N354" s="8" t="str">
        <x:v>Method</x:v>
      </x:c>
      <x:c r="O354" s="11" t="str">
        <x:v>https://arxiv.org/abs/2605.21082</x:v>
      </x:c>
      <x:c r="P354" s="8" t="str">
        <x:v>从交互轨迹合成可复用RPA代码，减少重复GUI任务中的逐步推理成本。</x:v>
      </x:c>
      <x:c r="Q354" s="8" t="str">
        <x:v>用于5.3.3「记忆与技能优化」：从交互轨迹合成可复用RPA代码，减少重复GUI任务中的逐步推理成本。</x:v>
      </x:c>
      <x:c r="R354" s="8" t="str">
        <x:v>外部记忆或技能改进不自动意味着基础模型权重学习，也不证明持续责任或跨领域泛化。</x:v>
      </x:c>
      <x:c r="S354" s="8" t="str">
        <x:v>补充</x:v>
      </x:c>
      <x:c r="T354" s="22" t="str">
        <x:v>未分配</x:v>
      </x:c>
      <x:c r="U354" s="22" t="str"/>
      <x:c r="V354" s="22" t="str"/>
      <x:c r="W354" s="22" t="str"/>
      <x:c r="X354" s="8" t="str">
        <x:v>verified</x:v>
      </x:c>
      <x:c r="Y354" s="11" t="str"/>
      <x:c r="Z354" s="11" t="str"/>
      <x:c r="AA354" s="11" t="str">
        <x:v>https://arxiv.org/pdf/2605.21082</x:v>
      </x:c>
      <x:c r="AB354" s="11" t="str">
        <x:v>https://arxiv.org/abs/2605.21082</x:v>
      </x:c>
      <x:c r="AC354" s="8" t="str">
        <x:v>AIO-044</x:v>
      </x:c>
      <x:c r="AD354" s="8" t="str">
        <x:v>书目页、可得摘要与首页单位核验；未做全文精读。</x:v>
      </x:c>
      <x:c r="AE354" s="8" t="str"/>
      <x:c r="AF354" s="8" t="str">
        <x:v>按本综述5.3.3「记忆与技能优化」的写作用途归类；从交互轨迹合成可复用RPA代码，减少重复GUI任务中的逐步推理成本。</x:v>
      </x:c>
      <x:c r="AG354" s="8" t="str">
        <x:v>harness</x:v>
      </x:c>
      <x:c r="AH354" s="8" t="str">
        <x:v>memory-skill,tool-interface,tool-execution</x:v>
      </x:c>
      <x:c r="AI354" s="8" t="str"/>
      <x:c r="AJ354" s="8" t="str">
        <x:v>2026-10-16 AI Office survey bibliography</x:v>
      </x:c>
      <x:c r="AK354" s="13" t="d">
        <x:v>2026-10-16T00:00:00.000Z</x:v>
      </x:c>
      <x:c r="AL354" s="8" t="str">
        <x:v>从新增来源发现候选，正式题名、链接及单位以可得一手资料为准。</x:v>
      </x:c>
      <x:c r="AM354" s="8" t="str"/>
    </x:row>
    <x:row r="355" ht="68" customHeight="1">
      <x:c r="A355" s="8" t="str">
        <x:v>WA-0369</x:v>
      </x:c>
      <x:c r="B355" s="8" t="str">
        <x:v>Program of Thoughts</x:v>
      </x:c>
      <x:c r="C355" s="8" t="str">
        <x:v>Program of Thoughts Prompting: Disentangling Computation from Reasoning for Numerical Reasoning Tasks</x:v>
      </x:c>
      <x:c r="D355" s="9" t="n">
        <x:v>2022</x:v>
      </x:c>
      <x:c r="E355" s="8" t="str">
        <x:v>University of Waterloo; Vector Institute; University of California, Santa Barbara; Google Research</x:v>
      </x:c>
      <x:c r="F355" s="21" t="str">
        <x:f>VLOOKUP(H355,'Taxonomy'!$A$6:$G$70,3,FALSE)</x:f>
        <x:v>基础：定义、工作条件与核心能力</x:v>
      </x:c>
      <x:c r="G355" s="21" t="str">
        <x:f>VLOOKUP(H355,'Taxonomy'!$A$6:$G$70,5,FALSE)</x:f>
        <x:v>五项核心能力</x:v>
      </x:c>
      <x:c r="H355" s="8" t="str">
        <x:v>2.3.2</x:v>
      </x:c>
      <x:c r="I355" s="21" t="str">
        <x:f>VLOOKUP(H355,'Taxonomy'!$A$6:$G$70,6,FALSE)</x:f>
        <x:v>推理与决策</x:v>
      </x:c>
      <x:c r="J355" s="8" t="str">
        <x:v>证据整合与推理;工具、界面与应用执行</x:v>
      </x:c>
      <x:c r="K355" s="8" t="str">
        <x:v>推理与决策;执行与状态管理</x:v>
      </x:c>
      <x:c r="L355" s="8" t="str"/>
      <x:c r="M355" s="8" t="str">
        <x:v>提示与工作流优化</x:v>
      </x:c>
      <x:c r="N355" s="8" t="str">
        <x:v>Method</x:v>
      </x:c>
      <x:c r="O355" s="11" t="str">
        <x:v>https://arxiv.org/abs/2211.12588</x:v>
      </x:c>
      <x:c r="P355" s="8" t="str">
        <x:v>由语言模型生成程序，把数值计算交给解释器执行。</x:v>
      </x:c>
      <x:c r="Q355" s="8" t="str">
        <x:v>用于2.3.2「推理与决策」：由语言模型生成程序，把数值计算交给解释器执行。</x:v>
      </x:c>
      <x:c r="R355" s="8" t="str">
        <x:v>支持论文所研究的规划、执行或反馈机制；跨环境可靠性仍需按原文实验设置判断。</x:v>
      </x:c>
      <x:c r="S355" s="8" t="str">
        <x:v>补充</x:v>
      </x:c>
      <x:c r="T355" s="22" t="str">
        <x:v>未分配</x:v>
      </x:c>
      <x:c r="U355" s="22" t="str"/>
      <x:c r="V355" s="22" t="str"/>
      <x:c r="W355" s="22" t="str"/>
      <x:c r="X355" s="8" t="str">
        <x:v>verified</x:v>
      </x:c>
      <x:c r="Y355" s="11" t="str"/>
      <x:c r="Z355" s="11" t="str"/>
      <x:c r="AA355" s="11" t="str">
        <x:v>https://arxiv.org/pdf/2211.12588</x:v>
      </x:c>
      <x:c r="AB355" s="11" t="str">
        <x:v>https://arxiv.org/abs/2211.12588</x:v>
      </x:c>
      <x:c r="AC355" s="8" t="str">
        <x:v>AIO-045</x:v>
      </x:c>
      <x:c r="AD355" s="8" t="str">
        <x:v>书目页、可得摘要与首页单位核验；未做全文精读。</x:v>
      </x:c>
      <x:c r="AE355" s="8" t="str"/>
      <x:c r="AF355" s="8" t="str">
        <x:v>按本综述2.3.2「推理与决策」的写作用途归类；由语言模型生成程序，把数值计算交给解释器执行。</x:v>
      </x:c>
      <x:c r="AG355" s="8" t="str">
        <x:v>tool-enterprise</x:v>
      </x:c>
      <x:c r="AH355" s="8" t="str">
        <x:v>evidence-reasoning,tool-execution</x:v>
      </x:c>
      <x:c r="AI355" s="8" t="str"/>
      <x:c r="AJ355" s="8" t="str">
        <x:v>2026-10-16 AI Office survey bibliography</x:v>
      </x:c>
      <x:c r="AK355" s="13" t="d">
        <x:v>2026-10-16T00:00:00.000Z</x:v>
      </x:c>
      <x:c r="AL355" s="8" t="str">
        <x:v>从新增来源发现候选，正式题名、链接及单位以可得一手资料为准。</x:v>
      </x:c>
      <x:c r="AM355" s="8" t="str"/>
    </x:row>
    <x:row r="356" ht="68" customHeight="1">
      <x:c r="A356" s="8" t="str">
        <x:v>WA-0370</x:v>
      </x:c>
      <x:c r="B356" s="8" t="str">
        <x:v>SpreadsheetCoder</x:v>
      </x:c>
      <x:c r="C356" s="8" t="str">
        <x:v>SpreadsheetCoder: Formula Prediction from Semi-structured Context</x:v>
      </x:c>
      <x:c r="D356" s="9" t="n">
        <x:v>2021</x:v>
      </x:c>
      <x:c r="E356" s="8" t="str">
        <x:v>University of California, Berkeley; Google</x:v>
      </x:c>
      <x:c r="F356" s="21" t="str">
        <x:f>VLOOKUP(H356,'Taxonomy'!$A$6:$G$70,3,FALSE)</x:f>
        <x:v>基础：定义、工作条件与核心能力</x:v>
      </x:c>
      <x:c r="G356" s="21" t="str">
        <x:f>VLOOKUP(H356,'Taxonomy'!$A$6:$G$70,5,FALSE)</x:f>
        <x:v>五项核心能力</x:v>
      </x:c>
      <x:c r="H356" s="8" t="str">
        <x:v>2.3.1</x:v>
      </x:c>
      <x:c r="I356" s="21" t="str">
        <x:f>VLOOKUP(H356,'Taxonomy'!$A$6:$G$70,6,FALSE)</x:f>
        <x:v>感知与理解</x:v>
      </x:c>
      <x:c r="J356" s="8" t="str">
        <x:v>对象结构、模态与语义;原生工件生成与编辑</x:v>
      </x:c>
      <x:c r="K356" s="8" t="str">
        <x:v>感知与理解;执行与状态管理</x:v>
      </x:c>
      <x:c r="L356" s="8" t="str">
        <x:v>3.2 原子动作级工作</x:v>
      </x:c>
      <x:c r="M356" s="8" t="str"/>
      <x:c r="N356" s="8" t="str">
        <x:v>Method</x:v>
      </x:c>
      <x:c r="O356" s="11" t="str">
        <x:v>https://proceedings.mlr.press/v139/chen21m.html</x:v>
      </x:c>
      <x:c r="P356" s="8" t="str">
        <x:v>利用半结构化单元格上下文进行电子表格公式预测。</x:v>
      </x:c>
      <x:c r="Q356" s="8" t="str">
        <x:v>用于2.3.1「感知与理解」：利用半结构化单元格上下文进行电子表格公式预测。</x:v>
      </x:c>
      <x:c r="R356" s="8" t="str">
        <x:v>限于论文评估的成果类型与编辑操作；不能据单类工件结果推断完整业务工作流可靠性。</x:v>
      </x:c>
      <x:c r="S356" s="8" t="str">
        <x:v>补充</x:v>
      </x:c>
      <x:c r="T356" s="22" t="str">
        <x:v>未分配</x:v>
      </x:c>
      <x:c r="U356" s="22" t="str"/>
      <x:c r="V356" s="22" t="str"/>
      <x:c r="W356" s="22" t="str"/>
      <x:c r="X356" s="8" t="str">
        <x:v>verified</x:v>
      </x:c>
      <x:c r="Y356" s="11" t="str"/>
      <x:c r="Z356" s="11" t="str"/>
      <x:c r="AA356" s="11" t="str">
        <x:v>https://proceedings.mlr.press/v139/chen21m/chen21m.pdf</x:v>
      </x:c>
      <x:c r="AB356" s="11" t="str">
        <x:v>https://proceedings.mlr.press/v139/chen21m.html</x:v>
      </x:c>
      <x:c r="AC356" s="8" t="str">
        <x:v>AIO-046</x:v>
      </x:c>
      <x:c r="AD356" s="8" t="str">
        <x:v>书目页、可得摘要与首页单位核验；未做全文精读。</x:v>
      </x:c>
      <x:c r="AE356" s="8" t="str"/>
      <x:c r="AF356" s="8" t="str">
        <x:v>按本综述2.3.1「感知与理解」的写作用途归类；利用半结构化单元格上下文进行电子表格公式预测。</x:v>
      </x:c>
      <x:c r="AG356" s="8" t="str">
        <x:v>artifact</x:v>
      </x:c>
      <x:c r="AH356" s="8" t="str">
        <x:v>object-semantics,artifact-editing</x:v>
      </x:c>
      <x:c r="AI356" s="8" t="str"/>
      <x:c r="AJ356" s="8" t="str">
        <x:v>2026-10-16 AI Office survey bibliography</x:v>
      </x:c>
      <x:c r="AK356" s="13" t="d">
        <x:v>2026-10-16T00:00:00.000Z</x:v>
      </x:c>
      <x:c r="AL356" s="8" t="str">
        <x:v>从新增来源发现候选，正式题名、链接及单位以可得一手资料为准。</x:v>
      </x:c>
      <x:c r="AM356" s="8" t="str"/>
    </x:row>
    <x:row r="357" ht="68" customHeight="1">
      <x:c r="A357" s="8" t="str">
        <x:v>WA-0371</x:v>
      </x:c>
      <x:c r="B357" s="8" t="str">
        <x:v>BINDER</x:v>
      </x:c>
      <x:c r="C357" s="8" t="str">
        <x:v>Binding Language Models in Symbolic Languages</x:v>
      </x:c>
      <x:c r="D357" s="9" t="n">
        <x:v>2022</x:v>
      </x:c>
      <x:c r="E357" s="8" t="str">
        <x:v>The University of Hong Kong; Shanghai Jiao Tong University; University of Washington; Allen Institute for AI; University of Waterloo; Salesforce Research; Yale University; Meta AI</x:v>
      </x:c>
      <x:c r="F357" s="21" t="str">
        <x:f>VLOOKUP(H357,'Taxonomy'!$A$6:$G$70,3,FALSE)</x:f>
        <x:v>基础：定义、工作条件与核心能力</x:v>
      </x:c>
      <x:c r="G357" s="21" t="str">
        <x:f>VLOOKUP(H357,'Taxonomy'!$A$6:$G$70,5,FALSE)</x:f>
        <x:v>五项核心能力</x:v>
      </x:c>
      <x:c r="H357" s="8" t="str">
        <x:v>2.3.2</x:v>
      </x:c>
      <x:c r="I357" s="21" t="str">
        <x:f>VLOOKUP(H357,'Taxonomy'!$A$6:$G$70,6,FALSE)</x:f>
        <x:v>推理与决策</x:v>
      </x:c>
      <x:c r="J357" s="8" t="str">
        <x:v>证据整合与推理;接口与观测优化</x:v>
      </x:c>
      <x:c r="K357" s="8" t="str">
        <x:v>推理与决策;执行与状态管理</x:v>
      </x:c>
      <x:c r="L357" s="8" t="str"/>
      <x:c r="M357" s="8" t="str">
        <x:v>接口与工具优化</x:v>
      </x:c>
      <x:c r="N357" s="8" t="str">
        <x:v>Method</x:v>
      </x:c>
      <x:c r="O357" s="11" t="str">
        <x:v>https://arxiv.org/abs/2210.02875</x:v>
      </x:c>
      <x:c r="P357" s="8" t="str">
        <x:v>把语言模型调用嵌入符号语言，结合解析与执行进行结构化推理。</x:v>
      </x:c>
      <x:c r="Q357" s="8" t="str">
        <x:v>用于2.3.2「推理与决策」：把语言模型调用嵌入符号语言，结合解析与执行进行结构化推理。</x:v>
      </x:c>
      <x:c r="R357" s="8" t="str">
        <x:v>支持论文所研究的规划、执行或反馈机制；跨环境可靠性仍需按原文实验设置判断。</x:v>
      </x:c>
      <x:c r="S357" s="8" t="str">
        <x:v>补充</x:v>
      </x:c>
      <x:c r="T357" s="22" t="str">
        <x:v>未分配</x:v>
      </x:c>
      <x:c r="U357" s="22" t="str"/>
      <x:c r="V357" s="22" t="str"/>
      <x:c r="W357" s="22" t="str"/>
      <x:c r="X357" s="8" t="str">
        <x:v>verified</x:v>
      </x:c>
      <x:c r="Y357" s="11" t="str"/>
      <x:c r="Z357" s="11" t="str"/>
      <x:c r="AA357" s="11" t="str">
        <x:v>https://arxiv.org/pdf/2210.02875</x:v>
      </x:c>
      <x:c r="AB357" s="11" t="str">
        <x:v>https://arxiv.org/abs/2210.02875</x:v>
      </x:c>
      <x:c r="AC357" s="8" t="str">
        <x:v>AIO-049</x:v>
      </x:c>
      <x:c r="AD357" s="8" t="str">
        <x:v>书目页、可得摘要与首页单位核验；未做全文精读。</x:v>
      </x:c>
      <x:c r="AE357" s="8" t="str"/>
      <x:c r="AF357" s="8" t="str">
        <x:v>按本综述2.3.2「推理与决策」的写作用途归类；把语言模型调用嵌入符号语言，结合解析与执行进行结构化推理。</x:v>
      </x:c>
      <x:c r="AG357" s="8" t="str">
        <x:v>tool-enterprise</x:v>
      </x:c>
      <x:c r="AH357" s="8" t="str">
        <x:v>evidence-reasoning,tool-interface</x:v>
      </x:c>
      <x:c r="AI357" s="8" t="str"/>
      <x:c r="AJ357" s="8" t="str">
        <x:v>2026-10-16 AI Office survey bibliography</x:v>
      </x:c>
      <x:c r="AK357" s="13" t="d">
        <x:v>2026-10-16T00:00:00.000Z</x:v>
      </x:c>
      <x:c r="AL357" s="8" t="str">
        <x:v>从新增来源发现候选，正式题名、链接及单位以可得一手资料为准。</x:v>
      </x:c>
      <x:c r="AM357" s="8" t="str"/>
    </x:row>
    <x:row r="358" ht="68" customHeight="1">
      <x:c r="A358" s="8" t="str">
        <x:v>WA-0372</x:v>
      </x:c>
      <x:c r="B358" s="8" t="str">
        <x:v>RL from Human Preferences</x:v>
      </x:c>
      <x:c r="C358" s="8" t="str">
        <x:v>Deep reinforcement learning from human preferences</x:v>
      </x:c>
      <x:c r="D358" s="9" t="n">
        <x:v>2017</x:v>
      </x:c>
      <x:c r="E358" s="8" t="str">
        <x:v>OpenAI; DeepMind</x:v>
      </x:c>
      <x:c r="F358" s="21" t="str">
        <x:f>VLOOKUP(H358,'Taxonomy'!$A$6:$G$70,3,FALSE)</x:f>
        <x:v>优化：从工作经验到系统能力</x:v>
      </x:c>
      <x:c r="G358" s="21" t="str">
        <x:f>VLOOKUP(H358,'Taxonomy'!$A$6:$G$70,5,FALSE)</x:f>
        <x:v>训练环境、数据与奖励</x:v>
      </x:c>
      <x:c r="H358" s="8" t="str">
        <x:v>5.1.3</x:v>
      </x:c>
      <x:c r="I358" s="21" t="str">
        <x:f>VLOOKUP(H358,'Taxonomy'!$A$6:$G$70,6,FALSE)</x:f>
        <x:v>奖励与验证信号</x:v>
      </x:c>
      <x:c r="J358" s="8" t="str">
        <x:v>训练奖励与可验证信号;模型参数学习</x:v>
      </x:c>
      <x:c r="K358" s="8" t="str"/>
      <x:c r="L358" s="8" t="str"/>
      <x:c r="M358" s="8" t="str">
        <x:v>奖励与验证信号;智能体强化学习</x:v>
      </x:c>
      <x:c r="N358" s="8" t="str">
        <x:v>Background</x:v>
      </x:c>
      <x:c r="O358" s="11" t="str">
        <x:v>https://arxiv.org/abs/1706.03741</x:v>
      </x:c>
      <x:c r="P358" s="8" t="str">
        <x:v>学习人类偏好奖励并据此优化策略，为反馈驱动训练提供基础方法。</x:v>
      </x:c>
      <x:c r="Q358" s="8" t="str">
        <x:v>用于5.1.3「奖励与验证信号」：学习人类偏好奖励并据此优化策略，为反馈驱动训练提供基础方法。</x:v>
      </x:c>
      <x:c r="R358" s="8" t="str">
        <x:v>用于概念、训练或工作影响背景；不作为完整工作智能体已具备相应能力的直接证据。</x:v>
      </x:c>
      <x:c r="S358" s="8" t="str">
        <x:v>补充</x:v>
      </x:c>
      <x:c r="T358" s="22" t="str">
        <x:v>未分配</x:v>
      </x:c>
      <x:c r="U358" s="22" t="str"/>
      <x:c r="V358" s="22" t="str"/>
      <x:c r="W358" s="22" t="str"/>
      <x:c r="X358" s="8" t="str">
        <x:v>verified</x:v>
      </x:c>
      <x:c r="Y358" s="11" t="str"/>
      <x:c r="Z358" s="11" t="str"/>
      <x:c r="AA358" s="11" t="str">
        <x:v>https://arxiv.org/pdf/1706.03741</x:v>
      </x:c>
      <x:c r="AB358" s="11" t="str">
        <x:v>https://arxiv.org/abs/1706.03741</x:v>
      </x:c>
      <x:c r="AC358" s="8" t="str">
        <x:v>AIO-051</x:v>
      </x:c>
      <x:c r="AD358" s="8" t="str">
        <x:v>书目页、可得摘要与首页单位核验；未做全文精读。</x:v>
      </x:c>
      <x:c r="AE358" s="8" t="str"/>
      <x:c r="AF358" s="8" t="str">
        <x:v>按本综述5.1.3「奖励与验证信号」的写作用途归类；学习人类偏好奖励并据此优化策略，为反馈驱动训练提供基础方法。</x:v>
      </x:c>
      <x:c r="AG358" s="8" t="str">
        <x:v>related</x:v>
      </x:c>
      <x:c r="AH358" s="8" t="str">
        <x:v>reward-verification,model-training</x:v>
      </x:c>
      <x:c r="AI358" s="8" t="str"/>
      <x:c r="AJ358" s="8" t="str">
        <x:v>2026-10-16 AI Office survey bibliography</x:v>
      </x:c>
      <x:c r="AK358" s="13" t="d">
        <x:v>2026-10-16T00:00:00.000Z</x:v>
      </x:c>
      <x:c r="AL358" s="8" t="str">
        <x:v>从新增来源发现候选，正式题名、链接及单位以可得一手资料为准。</x:v>
      </x:c>
      <x:c r="AM358" s="8" t="str"/>
    </x:row>
    <x:row r="359" ht="68" customHeight="1">
      <x:c r="A359" s="8" t="str">
        <x:v>WA-0373</x:v>
      </x:c>
      <x:c r="B359" s="8" t="str">
        <x:v>DeepSeek-R1</x:v>
      </x:c>
      <x:c r="C359" s="8" t="str">
        <x:v>DeepSeek-R1: Incentivizing Reasoning Capability in LLMs via Reinforcement Learning</x:v>
      </x:c>
      <x:c r="D359" s="9" t="n">
        <x:v>2025</x:v>
      </x:c>
      <x:c r="E359" s="8" t="str">
        <x:v>DeepSeek-AI</x:v>
      </x:c>
      <x:c r="F359" s="21" t="str">
        <x:f>VLOOKUP(H359,'Taxonomy'!$A$6:$G$70,3,FALSE)</x:f>
        <x:v>优化：从工作经验到系统能力</x:v>
      </x:c>
      <x:c r="G359" s="21" t="str">
        <x:f>VLOOKUP(H359,'Taxonomy'!$A$6:$G$70,5,FALSE)</x:f>
        <x:v>模型优化</x:v>
      </x:c>
      <x:c r="H359" s="8" t="str">
        <x:v>5.2.2</x:v>
      </x:c>
      <x:c r="I359" s="21" t="str">
        <x:f>VLOOKUP(H359,'Taxonomy'!$A$6:$G$70,6,FALSE)</x:f>
        <x:v>智能体强化学习</x:v>
      </x:c>
      <x:c r="J359" s="8" t="str">
        <x:v>模型参数学习;训练奖励与可验证信号</x:v>
      </x:c>
      <x:c r="K359" s="8" t="str">
        <x:v>推理与决策</x:v>
      </x:c>
      <x:c r="L359" s="8" t="str">
        <x:v>5.2.3 同策略蒸馏</x:v>
      </x:c>
      <x:c r="M359" s="8" t="str">
        <x:v>智能体强化学习</x:v>
      </x:c>
      <x:c r="N359" s="8" t="str">
        <x:v>Background</x:v>
      </x:c>
      <x:c r="O359" s="11" t="str">
        <x:v>https://arxiv.org/abs/2501.12948</x:v>
      </x:c>
      <x:c r="P359" s="8" t="str">
        <x:v>研究强化学习、冷启动数据与蒸馏对推理模型的作用。</x:v>
      </x:c>
      <x:c r="Q359" s="8" t="str">
        <x:v>用于5.2.2「智能体强化学习」：研究强化学习、冷启动数据与蒸馏对推理模型的作用。</x:v>
      </x:c>
      <x:c r="R359" s="8" t="str">
        <x:v>用于概念、训练或工作影响背景；不作为完整工作智能体已具备相应能力的直接证据。</x:v>
      </x:c>
      <x:c r="S359" s="8" t="str">
        <x:v>补充</x:v>
      </x:c>
      <x:c r="T359" s="22" t="str">
        <x:v>未分配</x:v>
      </x:c>
      <x:c r="U359" s="22" t="str"/>
      <x:c r="V359" s="22" t="str"/>
      <x:c r="W359" s="22" t="str"/>
      <x:c r="X359" s="8" t="str">
        <x:v>verified</x:v>
      </x:c>
      <x:c r="Y359" s="11" t="str"/>
      <x:c r="Z359" s="11" t="str"/>
      <x:c r="AA359" s="11" t="str">
        <x:v>https://arxiv.org/pdf/2501.12948</x:v>
      </x:c>
      <x:c r="AB359" s="11" t="str">
        <x:v>https://arxiv.org/abs/2501.12948</x:v>
      </x:c>
      <x:c r="AC359" s="8" t="str">
        <x:v>AIO-057</x:v>
      </x:c>
      <x:c r="AD359" s="8" t="str">
        <x:v>书目页、可得摘要与首页单位核验；未做全文精读。</x:v>
      </x:c>
      <x:c r="AE359" s="8" t="str"/>
      <x:c r="AF359" s="8" t="str">
        <x:v>按本综述5.2.2「智能体强化学习」的写作用途归类；研究强化学习、冷启动数据与蒸馏对推理模型的作用。</x:v>
      </x:c>
      <x:c r="AG359" s="8" t="str">
        <x:v>related</x:v>
      </x:c>
      <x:c r="AH359" s="8" t="str">
        <x:v>model-training,reward-verification</x:v>
      </x:c>
      <x:c r="AI359" s="8" t="str"/>
      <x:c r="AJ359" s="8" t="str">
        <x:v>2026-10-16 AI Office survey bibliography</x:v>
      </x:c>
      <x:c r="AK359" s="13" t="d">
        <x:v>2026-10-16T00:00:00.000Z</x:v>
      </x:c>
      <x:c r="AL359" s="8" t="str">
        <x:v>从新增来源发现候选，正式题名、链接及单位以可得一手资料为准。</x:v>
      </x:c>
      <x:c r="AM359" s="8" t="str"/>
    </x:row>
    <x:row r="360" ht="68" customHeight="1">
      <x:c r="A360" s="8" t="str">
        <x:v>WA-0374</x:v>
      </x:c>
      <x:c r="B360" s="8" t="str">
        <x:v>Visually Rich Document Understanding Survey</x:v>
      </x:c>
      <x:c r="C360" s="8" t="str">
        <x:v>A Survey on MLLM-based Visually Rich Document Understanding: Methods, Challenges, and Emerging Trends</x:v>
      </x:c>
      <x:c r="D360" s="9" t="n">
        <x:v>2025</x:v>
      </x:c>
      <x:c r="E360" s="8" t="str">
        <x:v>The University of Western Australia; The University of Melbourne; Weill Cornell Medicine</x:v>
      </x:c>
      <x:c r="F360" s="21" t="str">
        <x:f>VLOOKUP(H360,'Taxonomy'!$A$6:$G$70,3,FALSE)</x:f>
        <x:v>基础：定义、工作条件与核心能力</x:v>
      </x:c>
      <x:c r="G360" s="21" t="str">
        <x:f>VLOOKUP(H360,'Taxonomy'!$A$6:$G$70,5,FALSE)</x:f>
        <x:v>五项核心能力</x:v>
      </x:c>
      <x:c r="H360" s="8" t="str">
        <x:v>2.3.1</x:v>
      </x:c>
      <x:c r="I360" s="21" t="str">
        <x:f>VLOOKUP(H360,'Taxonomy'!$A$6:$G$70,6,FALSE)</x:f>
        <x:v>感知与理解</x:v>
      </x:c>
      <x:c r="J360" s="8" t="str">
        <x:v>对象结构、模态与语义;范式与自主性边界</x:v>
      </x:c>
      <x:c r="K360" s="8" t="str">
        <x:v>感知与理解</x:v>
      </x:c>
      <x:c r="L360" s="8" t="str"/>
      <x:c r="M360" s="8" t="str"/>
      <x:c r="N360" s="8" t="str">
        <x:v>Survey</x:v>
      </x:c>
      <x:c r="O360" s="11" t="str">
        <x:v>https://arxiv.org/abs/2507.09861</x:v>
      </x:c>
      <x:c r="P360" s="8" t="str">
        <x:v>整理多模态大模型对视觉丰富文档的表示、理解任务与研究挑战。</x:v>
      </x:c>
      <x:c r="Q360" s="8" t="str">
        <x:v>用于2.3.1「感知与理解」：整理多模态大模型对视觉丰富文档的表示、理解任务与研究挑战。</x:v>
      </x:c>
      <x:c r="R360" s="8" t="str">
        <x:v>理解、问答或表示能力是工作智能体的组成部分，不等同于可编辑文件生成、跨文件一致性或端到端验收。</x:v>
      </x:c>
      <x:c r="S360" s="8" t="str">
        <x:v>补充</x:v>
      </x:c>
      <x:c r="T360" s="22" t="str">
        <x:v>未分配</x:v>
      </x:c>
      <x:c r="U360" s="22" t="str"/>
      <x:c r="V360" s="22" t="str"/>
      <x:c r="W360" s="22" t="str"/>
      <x:c r="X360" s="8" t="str">
        <x:v>verified</x:v>
      </x:c>
      <x:c r="Y360" s="11" t="str"/>
      <x:c r="Z360" s="11" t="str"/>
      <x:c r="AA360" s="11" t="str">
        <x:v>https://arxiv.org/pdf/2507.09861</x:v>
      </x:c>
      <x:c r="AB360" s="11" t="str">
        <x:v>https://arxiv.org/abs/2507.09861</x:v>
      </x:c>
      <x:c r="AC360" s="8" t="str">
        <x:v>AIO-060</x:v>
      </x:c>
      <x:c r="AD360" s="8" t="str">
        <x:v>书目页、可得摘要与首页单位核验；未做全文精读。</x:v>
      </x:c>
      <x:c r="AE360" s="8" t="str"/>
      <x:c r="AF360" s="8" t="str">
        <x:v>按本综述2.3.1「感知与理解」的写作用途归类；整理多模态大模型对视觉丰富文档的表示、理解任务与研究挑战。</x:v>
      </x:c>
      <x:c r="AG360" s="8" t="str">
        <x:v>related</x:v>
      </x:c>
      <x:c r="AH360" s="8" t="str">
        <x:v>object-semantics,paradigm-comparison</x:v>
      </x:c>
      <x:c r="AI360" s="8" t="str"/>
      <x:c r="AJ360" s="8" t="str">
        <x:v>2026-10-16 AI Office survey bibliography</x:v>
      </x:c>
      <x:c r="AK360" s="13" t="d">
        <x:v>2026-10-16T00:00:00.000Z</x:v>
      </x:c>
      <x:c r="AL360" s="8" t="str">
        <x:v>从新增来源发现候选，正式题名、链接及单位以可得一手资料为准。</x:v>
      </x:c>
      <x:c r="AM360" s="8" t="str"/>
    </x:row>
    <x:row r="361" ht="68" customHeight="1">
      <x:c r="A361" s="8" t="str">
        <x:v>WA-0375</x:v>
      </x:c>
      <x:c r="B361" s="8" t="str">
        <x:v>SpreadsheetLLM</x:v>
      </x:c>
      <x:c r="C361" s="8" t="str">
        <x:v>Encoding Spreadsheets for Large Language Models</x:v>
      </x:c>
      <x:c r="D361" s="9" t="n">
        <x:v>2024</x:v>
      </x:c>
      <x:c r="E361" s="8" t="str">
        <x:v>Microsoft</x:v>
      </x:c>
      <x:c r="F361" s="21" t="str">
        <x:f>VLOOKUP(H361,'Taxonomy'!$A$6:$G$70,3,FALSE)</x:f>
        <x:v>基础：定义、工作条件与核心能力</x:v>
      </x:c>
      <x:c r="G361" s="21" t="str">
        <x:f>VLOOKUP(H361,'Taxonomy'!$A$6:$G$70,5,FALSE)</x:f>
        <x:v>五项核心能力</x:v>
      </x:c>
      <x:c r="H361" s="8" t="str">
        <x:v>2.3.1</x:v>
      </x:c>
      <x:c r="I361" s="21" t="str">
        <x:f>VLOOKUP(H361,'Taxonomy'!$A$6:$G$70,6,FALSE)</x:f>
        <x:v>感知与理解</x:v>
      </x:c>
      <x:c r="J361" s="8" t="str">
        <x:v>对象结构、模态与语义;接口与观测优化</x:v>
      </x:c>
      <x:c r="K361" s="8" t="str">
        <x:v>感知与理解</x:v>
      </x:c>
      <x:c r="L361" s="8" t="str">
        <x:v>5.3.1 接口与工具优化</x:v>
      </x:c>
      <x:c r="M361" s="8" t="str">
        <x:v>接口与工具优化</x:v>
      </x:c>
      <x:c r="N361" s="8" t="str">
        <x:v>Method</x:v>
      </x:c>
      <x:c r="O361" s="11" t="str">
        <x:v>https://aclanthology.org/2024.emnlp-main.1154/</x:v>
      </x:c>
      <x:c r="P361" s="8" t="str">
        <x:v>以表格结构识别、压缩和编码改善语言模型对电子表格的理解。</x:v>
      </x:c>
      <x:c r="Q361" s="8" t="str">
        <x:v>用于2.3.1「感知与理解」：以表格结构识别、压缩和编码改善语言模型对电子表格的理解。</x:v>
      </x:c>
      <x:c r="R361" s="8" t="str">
        <x:v>理解、问答或表示能力是工作智能体的组成部分，不等同于可编辑文件生成、跨文件一致性或端到端验收。</x:v>
      </x:c>
      <x:c r="S361" s="8" t="str">
        <x:v>补充</x:v>
      </x:c>
      <x:c r="T361" s="22" t="str">
        <x:v>未分配</x:v>
      </x:c>
      <x:c r="U361" s="22" t="str"/>
      <x:c r="V361" s="22" t="str"/>
      <x:c r="W361" s="22" t="str"/>
      <x:c r="X361" s="8" t="str">
        <x:v>verified</x:v>
      </x:c>
      <x:c r="Y361" s="11" t="str"/>
      <x:c r="Z361" s="11" t="str"/>
      <x:c r="AA361" s="11" t="str">
        <x:v>https://aclanthology.org/2024.emnlp-main.1154.pdf</x:v>
      </x:c>
      <x:c r="AB361" s="11" t="str">
        <x:v>https://aclanthology.org/2024.emnlp-main.1154/</x:v>
      </x:c>
      <x:c r="AC361" s="8" t="str">
        <x:v>AIO-061</x:v>
      </x:c>
      <x:c r="AD361" s="8" t="str">
        <x:v>书目页、可得摘要与首页单位核验；未做全文精读。</x:v>
      </x:c>
      <x:c r="AE361" s="8" t="str"/>
      <x:c r="AF361" s="8" t="str">
        <x:v>按本综述2.3.1「感知与理解」的写作用途归类；以表格结构识别、压缩和编码改善语言模型对电子表格的理解。</x:v>
      </x:c>
      <x:c r="AG361" s="8" t="str">
        <x:v>tool-enterprise</x:v>
      </x:c>
      <x:c r="AH361" s="8" t="str">
        <x:v>object-semantics,tool-interface</x:v>
      </x:c>
      <x:c r="AI361" s="8" t="str"/>
      <x:c r="AJ361" s="8" t="str">
        <x:v>2026-10-16 AI Office survey bibliography</x:v>
      </x:c>
      <x:c r="AK361" s="13" t="d">
        <x:v>2026-10-16T00:00:00.000Z</x:v>
      </x:c>
      <x:c r="AL361" s="8" t="str">
        <x:v>从新增来源发现候选，正式题名、链接及单位以可得一手资料为准。</x:v>
      </x:c>
      <x:c r="AM361" s="8" t="str"/>
    </x:row>
    <x:row r="362" ht="68" customHeight="1">
      <x:c r="A362" s="8" t="str">
        <x:v>WA-0376</x:v>
      </x:c>
      <x:c r="B362" s="8" t="str">
        <x:v>GPTs are GPTs</x:v>
      </x:c>
      <x:c r="C362" s="8" t="str">
        <x:v>GPTs are GPTs: An Early Look at the Labor Market Impact Potential of Large Language Models</x:v>
      </x:c>
      <x:c r="D362" s="9" t="n">
        <x:v>2023</x:v>
      </x:c>
      <x:c r="E362" s="8" t="str">
        <x:v>OpenAI; OpenResearch; University of Pennsylvania</x:v>
      </x:c>
      <x:c r="F362" s="21" t="str">
        <x:f>VLOOKUP(H362,'Taxonomy'!$A$6:$G$70,3,FALSE)</x:f>
        <x:v>前沿：下一代 Working Agents</x:v>
      </x:c>
      <x:c r="G362" s="21" t="str">
        <x:f>VLOOKUP(H362,'Taxonomy'!$A$6:$G$70,5,FALSE)</x:f>
        <x:v>以工作为中心的系统</x:v>
      </x:c>
      <x:c r="H362" s="8" t="str">
        <x:v>7.4.3</x:v>
      </x:c>
      <x:c r="I362" s="21" t="str">
        <x:f>VLOOKUP(H362,'Taxonomy'!$A$6:$G$70,6,FALSE)</x:f>
        <x:v>组织集成与经济价值</x:v>
      </x:c>
      <x:c r="J362" s="8" t="str">
        <x:v>组织协作与真实生产率;任务覆盖与泛化边界</x:v>
      </x:c>
      <x:c r="K362" s="8" t="str"/>
      <x:c r="L362" s="8" t="str"/>
      <x:c r="M362" s="8" t="str"/>
      <x:c r="N362" s="8" t="str">
        <x:v>Background</x:v>
      </x:c>
      <x:c r="O362" s="11" t="str">
        <x:v>https://arxiv.org/abs/2303.10130</x:v>
      </x:c>
      <x:c r="P362" s="8" t="str">
        <x:v>基于职业任务与暴露评分分析语言模型可能影响的劳动任务。</x:v>
      </x:c>
      <x:c r="Q362" s="8" t="str">
        <x:v>用于7.4.3「组织集成与经济价值」：基于职业任务与暴露评分分析语言模型可能影响的劳动任务。</x:v>
      </x:c>
      <x:c r="R362" s="8" t="str">
        <x:v>职业任务暴露估计，不是已实现的自动化率、就业替代率或生产率提升。</x:v>
      </x:c>
      <x:c r="S362" s="8" t="str">
        <x:v>补充</x:v>
      </x:c>
      <x:c r="T362" s="22" t="str">
        <x:v>未分配</x:v>
      </x:c>
      <x:c r="U362" s="22" t="str"/>
      <x:c r="V362" s="22" t="str"/>
      <x:c r="W362" s="22" t="str"/>
      <x:c r="X362" s="8" t="str">
        <x:v>verified</x:v>
      </x:c>
      <x:c r="Y362" s="11" t="str"/>
      <x:c r="Z362" s="11" t="str"/>
      <x:c r="AA362" s="11" t="str">
        <x:v>https://arxiv.org/pdf/2303.10130</x:v>
      </x:c>
      <x:c r="AB362" s="11" t="str">
        <x:v>https://arxiv.org/abs/2303.10130</x:v>
      </x:c>
      <x:c r="AC362" s="8" t="str">
        <x:v>AIO-065</x:v>
      </x:c>
      <x:c r="AD362" s="8" t="str">
        <x:v>书目页、可得摘要与首页单位核验；未做全文精读。</x:v>
      </x:c>
      <x:c r="AE362" s="8" t="str"/>
      <x:c r="AF362" s="8" t="str">
        <x:v>按本综述7.4.3「组织集成与经济价值」的写作用途归类；基于职业任务与暴露评分分析语言模型可能影响的劳动任务。</x:v>
      </x:c>
      <x:c r="AG362" s="8" t="str">
        <x:v>related</x:v>
      </x:c>
      <x:c r="AH362" s="8" t="str">
        <x:v>organizational-productivity,coverage-work-requirements</x:v>
      </x:c>
      <x:c r="AI362" s="8" t="str"/>
      <x:c r="AJ362" s="8" t="str">
        <x:v>2026-10-16 AI Office survey bibliography</x:v>
      </x:c>
      <x:c r="AK362" s="13" t="d">
        <x:v>2026-10-16T00:00:00.000Z</x:v>
      </x:c>
      <x:c r="AL362" s="8" t="str">
        <x:v>从新增来源发现候选，正式题名、链接及单位以可得一手资料为准。</x:v>
      </x:c>
      <x:c r="AM362" s="8" t="str"/>
    </x:row>
    <x:row r="363" ht="68" customHeight="1">
      <x:c r="A363" s="8" t="str">
        <x:v>WA-0377</x:v>
      </x:c>
      <x:c r="B363" s="8" t="str">
        <x:v>LayoutGPT</x:v>
      </x:c>
      <x:c r="C363" s="8" t="str">
        <x:v>LayoutGPT: Compositional Visual Planning and Generation with Large Language Models</x:v>
      </x:c>
      <x:c r="D363" s="9" t="n">
        <x:v>2023</x:v>
      </x:c>
      <x:c r="E363" s="8" t="str">
        <x:v>University of California, Santa Barbara; Google; University of California, Santa Cruz</x:v>
      </x:c>
      <x:c r="F363" s="21" t="str">
        <x:f>VLOOKUP(H363,'Taxonomy'!$A$6:$G$70,3,FALSE)</x:f>
        <x:v>基础：定义、工作条件与核心能力</x:v>
      </x:c>
      <x:c r="G363" s="21" t="str">
        <x:f>VLOOKUP(H363,'Taxonomy'!$A$6:$G$70,5,FALSE)</x:f>
        <x:v>五项核心能力</x:v>
      </x:c>
      <x:c r="H363" s="8" t="str">
        <x:v>2.3.3</x:v>
      </x:c>
      <x:c r="I363" s="21" t="str">
        <x:f>VLOOKUP(H363,'Taxonomy'!$A$6:$G$70,6,FALSE)</x:f>
        <x:v>规划与协调</x:v>
      </x:c>
      <x:c r="J363" s="8" t="str">
        <x:v>任务分解与行动依赖;对象结构、模态与语义</x:v>
      </x:c>
      <x:c r="K363" s="8" t="str">
        <x:v>推理与决策;规划与协调</x:v>
      </x:c>
      <x:c r="L363" s="8" t="str">
        <x:v>2.3.4 执行与状态管理</x:v>
      </x:c>
      <x:c r="M363" s="8" t="str"/>
      <x:c r="N363" s="8" t="str">
        <x:v>Method</x:v>
      </x:c>
      <x:c r="O363" s="11" t="str">
        <x:v>https://arxiv.org/abs/2305.15393</x:v>
      </x:c>
      <x:c r="P363" s="8" t="str">
        <x:v>通过语言模型生成布局约束，再引导视觉内容的组合生成。</x:v>
      </x:c>
      <x:c r="Q363" s="8" t="str">
        <x:v>用于2.3.3「规划与协调」：通过语言模型生成布局约束，再引导视觉内容的组合生成。</x:v>
      </x:c>
      <x:c r="R363" s="8" t="str">
        <x:v>理解、问答或表示能力是工作智能体的组成部分，不等同于可编辑文件生成、跨文件一致性或端到端验收。</x:v>
      </x:c>
      <x:c r="S363" s="8" t="str">
        <x:v>补充</x:v>
      </x:c>
      <x:c r="T363" s="22" t="str">
        <x:v>未分配</x:v>
      </x:c>
      <x:c r="U363" s="22" t="str"/>
      <x:c r="V363" s="22" t="str"/>
      <x:c r="W363" s="22" t="str"/>
      <x:c r="X363" s="8" t="str">
        <x:v>verified</x:v>
      </x:c>
      <x:c r="Y363" s="11" t="str">
        <x:v>https://github.com/weixi-feng/LayoutGPT</x:v>
      </x:c>
      <x:c r="Z363" s="11" t="str"/>
      <x:c r="AA363" s="11" t="str">
        <x:v>https://arxiv.org/pdf/2305.15393</x:v>
      </x:c>
      <x:c r="AB363" s="11" t="str">
        <x:v>https://arxiv.org/abs/2305.15393</x:v>
      </x:c>
      <x:c r="AC363" s="8" t="str">
        <x:v>AIO-066</x:v>
      </x:c>
      <x:c r="AD363" s="8" t="str">
        <x:v>书目页、可得摘要与首页单位核验；未做全文精读。</x:v>
      </x:c>
      <x:c r="AE363" s="8" t="str"/>
      <x:c r="AF363" s="8" t="str">
        <x:v>按本综述2.3.3「规划与协调」的写作用途归类；通过语言模型生成布局约束，再引导视觉内容的组合生成。</x:v>
      </x:c>
      <x:c r="AG363" s="8" t="str">
        <x:v>related</x:v>
      </x:c>
      <x:c r="AH363" s="8" t="str">
        <x:v>planning-dependencies,object-semantics</x:v>
      </x:c>
      <x:c r="AI363" s="8" t="str"/>
      <x:c r="AJ363" s="8" t="str">
        <x:v>2026-10-16 AI Office survey bibliography</x:v>
      </x:c>
      <x:c r="AK363" s="13" t="d">
        <x:v>2026-10-16T00:00:00.000Z</x:v>
      </x:c>
      <x:c r="AL363" s="8" t="str">
        <x:v>从新增来源发现候选，正式题名、链接及单位以可得一手资料为准。</x:v>
      </x:c>
      <x:c r="AM363" s="8" t="str"/>
    </x:row>
    <x:row r="364" ht="68" customHeight="1">
      <x:c r="A364" s="8" t="str">
        <x:v>WA-0378</x:v>
      </x:c>
      <x:c r="B364" s="8" t="str">
        <x:v>DOC2PPT</x:v>
      </x:c>
      <x:c r="C364" s="8" t="str">
        <x:v>DOC2PPT: Automatic Presentation Slides Generation from Scientific Documents</x:v>
      </x:c>
      <x:c r="D364" s="9" t="n">
        <x:v>2021</x:v>
      </x:c>
      <x:c r="E364" s="8" t="str">
        <x:v>University of California, Santa Barbara; Microsoft Research</x:v>
      </x:c>
      <x:c r="F364" s="21" t="str">
        <x:f>VLOOKUP(H364,'Taxonomy'!$A$6:$G$70,3,FALSE)</x:f>
        <x:v>基础：定义、工作条件与核心能力</x:v>
      </x:c>
      <x:c r="G364" s="21" t="str">
        <x:f>VLOOKUP(H364,'Taxonomy'!$A$6:$G$70,5,FALSE)</x:f>
        <x:v>五项核心能力</x:v>
      </x:c>
      <x:c r="H364" s="8" t="str">
        <x:v>2.3.4</x:v>
      </x:c>
      <x:c r="I364" s="21" t="str">
        <x:f>VLOOKUP(H364,'Taxonomy'!$A$6:$G$70,6,FALSE)</x:f>
        <x:v>执行与状态管理</x:v>
      </x:c>
      <x:c r="J364" s="8" t="str">
        <x:v>原生工件生成与编辑;任务分解与行动依赖</x:v>
      </x:c>
      <x:c r="K364" s="8" t="str">
        <x:v>感知与理解;规划与协调;执行与状态管理</x:v>
      </x:c>
      <x:c r="L364" s="8" t="str">
        <x:v>2.3.1 感知与理解;3.3 多步骤级工作</x:v>
      </x:c>
      <x:c r="M364" s="8" t="str"/>
      <x:c r="N364" s="8" t="str">
        <x:v>Method</x:v>
      </x:c>
      <x:c r="O364" s="11" t="str">
        <x:v>https://arxiv.org/abs/2101.11796</x:v>
      </x:c>
      <x:c r="P364" s="8" t="str">
        <x:v>从科学文档选择内容与图像，并组织为演示幻灯片。</x:v>
      </x:c>
      <x:c r="Q364" s="8" t="str">
        <x:v>用于2.3.4「执行与状态管理」：从科学文档选择内容与图像，并组织为演示幻灯片。</x:v>
      </x:c>
      <x:c r="R364" s="8" t="str">
        <x:v>限于论文评估的成果类型与编辑操作；不能据单类工件结果推断完整业务工作流可靠性。</x:v>
      </x:c>
      <x:c r="S364" s="8" t="str">
        <x:v>补充</x:v>
      </x:c>
      <x:c r="T364" s="22" t="str">
        <x:v>未分配</x:v>
      </x:c>
      <x:c r="U364" s="22" t="str"/>
      <x:c r="V364" s="22" t="str"/>
      <x:c r="W364" s="22" t="str"/>
      <x:c r="X364" s="8" t="str">
        <x:v>verified</x:v>
      </x:c>
      <x:c r="Y364" s="11" t="str"/>
      <x:c r="Z364" s="11" t="str"/>
      <x:c r="AA364" s="11" t="str">
        <x:v>https://arxiv.org/pdf/2101.11796</x:v>
      </x:c>
      <x:c r="AB364" s="11" t="str">
        <x:v>https://arxiv.org/abs/2101.11796</x:v>
      </x:c>
      <x:c r="AC364" s="8" t="str">
        <x:v>AIO-073</x:v>
      </x:c>
      <x:c r="AD364" s="8" t="str">
        <x:v>书目页、可得摘要与首页单位核验；未做全文精读。</x:v>
      </x:c>
      <x:c r="AE364" s="8" t="str"/>
      <x:c r="AF364" s="8" t="str">
        <x:v>按本综述2.3.4「执行与状态管理」的写作用途归类；从科学文档选择内容与图像，并组织为演示幻灯片。</x:v>
      </x:c>
      <x:c r="AG364" s="8" t="str">
        <x:v>artifact</x:v>
      </x:c>
      <x:c r="AH364" s="8" t="str">
        <x:v>artifact-editing,planning-dependencies</x:v>
      </x:c>
      <x:c r="AI364" s="8" t="str"/>
      <x:c r="AJ364" s="8" t="str">
        <x:v>2026-10-16 AI Office survey bibliography</x:v>
      </x:c>
      <x:c r="AK364" s="13" t="d">
        <x:v>2026-10-16T00:00:00.000Z</x:v>
      </x:c>
      <x:c r="AL364" s="8" t="str">
        <x:v>从新增来源发现候选，正式题名、链接及单位以可得一手资料为准。</x:v>
      </x:c>
      <x:c r="AM364" s="8" t="str"/>
    </x:row>
    <x:row r="365" ht="68" customHeight="1">
      <x:c r="A365" s="8" t="str">
        <x:v>WA-0379</x:v>
      </x:c>
      <x:c r="B365" s="8" t="str">
        <x:v>PAL</x:v>
      </x:c>
      <x:c r="C365" s="8" t="str">
        <x:v>PAL: Program-aided Language Models</x:v>
      </x:c>
      <x:c r="D365" s="9" t="n">
        <x:v>2023</x:v>
      </x:c>
      <x:c r="E365" s="8" t="str">
        <x:v>Carnegie Mellon University; Inspired Cognition</x:v>
      </x:c>
      <x:c r="F365" s="21" t="str">
        <x:f>VLOOKUP(H365,'Taxonomy'!$A$6:$G$70,3,FALSE)</x:f>
        <x:v>基础：定义、工作条件与核心能力</x:v>
      </x:c>
      <x:c r="G365" s="21" t="str">
        <x:f>VLOOKUP(H365,'Taxonomy'!$A$6:$G$70,5,FALSE)</x:f>
        <x:v>五项核心能力</x:v>
      </x:c>
      <x:c r="H365" s="8" t="str">
        <x:v>2.3.2</x:v>
      </x:c>
      <x:c r="I365" s="21" t="str">
        <x:f>VLOOKUP(H365,'Taxonomy'!$A$6:$G$70,6,FALSE)</x:f>
        <x:v>推理与决策</x:v>
      </x:c>
      <x:c r="J365" s="8" t="str">
        <x:v>证据整合与推理;工具、界面与应用执行</x:v>
      </x:c>
      <x:c r="K365" s="8" t="str">
        <x:v>推理与决策;执行与状态管理</x:v>
      </x:c>
      <x:c r="L365" s="8" t="str"/>
      <x:c r="M365" s="8" t="str">
        <x:v>提示与工作流优化</x:v>
      </x:c>
      <x:c r="N365" s="8" t="str">
        <x:v>Method</x:v>
      </x:c>
      <x:c r="O365" s="11" t="str">
        <x:v>https://proceedings.mlr.press/v202/gao23f.html</x:v>
      </x:c>
      <x:c r="P365" s="8" t="str">
        <x:v>把推理结果表示为程序，通过解释器获得数值与符号计算答案。</x:v>
      </x:c>
      <x:c r="Q365" s="8" t="str">
        <x:v>用于2.3.2「推理与决策」：把推理结果表示为程序，通过解释器获得数值与符号计算答案。</x:v>
      </x:c>
      <x:c r="R365" s="8" t="str">
        <x:v>支持论文所研究的规划、执行或反馈机制；跨环境可靠性仍需按原文实验设置判断。</x:v>
      </x:c>
      <x:c r="S365" s="8" t="str">
        <x:v>补充</x:v>
      </x:c>
      <x:c r="T365" s="22" t="str">
        <x:v>未分配</x:v>
      </x:c>
      <x:c r="U365" s="22" t="str"/>
      <x:c r="V365" s="22" t="str"/>
      <x:c r="W365" s="22" t="str"/>
      <x:c r="X365" s="8" t="str">
        <x:v>verified</x:v>
      </x:c>
      <x:c r="Y365" s="11" t="str"/>
      <x:c r="Z365" s="11" t="str"/>
      <x:c r="AA365" s="11" t="str">
        <x:v>https://proceedings.mlr.press/v202/gao23f/gao23f.pdf</x:v>
      </x:c>
      <x:c r="AB365" s="11" t="str">
        <x:v>https://proceedings.mlr.press/v202/gao23f.html</x:v>
      </x:c>
      <x:c r="AC365" s="8" t="str">
        <x:v>AIO-076</x:v>
      </x:c>
      <x:c r="AD365" s="8" t="str">
        <x:v>书目页、可得摘要与首页单位核验；未做全文精读。</x:v>
      </x:c>
      <x:c r="AE365" s="8" t="str"/>
      <x:c r="AF365" s="8" t="str">
        <x:v>按本综述2.3.2「推理与决策」的写作用途归类；把推理结果表示为程序，通过解释器获得数值与符号计算答案。</x:v>
      </x:c>
      <x:c r="AG365" s="8" t="str">
        <x:v>tool-enterprise</x:v>
      </x:c>
      <x:c r="AH365" s="8" t="str">
        <x:v>evidence-reasoning,tool-execution</x:v>
      </x:c>
      <x:c r="AI365" s="8" t="str"/>
      <x:c r="AJ365" s="8" t="str">
        <x:v>2026-10-16 AI Office survey bibliography</x:v>
      </x:c>
      <x:c r="AK365" s="13" t="d">
        <x:v>2026-10-16T00:00:00.000Z</x:v>
      </x:c>
      <x:c r="AL365" s="8" t="str">
        <x:v>从新增来源发现候选，正式题名、链接及单位以可得一手资料为准。</x:v>
      </x:c>
      <x:c r="AM365" s="8" t="str"/>
    </x:row>
    <x:row r="366" ht="68" customHeight="1">
      <x:c r="A366" s="8" t="str">
        <x:v>WA-0380</x:v>
      </x:c>
      <x:c r="B366" s="8" t="str">
        <x:v>Flash Fill</x:v>
      </x:c>
      <x:c r="C366" s="8" t="str">
        <x:v>Automating String Processing in Spreadsheets using Input-Output Examples</x:v>
      </x:c>
      <x:c r="D366" s="9" t="n">
        <x:v>2011</x:v>
      </x:c>
      <x:c r="E366" s="8" t="str">
        <x:v>Microsoft Research</x:v>
      </x:c>
      <x:c r="F366" s="21" t="str">
        <x:f>VLOOKUP(H366,'Taxonomy'!$A$6:$G$70,3,FALSE)</x:f>
        <x:v>工作形态：代理承担什么工作</x:v>
      </x:c>
      <x:c r="G366" s="21" t="str">
        <x:f>VLOOKUP(H366,'Taxonomy'!$A$6:$G$70,5,FALSE)</x:f>
        <x:v>原子动作级工作</x:v>
      </x:c>
      <x:c r="H366" s="8" t="str">
        <x:v>3.2</x:v>
      </x:c>
      <x:c r="I366" s="21" t="str">
        <x:f>VLOOKUP(H366,'Taxonomy'!$A$6:$G$70,6,FALSE)</x:f>
        <x:v>原子动作级工作</x:v>
      </x:c>
      <x:c r="J366" s="8" t="str">
        <x:v>原生工件生成与编辑;接口与观测优化</x:v>
      </x:c>
      <x:c r="K366" s="8" t="str">
        <x:v>执行与状态管理</x:v>
      </x:c>
      <x:c r="L366" s="8" t="str">
        <x:v>2.3.4 执行与状态管理</x:v>
      </x:c>
      <x:c r="M366" s="8" t="str"/>
      <x:c r="N366" s="8" t="str">
        <x:v>Method</x:v>
      </x:c>
      <x:c r="O366" s="11" t="str">
        <x:v>https://www.microsoft.com/en-us/research/publication/automating-string-processing-spreadsheets-using-input-output-examples/</x:v>
      </x:c>
      <x:c r="P366" s="8" t="str">
        <x:v>从输入输出示例合成字符串处理程序，支持表格数据清理。</x:v>
      </x:c>
      <x:c r="Q366" s="8" t="str">
        <x:v>用于3.2「原子动作级工作」：从输入输出示例合成字符串处理程序，支持表格数据清理。</x:v>
      </x:c>
      <x:c r="R366" s="8" t="str">
        <x:v>限于论文评估的成果类型与编辑操作；不能据单类工件结果推断完整业务工作流可靠性。</x:v>
      </x:c>
      <x:c r="S366" s="8" t="str">
        <x:v>补充</x:v>
      </x:c>
      <x:c r="T366" s="22" t="str">
        <x:v>未分配</x:v>
      </x:c>
      <x:c r="U366" s="22" t="str"/>
      <x:c r="V366" s="22" t="str"/>
      <x:c r="W366" s="22" t="str"/>
      <x:c r="X366" s="8" t="str">
        <x:v>verified</x:v>
      </x:c>
      <x:c r="Y366" s="11" t="str"/>
      <x:c r="Z366" s="11" t="str"/>
      <x:c r="AA366" s="11" t="str">
        <x:v>https://www.microsoft.com/en-us/research/wp-content/uploads/2016/12/popl11-synthesis.pdf</x:v>
      </x:c>
      <x:c r="AB366" s="11" t="str">
        <x:v>https://www.microsoft.com/en-us/research/publication/automating-string-processing-spreadsheets-using-input-output-examples/</x:v>
      </x:c>
      <x:c r="AC366" s="8" t="str">
        <x:v>AIO-088</x:v>
      </x:c>
      <x:c r="AD366" s="8" t="str">
        <x:v>书目页、可得摘要与首页单位核验；未做全文精读。</x:v>
      </x:c>
      <x:c r="AE366" s="8" t="str"/>
      <x:c r="AF366" s="8" t="str">
        <x:v>按本综述3.2「原子动作级工作」的写作用途归类；从输入输出示例合成字符串处理程序，支持表格数据清理。</x:v>
      </x:c>
      <x:c r="AG366" s="8" t="str">
        <x:v>artifact</x:v>
      </x:c>
      <x:c r="AH366" s="8" t="str">
        <x:v>artifact-editing,tool-interface</x:v>
      </x:c>
      <x:c r="AI366" s="8" t="str"/>
      <x:c r="AJ366" s="8" t="str">
        <x:v>2026-10-16 AI Office survey bibliography</x:v>
      </x:c>
      <x:c r="AK366" s="13" t="d">
        <x:v>2026-10-16T00:00:00.000Z</x:v>
      </x:c>
      <x:c r="AL366" s="8" t="str">
        <x:v>从新增来源发现候选，正式题名、链接及单位以可得一手资料为准。</x:v>
      </x:c>
      <x:c r="AM366" s="8" t="str"/>
    </x:row>
    <x:row r="367" ht="68" customHeight="1">
      <x:c r="A367" s="8" t="str">
        <x:v>WA-0381</x:v>
      </x:c>
      <x:c r="B367" s="8" t="str">
        <x:v>NLyze</x:v>
      </x:c>
      <x:c r="C367" s="8" t="str">
        <x:v>NLyze: Interactive Programming by Natural Language for SpreadSheet Data Analysis and Manipulation</x:v>
      </x:c>
      <x:c r="D367" s="9" t="n">
        <x:v>2014</x:v>
      </x:c>
      <x:c r="E367" s="8" t="str">
        <x:v>Microsoft Research</x:v>
      </x:c>
      <x:c r="F367" s="21" t="str">
        <x:f>VLOOKUP(H367,'Taxonomy'!$A$6:$G$70,3,FALSE)</x:f>
        <x:v>工作形态：代理承担什么工作</x:v>
      </x:c>
      <x:c r="G367" s="21" t="str">
        <x:f>VLOOKUP(H367,'Taxonomy'!$A$6:$G$70,5,FALSE)</x:f>
        <x:v>原子动作级工作</x:v>
      </x:c>
      <x:c r="H367" s="8" t="str">
        <x:v>3.2</x:v>
      </x:c>
      <x:c r="I367" s="21" t="str">
        <x:f>VLOOKUP(H367,'Taxonomy'!$A$6:$G$70,6,FALSE)</x:f>
        <x:v>原子动作级工作</x:v>
      </x:c>
      <x:c r="J367" s="8" t="str">
        <x:v>原生工件生成与编辑;接口与观测优化</x:v>
      </x:c>
      <x:c r="K367" s="8" t="str">
        <x:v>推理与决策;执行与状态管理</x:v>
      </x:c>
      <x:c r="L367" s="8" t="str">
        <x:v>2.3.4 执行与状态管理</x:v>
      </x:c>
      <x:c r="M367" s="8" t="str"/>
      <x:c r="N367" s="8" t="str">
        <x:v>Method</x:v>
      </x:c>
      <x:c r="O367" s="11" t="str">
        <x:v>https://www.microsoft.com/en-us/research/publication/nlyze-interactive-programming-natural-language-spreadsheet-data-analysis-manipulation/</x:v>
      </x:c>
      <x:c r="P367" s="8" t="str">
        <x:v>把自然语言与表格上下文映射到可解释的DSL程序进行数据操作。</x:v>
      </x:c>
      <x:c r="Q367" s="8" t="str">
        <x:v>用于3.2「原子动作级工作」：把自然语言与表格上下文映射到可解释的DSL程序进行数据操作。</x:v>
      </x:c>
      <x:c r="R367" s="8" t="str">
        <x:v>限于论文评估的成果类型与编辑操作；不能据单类工件结果推断完整业务工作流可靠性。</x:v>
      </x:c>
      <x:c r="S367" s="8" t="str">
        <x:v>补充</x:v>
      </x:c>
      <x:c r="T367" s="22" t="str">
        <x:v>未分配</x:v>
      </x:c>
      <x:c r="U367" s="22" t="str"/>
      <x:c r="V367" s="22" t="str"/>
      <x:c r="W367" s="22" t="str"/>
      <x:c r="X367" s="8" t="str">
        <x:v>verified</x:v>
      </x:c>
      <x:c r="Y367" s="11" t="str"/>
      <x:c r="Z367" s="11" t="str"/>
      <x:c r="AA367" s="11" t="str">
        <x:v>https://www.microsoft.com/en-us/research/publication/nlyze-interactive-programming-natural-language-spreadsheet-data-analysis-manipulation/</x:v>
      </x:c>
      <x:c r="AB367" s="11" t="str">
        <x:v>https://www.microsoft.com/en-us/research/publication/nlyze-interactive-programming-natural-language-spreadsheet-data-analysis-manipulation/</x:v>
      </x:c>
      <x:c r="AC367" s="8" t="str">
        <x:v>AIO-089</x:v>
      </x:c>
      <x:c r="AD367" s="8" t="str">
        <x:v>书目页、可得摘要与首页单位核验；未做全文精读。</x:v>
      </x:c>
      <x:c r="AE367" s="8" t="str"/>
      <x:c r="AF367" s="8" t="str">
        <x:v>按本综述3.2「原子动作级工作」的写作用途归类；把自然语言与表格上下文映射到可解释的DSL程序进行数据操作。</x:v>
      </x:c>
      <x:c r="AG367" s="8" t="str">
        <x:v>artifact</x:v>
      </x:c>
      <x:c r="AH367" s="8" t="str">
        <x:v>artifact-editing,tool-interface</x:v>
      </x:c>
      <x:c r="AI367" s="8" t="str"/>
      <x:c r="AJ367" s="8" t="str">
        <x:v>2026-10-16 AI Office survey bibliography</x:v>
      </x:c>
      <x:c r="AK367" s="13" t="d">
        <x:v>2026-10-16T00:00:00.000Z</x:v>
      </x:c>
      <x:c r="AL367" s="8" t="str">
        <x:v>从新增来源发现候选，正式题名、链接及单位以可得一手资料为准。</x:v>
      </x:c>
      <x:c r="AM367" s="8" t="str"/>
    </x:row>
    <x:row r="368" ht="68" customHeight="1">
      <x:c r="A368" s="8" t="str">
        <x:v>WA-0382</x:v>
      </x:c>
      <x:c r="B368" s="8" t="str">
        <x:v>Anthropic Economic Index</x:v>
      </x:c>
      <x:c r="C368" s="8" t="str">
        <x:v>Which Economic Tasks are Performed with AI? Evidence from Millions of Claude Conversations</x:v>
      </x:c>
      <x:c r="D368" s="9" t="n">
        <x:v>2025</x:v>
      </x:c>
      <x:c r="E368" s="8" t="str">
        <x:v>Anthropic</x:v>
      </x:c>
      <x:c r="F368" s="21" t="str">
        <x:f>VLOOKUP(H368,'Taxonomy'!$A$6:$G$70,3,FALSE)</x:f>
        <x:v>前沿：下一代 Working Agents</x:v>
      </x:c>
      <x:c r="G368" s="21" t="str">
        <x:f>VLOOKUP(H368,'Taxonomy'!$A$6:$G$70,5,FALSE)</x:f>
        <x:v>以工作为中心的系统</x:v>
      </x:c>
      <x:c r="H368" s="8" t="str">
        <x:v>7.4.3</x:v>
      </x:c>
      <x:c r="I368" s="21" t="str">
        <x:f>VLOOKUP(H368,'Taxonomy'!$A$6:$G$70,6,FALSE)</x:f>
        <x:v>组织集成与经济价值</x:v>
      </x:c>
      <x:c r="J368" s="8" t="str">
        <x:v>组织协作与真实生产率;任务覆盖与泛化边界</x:v>
      </x:c>
      <x:c r="K368" s="8" t="str"/>
      <x:c r="L368" s="8" t="str"/>
      <x:c r="M368" s="8" t="str"/>
      <x:c r="N368" s="8" t="str">
        <x:v>Background</x:v>
      </x:c>
      <x:c r="O368" s="11" t="str">
        <x:v>https://arxiv.org/abs/2503.04761</x:v>
      </x:c>
      <x:c r="P368" s="8" t="str">
        <x:v>使用匿名化对话与职业任务映射研究AI的实际应用和增强、自动化分布。</x:v>
      </x:c>
      <x:c r="Q368" s="8" t="str">
        <x:v>用于7.4.3「组织集成与经济价值」：使用匿名化对话与职业任务映射研究AI的实际应用和增强、自动化分布。</x:v>
      </x:c>
      <x:c r="R368" s="8" t="str">
        <x:v>使用日志提供观察性证据；输出量、采用率或任务暴露不等于已证实的生产率因果效应。</x:v>
      </x:c>
      <x:c r="S368" s="8" t="str">
        <x:v>补充</x:v>
      </x:c>
      <x:c r="T368" s="22" t="str">
        <x:v>未分配</x:v>
      </x:c>
      <x:c r="U368" s="22" t="str"/>
      <x:c r="V368" s="22" t="str"/>
      <x:c r="W368" s="22" t="str"/>
      <x:c r="X368" s="8" t="str">
        <x:v>verified</x:v>
      </x:c>
      <x:c r="Y368" s="11" t="str"/>
      <x:c r="Z368" s="11" t="str"/>
      <x:c r="AA368" s="11" t="str">
        <x:v>https://arxiv.org/pdf/2503.04761</x:v>
      </x:c>
      <x:c r="AB368" s="11" t="str">
        <x:v>https://arxiv.org/abs/2503.04761</x:v>
      </x:c>
      <x:c r="AC368" s="8" t="str">
        <x:v>AIO-091</x:v>
      </x:c>
      <x:c r="AD368" s="8" t="str">
        <x:v>书目页、可得摘要与首页单位核验；未做全文精读。</x:v>
      </x:c>
      <x:c r="AE368" s="8" t="str"/>
      <x:c r="AF368" s="8" t="str">
        <x:v>按本综述7.4.3「组织集成与经济价值」的写作用途归类；使用匿名化对话与职业任务映射研究AI的实际应用和增强、自动化分布。</x:v>
      </x:c>
      <x:c r="AG368" s="8" t="str">
        <x:v>related</x:v>
      </x:c>
      <x:c r="AH368" s="8" t="str">
        <x:v>organizational-productivity,coverage-work-requirements</x:v>
      </x:c>
      <x:c r="AI368" s="8" t="str"/>
      <x:c r="AJ368" s="8" t="str">
        <x:v>2026-10-16 AI Office survey bibliography</x:v>
      </x:c>
      <x:c r="AK368" s="13" t="d">
        <x:v>2026-10-16T00:00:00.000Z</x:v>
      </x:c>
      <x:c r="AL368" s="8" t="str">
        <x:v>从新增来源发现候选，正式题名、链接及单位以可得一手资料为准。</x:v>
      </x:c>
      <x:c r="AM368" s="8" t="str"/>
    </x:row>
    <x:row r="369" ht="68" customHeight="1">
      <x:c r="A369" s="8" t="str">
        <x:v>WA-0383</x:v>
      </x:c>
      <x:c r="B369" s="8" t="str">
        <x:v>TAPAS</x:v>
      </x:c>
      <x:c r="C369" s="8" t="str">
        <x:v>TaPas: Weakly Supervised Table Parsing via Pre-training</x:v>
      </x:c>
      <x:c r="D369" s="9" t="n">
        <x:v>2020</x:v>
      </x:c>
      <x:c r="E369" s="8" t="str">
        <x:v>Google Research; Tel Aviv University</x:v>
      </x:c>
      <x:c r="F369" s="21" t="str">
        <x:f>VLOOKUP(H369,'Taxonomy'!$A$6:$G$70,3,FALSE)</x:f>
        <x:v>基础：定义、工作条件与核心能力</x:v>
      </x:c>
      <x:c r="G369" s="21" t="str">
        <x:f>VLOOKUP(H369,'Taxonomy'!$A$6:$G$70,5,FALSE)</x:f>
        <x:v>五项核心能力</x:v>
      </x:c>
      <x:c r="H369" s="8" t="str">
        <x:v>2.3.1</x:v>
      </x:c>
      <x:c r="I369" s="21" t="str">
        <x:f>VLOOKUP(H369,'Taxonomy'!$A$6:$G$70,6,FALSE)</x:f>
        <x:v>感知与理解</x:v>
      </x:c>
      <x:c r="J369" s="8" t="str">
        <x:v>对象结构、模态与语义;模型参数学习</x:v>
      </x:c>
      <x:c r="K369" s="8" t="str">
        <x:v>感知与理解;推理与决策</x:v>
      </x:c>
      <x:c r="L369" s="8" t="str">
        <x:v>5.2.1 中期训练与监督微调</x:v>
      </x:c>
      <x:c r="M369" s="8" t="str"/>
      <x:c r="N369" s="8" t="str">
        <x:v>Method</x:v>
      </x:c>
      <x:c r="O369" s="11" t="str">
        <x:v>https://aclanthology.org/2020.acl-main.398/</x:v>
      </x:c>
      <x:c r="P369" s="8" t="str">
        <x:v>通过表格结构预训练和弱监督处理表格问答与单元格选择。</x:v>
      </x:c>
      <x:c r="Q369" s="8" t="str">
        <x:v>用于2.3.1「感知与理解」：通过表格结构预训练和弱监督处理表格问答与单元格选择。</x:v>
      </x:c>
      <x:c r="R369" s="8" t="str">
        <x:v>理解、问答或表示能力是工作智能体的组成部分，不等同于可编辑文件生成、跨文件一致性或端到端验收。</x:v>
      </x:c>
      <x:c r="S369" s="8" t="str">
        <x:v>补充</x:v>
      </x:c>
      <x:c r="T369" s="22" t="str">
        <x:v>未分配</x:v>
      </x:c>
      <x:c r="U369" s="22" t="str"/>
      <x:c r="V369" s="22" t="str"/>
      <x:c r="W369" s="22" t="str"/>
      <x:c r="X369" s="8" t="str">
        <x:v>verified</x:v>
      </x:c>
      <x:c r="Y369" s="11" t="str"/>
      <x:c r="Z369" s="11" t="str"/>
      <x:c r="AA369" s="11" t="str">
        <x:v>https://aclanthology.org/2020.acl-main.398.pdf</x:v>
      </x:c>
      <x:c r="AB369" s="11" t="str">
        <x:v>https://aclanthology.org/2020.acl-main.398/</x:v>
      </x:c>
      <x:c r="AC369" s="8" t="str">
        <x:v>AIO-094</x:v>
      </x:c>
      <x:c r="AD369" s="8" t="str">
        <x:v>书目页、可得摘要与首页单位核验；未做全文精读。</x:v>
      </x:c>
      <x:c r="AE369" s="8" t="str"/>
      <x:c r="AF369" s="8" t="str">
        <x:v>按本综述2.3.1「感知与理解」的写作用途归类；通过表格结构预训练和弱监督处理表格问答与单元格选择。</x:v>
      </x:c>
      <x:c r="AG369" s="8" t="str">
        <x:v>related</x:v>
      </x:c>
      <x:c r="AH369" s="8" t="str">
        <x:v>object-semantics,model-training</x:v>
      </x:c>
      <x:c r="AI369" s="8" t="str"/>
      <x:c r="AJ369" s="8" t="str">
        <x:v>2026-10-16 AI Office survey bibliography</x:v>
      </x:c>
      <x:c r="AK369" s="13" t="d">
        <x:v>2026-10-16T00:00:00.000Z</x:v>
      </x:c>
      <x:c r="AL369" s="8" t="str">
        <x:v>从新增来源发现候选，正式题名、链接及单位以可得一手资料为准。</x:v>
      </x:c>
      <x:c r="AM369" s="8" t="str"/>
    </x:row>
    <x:row r="370" ht="68" customHeight="1">
      <x:c r="A370" s="8" t="str">
        <x:v>WA-0384</x:v>
      </x:c>
      <x:c r="B370" s="8" t="str">
        <x:v>CogAgent</x:v>
      </x:c>
      <x:c r="C370" s="8" t="str">
        <x:v>CogAgent: A Visual Language Model for GUI Agents</x:v>
      </x:c>
      <x:c r="D370" s="9" t="n">
        <x:v>2023</x:v>
      </x:c>
      <x:c r="E370" s="8" t="str">
        <x:v>Tsinghua University; Zhipu AI</x:v>
      </x:c>
      <x:c r="F370" s="21" t="str">
        <x:f>VLOOKUP(H370,'Taxonomy'!$A$6:$G$70,3,FALSE)</x:f>
        <x:v>基础：定义、工作条件与核心能力</x:v>
      </x:c>
      <x:c r="G370" s="21" t="str">
        <x:f>VLOOKUP(H370,'Taxonomy'!$A$6:$G$70,5,FALSE)</x:f>
        <x:v>相关智能体范式</x:v>
      </x:c>
      <x:c r="H370" s="8" t="str">
        <x:v>2.4.2</x:v>
      </x:c>
      <x:c r="I370" s="21" t="str">
        <x:f>VLOOKUP(H370,'Taxonomy'!$A$6:$G$70,6,FALSE)</x:f>
        <x:v>计算机使用智能体</x:v>
      </x:c>
      <x:c r="J370" s="8" t="str">
        <x:v>对象结构、模态与语义;工具、界面与应用执行;模型参数学习</x:v>
      </x:c>
      <x:c r="K370" s="8" t="str">
        <x:v>感知与理解;执行与状态管理</x:v>
      </x:c>
      <x:c r="L370" s="8" t="str">
        <x:v>5.2.1 中期训练与监督微调</x:v>
      </x:c>
      <x:c r="M370" s="8" t="str"/>
      <x:c r="N370" s="8" t="str">
        <x:v>Method</x:v>
      </x:c>
      <x:c r="O370" s="11" t="str">
        <x:v>https://arxiv.org/abs/2312.08914</x:v>
      </x:c>
      <x:c r="P370" s="8" t="str">
        <x:v>通过高分辨率界面理解与动作定位支持GUI智能体。</x:v>
      </x:c>
      <x:c r="Q370" s="8" t="str">
        <x:v>用于2.4.2「计算机使用智能体」：通过高分辨率界面理解与动作定位支持GUI智能体。</x:v>
      </x:c>
      <x:c r="R370" s="8" t="str">
        <x:v>理解、问答或表示能力是工作智能体的组成部分，不等同于可编辑文件生成、跨文件一致性或端到端验收。</x:v>
      </x:c>
      <x:c r="S370" s="8" t="str">
        <x:v>补充</x:v>
      </x:c>
      <x:c r="T370" s="22" t="str">
        <x:v>未分配</x:v>
      </x:c>
      <x:c r="U370" s="22" t="str"/>
      <x:c r="V370" s="22" t="str"/>
      <x:c r="W370" s="22" t="str"/>
      <x:c r="X370" s="8" t="str">
        <x:v>verified</x:v>
      </x:c>
      <x:c r="Y370" s="11" t="str"/>
      <x:c r="Z370" s="11" t="str"/>
      <x:c r="AA370" s="11" t="str">
        <x:v>https://arxiv.org/pdf/2312.08914</x:v>
      </x:c>
      <x:c r="AB370" s="11" t="str">
        <x:v>https://arxiv.org/abs/2312.08914</x:v>
      </x:c>
      <x:c r="AC370" s="8" t="str">
        <x:v>AIO-097</x:v>
      </x:c>
      <x:c r="AD370" s="8" t="str">
        <x:v>书目页、可得摘要与首页单位核验；未做全文精读。</x:v>
      </x:c>
      <x:c r="AE370" s="8" t="str"/>
      <x:c r="AF370" s="8" t="str">
        <x:v>按本综述2.4.2「计算机使用智能体」的写作用途归类；通过高分辨率界面理解与动作定位支持GUI智能体。</x:v>
      </x:c>
      <x:c r="AG370" s="8" t="str">
        <x:v>computer-use</x:v>
      </x:c>
      <x:c r="AH370" s="8" t="str">
        <x:v>object-semantics,tool-execution,model-training</x:v>
      </x:c>
      <x:c r="AI370" s="8" t="str"/>
      <x:c r="AJ370" s="8" t="str">
        <x:v>2026-10-16 AI Office survey bibliography</x:v>
      </x:c>
      <x:c r="AK370" s="13" t="d">
        <x:v>2026-10-16T00:00:00.000Z</x:v>
      </x:c>
      <x:c r="AL370" s="8" t="str">
        <x:v>从新增来源发现候选，正式题名、链接及单位以可得一手资料为准。</x:v>
      </x:c>
      <x:c r="AM370" s="8" t="str"/>
    </x:row>
    <x:row r="371" ht="68" customHeight="1">
      <x:c r="A371" s="8" t="str">
        <x:v>WA-0385</x:v>
      </x:c>
      <x:c r="B371" s="8" t="str">
        <x:v>mPLUG-DocOwl 1.5</x:v>
      </x:c>
      <x:c r="C371" s="8" t="str">
        <x:v>mPLUG-DocOwl 1.5: Unified Structure Learning for OCR-free Document Understanding</x:v>
      </x:c>
      <x:c r="D371" s="9" t="n">
        <x:v>2024</x:v>
      </x:c>
      <x:c r="E371" s="8" t="str">
        <x:v>Alibaba Group; Renmin University of China</x:v>
      </x:c>
      <x:c r="F371" s="21" t="str">
        <x:f>VLOOKUP(H371,'Taxonomy'!$A$6:$G$70,3,FALSE)</x:f>
        <x:v>基础：定义、工作条件与核心能力</x:v>
      </x:c>
      <x:c r="G371" s="21" t="str">
        <x:f>VLOOKUP(H371,'Taxonomy'!$A$6:$G$70,5,FALSE)</x:f>
        <x:v>五项核心能力</x:v>
      </x:c>
      <x:c r="H371" s="8" t="str">
        <x:v>2.3.1</x:v>
      </x:c>
      <x:c r="I371" s="21" t="str">
        <x:f>VLOOKUP(H371,'Taxonomy'!$A$6:$G$70,6,FALSE)</x:f>
        <x:v>感知与理解</x:v>
      </x:c>
      <x:c r="J371" s="8" t="str">
        <x:v>对象结构、模态与语义;模型参数学习</x:v>
      </x:c>
      <x:c r="K371" s="8" t="str">
        <x:v>感知与理解</x:v>
      </x:c>
      <x:c r="L371" s="8" t="str">
        <x:v>5.2.1 中期训练与监督微调</x:v>
      </x:c>
      <x:c r="M371" s="8" t="str"/>
      <x:c r="N371" s="8" t="str">
        <x:v>Method</x:v>
      </x:c>
      <x:c r="O371" s="11" t="str">
        <x:v>https://arxiv.org/abs/2403.12895</x:v>
      </x:c>
      <x:c r="P371" s="8" t="str">
        <x:v>以结构学习和视觉压缩改进OCR-free文档、图表与表格理解。</x:v>
      </x:c>
      <x:c r="Q371" s="8" t="str">
        <x:v>用于2.3.1「感知与理解」：以结构学习和视觉压缩改进OCR-free文档、图表与表格理解。</x:v>
      </x:c>
      <x:c r="R371" s="8" t="str">
        <x:v>理解、问答或表示能力是工作智能体的组成部分，不等同于可编辑文件生成、跨文件一致性或端到端验收。</x:v>
      </x:c>
      <x:c r="S371" s="8" t="str">
        <x:v>补充</x:v>
      </x:c>
      <x:c r="T371" s="22" t="str">
        <x:v>未分配</x:v>
      </x:c>
      <x:c r="U371" s="22" t="str"/>
      <x:c r="V371" s="22" t="str"/>
      <x:c r="W371" s="22" t="str"/>
      <x:c r="X371" s="8" t="str">
        <x:v>verified</x:v>
      </x:c>
      <x:c r="Y371" s="11" t="str"/>
      <x:c r="Z371" s="11" t="str"/>
      <x:c r="AA371" s="11" t="str">
        <x:v>https://arxiv.org/pdf/2403.12895</x:v>
      </x:c>
      <x:c r="AB371" s="11" t="str">
        <x:v>https://arxiv.org/abs/2403.12895</x:v>
      </x:c>
      <x:c r="AC371" s="8" t="str">
        <x:v>AIO-098</x:v>
      </x:c>
      <x:c r="AD371" s="8" t="str">
        <x:v>书目页、可得摘要与首页单位核验；未做全文精读。</x:v>
      </x:c>
      <x:c r="AE371" s="8" t="str"/>
      <x:c r="AF371" s="8" t="str">
        <x:v>按本综述2.3.1「感知与理解」的写作用途归类；以结构学习和视觉压缩改进OCR-free文档、图表与表格理解。</x:v>
      </x:c>
      <x:c r="AG371" s="8" t="str">
        <x:v>related</x:v>
      </x:c>
      <x:c r="AH371" s="8" t="str">
        <x:v>object-semantics,model-training</x:v>
      </x:c>
      <x:c r="AI371" s="8" t="str"/>
      <x:c r="AJ371" s="8" t="str">
        <x:v>2026-10-16 AI Office survey bibliography</x:v>
      </x:c>
      <x:c r="AK371" s="13" t="d">
        <x:v>2026-10-16T00:00:00.000Z</x:v>
      </x:c>
      <x:c r="AL371" s="8" t="str">
        <x:v>从新增来源发现候选，正式题名、链接及单位以可得一手资料为准。</x:v>
      </x:c>
      <x:c r="AM371" s="8" t="str"/>
    </x:row>
    <x:row r="372" ht="68" customHeight="1">
      <x:c r="A372" s="8" t="str">
        <x:v>WA-0386</x:v>
      </x:c>
      <x:c r="B372" s="8" t="str">
        <x:v>mPLUG-DocOwl2</x:v>
      </x:c>
      <x:c r="C372" s="8" t="str">
        <x:v>mPLUG-DocOwl2: High-resolution Compressing for OCR-free Multi-page Document Understanding</x:v>
      </x:c>
      <x:c r="D372" s="9" t="n">
        <x:v>2024</x:v>
      </x:c>
      <x:c r="E372" s="8" t="str">
        <x:v>Alibaba Group; Renmin University of China</x:v>
      </x:c>
      <x:c r="F372" s="21" t="str">
        <x:f>VLOOKUP(H372,'Taxonomy'!$A$6:$G$70,3,FALSE)</x:f>
        <x:v>基础：定义、工作条件与核心能力</x:v>
      </x:c>
      <x:c r="G372" s="21" t="str">
        <x:f>VLOOKUP(H372,'Taxonomy'!$A$6:$G$70,5,FALSE)</x:f>
        <x:v>五项核心能力</x:v>
      </x:c>
      <x:c r="H372" s="8" t="str">
        <x:v>2.3.1</x:v>
      </x:c>
      <x:c r="I372" s="21" t="str">
        <x:f>VLOOKUP(H372,'Taxonomy'!$A$6:$G$70,6,FALSE)</x:f>
        <x:v>感知与理解</x:v>
      </x:c>
      <x:c r="J372" s="8" t="str">
        <x:v>对象结构、模态与语义;模型参数学习</x:v>
      </x:c>
      <x:c r="K372" s="8" t="str">
        <x:v>感知与理解</x:v>
      </x:c>
      <x:c r="L372" s="8" t="str">
        <x:v>5.2.1 中期训练与监督微调</x:v>
      </x:c>
      <x:c r="M372" s="8" t="str"/>
      <x:c r="N372" s="8" t="str">
        <x:v>Method</x:v>
      </x:c>
      <x:c r="O372" s="11" t="str">
        <x:v>https://arxiv.org/abs/2409.03420</x:v>
      </x:c>
      <x:c r="P372" s="8" t="str">
        <x:v>用高分辨率视觉压缩处理多页文档与结构化内容。</x:v>
      </x:c>
      <x:c r="Q372" s="8" t="str">
        <x:v>用于2.3.1「感知与理解」：用高分辨率视觉压缩处理多页文档与结构化内容。</x:v>
      </x:c>
      <x:c r="R372" s="8" t="str">
        <x:v>理解、问答或表示能力是工作智能体的组成部分，不等同于可编辑文件生成、跨文件一致性或端到端验收。</x:v>
      </x:c>
      <x:c r="S372" s="8" t="str">
        <x:v>补充</x:v>
      </x:c>
      <x:c r="T372" s="22" t="str">
        <x:v>未分配</x:v>
      </x:c>
      <x:c r="U372" s="22" t="str"/>
      <x:c r="V372" s="22" t="str"/>
      <x:c r="W372" s="22" t="str"/>
      <x:c r="X372" s="8" t="str">
        <x:v>verified</x:v>
      </x:c>
      <x:c r="Y372" s="11" t="str">
        <x:v>https://github.com/X-PLUG/mPLUG-DocOwl</x:v>
      </x:c>
      <x:c r="Z372" s="11" t="str"/>
      <x:c r="AA372" s="11" t="str">
        <x:v>https://arxiv.org/pdf/2409.03420</x:v>
      </x:c>
      <x:c r="AB372" s="11" t="str">
        <x:v>https://arxiv.org/abs/2409.03420</x:v>
      </x:c>
      <x:c r="AC372" s="8" t="str">
        <x:v>AIO-099</x:v>
      </x:c>
      <x:c r="AD372" s="8" t="str">
        <x:v>书目页、可得摘要与首页单位核验；未做全文精读。</x:v>
      </x:c>
      <x:c r="AE372" s="8" t="str"/>
      <x:c r="AF372" s="8" t="str">
        <x:v>按本综述2.3.1「感知与理解」的写作用途归类；用高分辨率视觉压缩处理多页文档与结构化内容。</x:v>
      </x:c>
      <x:c r="AG372" s="8" t="str">
        <x:v>related</x:v>
      </x:c>
      <x:c r="AH372" s="8" t="str">
        <x:v>object-semantics,model-training</x:v>
      </x:c>
      <x:c r="AI372" s="8" t="str"/>
      <x:c r="AJ372" s="8" t="str">
        <x:v>2026-10-16 AI Office survey bibliography</x:v>
      </x:c>
      <x:c r="AK372" s="13" t="d">
        <x:v>2026-10-16T00:00:00.000Z</x:v>
      </x:c>
      <x:c r="AL372" s="8" t="str">
        <x:v>从新增来源发现候选，正式题名、链接及单位以可得一手资料为准。</x:v>
      </x:c>
      <x:c r="AM372" s="8" t="str"/>
    </x:row>
    <x:row r="373" ht="96" customHeight="1">
      <x:c r="A373" s="8" t="str">
        <x:v>WA-0387</x:v>
      </x:c>
      <x:c r="B373" s="8" t="str">
        <x:v>OS Agents Survey</x:v>
      </x:c>
      <x:c r="C373" s="8" t="str">
        <x:v>OS Agents: A Survey on MLLM-based Agents for Computer, Phone and Browser Use</x:v>
      </x:c>
      <x:c r="D373" s="9" t="n">
        <x:v>2025</x:v>
      </x:c>
      <x:c r="E373" s="8" t="str">
        <x:v>Zhejiang University; Fudan University; OPPO AI Center; University of Chinese Academy of Sciences; Institute of Automation, Chinese Academy of Sciences; The Chinese University of Hong Kong; Tsinghua University; Shanghai Jiao Tong University; 01.AI; The Hong Kong Polytechnic University</x:v>
      </x:c>
      <x:c r="F373" s="21" t="str">
        <x:f>VLOOKUP(H373,'Taxonomy'!$A$6:$G$70,3,FALSE)</x:f>
        <x:v>基础：定义、工作条件与核心能力</x:v>
      </x:c>
      <x:c r="G373" s="21" t="str">
        <x:f>VLOOKUP(H373,'Taxonomy'!$A$6:$G$70,5,FALSE)</x:f>
        <x:v>相关智能体范式</x:v>
      </x:c>
      <x:c r="H373" s="8" t="str">
        <x:v>2.4.2</x:v>
      </x:c>
      <x:c r="I373" s="21" t="str">
        <x:f>VLOOKUP(H373,'Taxonomy'!$A$6:$G$70,6,FALSE)</x:f>
        <x:v>计算机使用智能体</x:v>
      </x:c>
      <x:c r="J373" s="8" t="str">
        <x:v>范式与自主性边界;工具、界面与应用执行</x:v>
      </x:c>
      <x:c r="K373" s="8" t="str">
        <x:v>感知与理解;执行与状态管理</x:v>
      </x:c>
      <x:c r="L373" s="8" t="str"/>
      <x:c r="M373" s="8" t="str"/>
      <x:c r="N373" s="8" t="str">
        <x:v>Survey</x:v>
      </x:c>
      <x:c r="O373" s="11" t="str">
        <x:v>https://aclanthology.org/2025.acl-long.369/</x:v>
      </x:c>
      <x:c r="P373" s="8" t="str">
        <x:v>综述计算机、手机与浏览器中的多模态智能体技术和评测。</x:v>
      </x:c>
      <x:c r="Q373" s="8" t="str">
        <x:v>用于2.4.2「计算机使用智能体」：综述计算机、手机与浏览器中的多模态智能体技术和评测。</x:v>
      </x:c>
      <x:c r="R373" s="8" t="str">
        <x:v>作为研究覆盖与术语背景；具体性能结论应回到其引用的一手论文。</x:v>
      </x:c>
      <x:c r="S373" s="8" t="str">
        <x:v>补充</x:v>
      </x:c>
      <x:c r="T373" s="22" t="str">
        <x:v>未分配</x:v>
      </x:c>
      <x:c r="U373" s="22" t="str"/>
      <x:c r="V373" s="22" t="str"/>
      <x:c r="W373" s="22" t="str"/>
      <x:c r="X373" s="8" t="str">
        <x:v>verified</x:v>
      </x:c>
      <x:c r="Y373" s="11" t="str"/>
      <x:c r="Z373" s="11" t="str"/>
      <x:c r="AA373" s="11" t="str">
        <x:v>https://aclanthology.org/2025.acl-long.369.pdf</x:v>
      </x:c>
      <x:c r="AB373" s="11" t="str">
        <x:v>https://aclanthology.org/2025.acl-long.369/</x:v>
      </x:c>
      <x:c r="AC373" s="8" t="str">
        <x:v>AIO-100</x:v>
      </x:c>
      <x:c r="AD373" s="8" t="str">
        <x:v>书目页、可得摘要与首页单位核验；未做全文精读。</x:v>
      </x:c>
      <x:c r="AE373" s="8" t="str"/>
      <x:c r="AF373" s="8" t="str">
        <x:v>按本综述2.4.2「计算机使用智能体」的写作用途归类；综述计算机、手机与浏览器中的多模态智能体技术和评测。</x:v>
      </x:c>
      <x:c r="AG373" s="8" t="str">
        <x:v>related</x:v>
      </x:c>
      <x:c r="AH373" s="8" t="str">
        <x:v>paradigm-comparison,tool-execution</x:v>
      </x:c>
      <x:c r="AI373" s="8" t="str"/>
      <x:c r="AJ373" s="8" t="str">
        <x:v>2026-10-16 AI Office survey bibliography</x:v>
      </x:c>
      <x:c r="AK373" s="13" t="d">
        <x:v>2026-10-16T00:00:00.000Z</x:v>
      </x:c>
      <x:c r="AL373" s="8" t="str">
        <x:v>从新增来源发现候选，正式题名、链接及单位以可得一手资料为准。</x:v>
      </x:c>
      <x:c r="AM373" s="8" t="str"/>
    </x:row>
    <x:row r="374" ht="68" customHeight="1">
      <x:c r="A374" s="8" t="str">
        <x:v>WA-0388</x:v>
      </x:c>
      <x:c r="B374" s="8" t="str">
        <x:v>DA-Code</x:v>
      </x:c>
      <x:c r="C374" s="8" t="str">
        <x:v>DA-Code: Agent Data Science Code Generation Benchmark for Large Language Models</x:v>
      </x:c>
      <x:c r="D374" s="9" t="n">
        <x:v>2024</x:v>
      </x:c>
      <x:c r="E374" s="8" t="str">
        <x:v>Institute of Automation, Chinese Academy of Sciences; University of Chinese Academy of Sciences; University of California, Davis; Microsoft Research Asia; Shanghai AI Laboratory</x:v>
      </x:c>
      <x:c r="F374" s="21" t="str">
        <x:f>VLOOKUP(H374,'Taxonomy'!$A$6:$G$70,3,FALSE)</x:f>
        <x:v>评估与资源：如何检验工作完成</x:v>
      </x:c>
      <x:c r="G374" s="21" t="str">
        <x:f>VLOOKUP(H374,'Taxonomy'!$A$6:$G$70,5,FALSE)</x:f>
        <x:v>基准与任务构造</x:v>
      </x:c>
      <x:c r="H374" s="8" t="str">
        <x:v>6.1.2</x:v>
      </x:c>
      <x:c r="I374" s="21" t="str">
        <x:f>VLOOKUP(H374,'Taxonomy'!$A$6:$G$70,6,FALSE)</x:f>
        <x:v>领域覆盖与工作要求</x:v>
      </x:c>
      <x:c r="J374" s="8" t="str">
        <x:v>任务覆盖与泛化边界;答案、产物、状态与过程证据</x:v>
      </x:c>
      <x:c r="K374" s="8" t="str">
        <x:v>推理与决策;规划与协调;执行与状态管理;验证、恢复与重新规划</x:v>
      </x:c>
      <x:c r="L374" s="8" t="str">
        <x:v>2.3.4 执行与状态管理</x:v>
      </x:c>
      <x:c r="M374" s="8" t="str"/>
      <x:c r="N374" s="8" t="str">
        <x:v>Benchmark</x:v>
      </x:c>
      <x:c r="O374" s="11" t="str">
        <x:v>https://aclanthology.org/2024.emnlp-main.748/</x:v>
      </x:c>
      <x:c r="P374" s="8" t="str">
        <x:v>以真实数据处理与分析代码任务评估数据科学智能体。</x:v>
      </x:c>
      <x:c r="Q374" s="8" t="str">
        <x:v>用于6.1.2「领域覆盖与工作要求」：以真实数据处理与分析代码任务评估数据科学智能体。</x:v>
      </x:c>
      <x:c r="R374" s="8" t="str">
        <x:v>按该评测的任务、接口与验收协议解释；能力标签表示任务需求，不是模型已经具备该能力。</x:v>
      </x:c>
      <x:c r="S374" s="8" t="str">
        <x:v>补充</x:v>
      </x:c>
      <x:c r="T374" s="22" t="str">
        <x:v>未分配</x:v>
      </x:c>
      <x:c r="U374" s="22" t="str"/>
      <x:c r="V374" s="22" t="str"/>
      <x:c r="W374" s="22" t="str"/>
      <x:c r="X374" s="8" t="str">
        <x:v>verified</x:v>
      </x:c>
      <x:c r="Y374" s="11" t="str"/>
      <x:c r="Z374" s="11" t="str"/>
      <x:c r="AA374" s="11" t="str">
        <x:v>https://aclanthology.org/2024.emnlp-main.748.pdf</x:v>
      </x:c>
      <x:c r="AB374" s="11" t="str">
        <x:v>https://aclanthology.org/2024.emnlp-main.748/</x:v>
      </x:c>
      <x:c r="AC374" s="8" t="str">
        <x:v>AIO-101</x:v>
      </x:c>
      <x:c r="AD374" s="8" t="str">
        <x:v>书目页、可得摘要与首页单位核验；未做全文精读。</x:v>
      </x:c>
      <x:c r="AE374" s="8" t="str"/>
      <x:c r="AF374" s="8" t="str">
        <x:v>按本综述6.1.2「领域覆盖与工作要求」的写作用途归类；以真实数据处理与分析代码任务评估数据科学智能体。</x:v>
      </x:c>
      <x:c r="AG374" s="8" t="str">
        <x:v>workspace</x:v>
      </x:c>
      <x:c r="AH374" s="8" t="str">
        <x:v>coverage-work-requirements,observable-evidence</x:v>
      </x:c>
      <x:c r="AI374" s="8" t="str"/>
      <x:c r="AJ374" s="8" t="str">
        <x:v>2026-10-16 AI Office survey bibliography</x:v>
      </x:c>
      <x:c r="AK374" s="13" t="d">
        <x:v>2026-10-16T00:00:00.000Z</x:v>
      </x:c>
      <x:c r="AL374" s="8" t="str">
        <x:v>从新增来源发现候选，正式题名、链接及单位以可得一手资料为准。</x:v>
      </x:c>
      <x:c r="AM374" s="8" t="str"/>
    </x:row>
    <x:row r="375" ht="68" customHeight="1">
      <x:c r="A375" s="8" t="str">
        <x:v>WA-0389</x:v>
      </x:c>
      <x:c r="B375" s="8" t="str">
        <x:v>CorpGen</x:v>
      </x:c>
      <x:c r="C375" s="8" t="str">
        <x:v>CORPGEN: Simulating Corporate Environments with Autonomous Digital Employees in Multi-Horizon Task Environments</x:v>
      </x:c>
      <x:c r="D375" s="9" t="n">
        <x:v>2026</x:v>
      </x:c>
      <x:c r="E375" s="8" t="str">
        <x:v>Microsoft</x:v>
      </x:c>
      <x:c r="F375" s="21" t="str">
        <x:f>VLOOKUP(H375,'Taxonomy'!$A$6:$G$70,3,FALSE)</x:f>
        <x:v>评估与资源：如何检验工作完成</x:v>
      </x:c>
      <x:c r="G375" s="21" t="str">
        <x:f>VLOOKUP(H375,'Taxonomy'!$A$6:$G$70,5,FALSE)</x:f>
        <x:v>基准与任务构造</x:v>
      </x:c>
      <x:c r="H375" s="8" t="str">
        <x:v>6.1.1</x:v>
      </x:c>
      <x:c r="I375" s="21" t="str">
        <x:f>VLOOKUP(H375,'Taxonomy'!$A$6:$G$70,6,FALSE)</x:f>
        <x:v>任务构造策略</x:v>
      </x:c>
      <x:c r="J375" s="8" t="str">
        <x:v>任务、环境与扰动构造;跨请求工作连续性;分布信息、澄清与协调</x:v>
      </x:c>
      <x:c r="K375" s="8" t="str">
        <x:v>感知与理解;推理与决策;规划与协调;执行与状态管理;验证、恢复与重新规划</x:v>
      </x:c>
      <x:c r="L375" s="8" t="str">
        <x:v>2.2.1 工作持久性;2.3.3 规划与协调;2.3.4 执行与状态管理</x:v>
      </x:c>
      <x:c r="M375" s="8" t="str"/>
      <x:c r="N375" s="8" t="str">
        <x:v>Benchmark;Framework</x:v>
      </x:c>
      <x:c r="O375" s="11" t="str">
        <x:v>https://arxiv.org/abs/2602.14229</x:v>
      </x:c>
      <x:c r="P375" s="8" t="str">
        <x:v>构建企业多任务环境，研究任务交织、依赖、优先级与持续状态管理。</x:v>
      </x:c>
      <x:c r="Q375" s="8" t="str">
        <x:v>用于6.1.1「任务构造策略」：构建企业多任务环境，研究任务交织、依赖、优先级与持续状态管理。</x:v>
      </x:c>
      <x:c r="R375" s="8" t="str">
        <x:v>模拟企业环境与有限任务组合；多时程执行不能自动外推长期真实部署。</x:v>
      </x:c>
      <x:c r="S375" s="8" t="str">
        <x:v>补充</x:v>
      </x:c>
      <x:c r="T375" s="22" t="str">
        <x:v>未分配</x:v>
      </x:c>
      <x:c r="U375" s="22" t="str"/>
      <x:c r="V375" s="22" t="str"/>
      <x:c r="W375" s="22" t="str"/>
      <x:c r="X375" s="8" t="str">
        <x:v>verified</x:v>
      </x:c>
      <x:c r="Y375" s="11" t="str"/>
      <x:c r="Z375" s="11" t="str"/>
      <x:c r="AA375" s="11" t="str">
        <x:v>https://arxiv.org/pdf/2602.14229</x:v>
      </x:c>
      <x:c r="AB375" s="11" t="str">
        <x:v>https://arxiv.org/abs/2602.14229</x:v>
      </x:c>
      <x:c r="AC375" s="8" t="str">
        <x:v>AIO-106</x:v>
      </x:c>
      <x:c r="AD375" s="8" t="str">
        <x:v>书目页、可得摘要与首页单位核验；未做全文精读。</x:v>
      </x:c>
      <x:c r="AE375" s="8" t="str"/>
      <x:c r="AF375" s="8" t="str">
        <x:v>按本综述6.1.1「任务构造策略」的写作用途归类；构建企业多任务环境，研究任务交织、依赖、优先级与持续状态管理。</x:v>
      </x:c>
      <x:c r="AG375" s="8" t="str">
        <x:v>persistent</x:v>
      </x:c>
      <x:c r="AH375" s="8" t="str">
        <x:v>task-environment-design,work-persistence,participant-coordination</x:v>
      </x:c>
      <x:c r="AI375" s="8" t="str"/>
      <x:c r="AJ375" s="8" t="str">
        <x:v>2026-10-16 AI Office survey bibliography</x:v>
      </x:c>
      <x:c r="AK375" s="13" t="d">
        <x:v>2026-10-16T00:00:00.000Z</x:v>
      </x:c>
      <x:c r="AL375" s="8" t="str">
        <x:v>从新增来源发现候选，正式题名、链接及单位以可得一手资料为准。</x:v>
      </x:c>
      <x:c r="AM375" s="8" t="str"/>
    </x:row>
    <x:row r="376" ht="68" customHeight="1">
      <x:c r="A376" s="8" t="str">
        <x:v>WA-0390</x:v>
      </x:c>
      <x:c r="B376" s="8" t="str">
        <x:v>StructGPT</x:v>
      </x:c>
      <x:c r="C376" s="8" t="str">
        <x:v>StructGPT: A General Framework for Large Language Model to Reason over Structured Data</x:v>
      </x:c>
      <x:c r="D376" s="9" t="n">
        <x:v>2023</x:v>
      </x:c>
      <x:c r="E376" s="8" t="str">
        <x:v>Renmin University of China; University of Electronic Science and Technology of China</x:v>
      </x:c>
      <x:c r="F376" s="21" t="str">
        <x:f>VLOOKUP(H376,'Taxonomy'!$A$6:$G$70,3,FALSE)</x:f>
        <x:v>基础：定义、工作条件与核心能力</x:v>
      </x:c>
      <x:c r="G376" s="21" t="str">
        <x:f>VLOOKUP(H376,'Taxonomy'!$A$6:$G$70,5,FALSE)</x:f>
        <x:v>五项核心能力</x:v>
      </x:c>
      <x:c r="H376" s="8" t="str">
        <x:v>2.3.2</x:v>
      </x:c>
      <x:c r="I376" s="21" t="str">
        <x:f>VLOOKUP(H376,'Taxonomy'!$A$6:$G$70,6,FALSE)</x:f>
        <x:v>推理与决策</x:v>
      </x:c>
      <x:c r="J376" s="8" t="str">
        <x:v>材料发现与证据定位;证据整合与推理;接口与观测优化</x:v>
      </x:c>
      <x:c r="K376" s="8" t="str">
        <x:v>感知与理解;推理与决策</x:v>
      </x:c>
      <x:c r="L376" s="8" t="str"/>
      <x:c r="M376" s="8" t="str">
        <x:v>接口与工具优化</x:v>
      </x:c>
      <x:c r="N376" s="8" t="str">
        <x:v>Method</x:v>
      </x:c>
      <x:c r="O376" s="11" t="str">
        <x:v>https://arxiv.org/abs/2305.09645</x:v>
      </x:c>
      <x:c r="P376" s="8" t="str">
        <x:v>通过迭代读取接口与推理处理表格、数据库和知识图谱等结构化数据。</x:v>
      </x:c>
      <x:c r="Q376" s="8" t="str">
        <x:v>用于2.3.2「推理与决策」：通过迭代读取接口与推理处理表格、数据库和知识图谱等结构化数据。</x:v>
      </x:c>
      <x:c r="R376" s="8" t="str">
        <x:v>支持论文所研究的规划、执行或反馈机制；跨环境可靠性仍需按原文实验设置判断。</x:v>
      </x:c>
      <x:c r="S376" s="8" t="str">
        <x:v>补充</x:v>
      </x:c>
      <x:c r="T376" s="22" t="str">
        <x:v>未分配</x:v>
      </x:c>
      <x:c r="U376" s="22" t="str"/>
      <x:c r="V376" s="22" t="str"/>
      <x:c r="W376" s="22" t="str"/>
      <x:c r="X376" s="8" t="str">
        <x:v>verified</x:v>
      </x:c>
      <x:c r="Y376" s="11" t="str"/>
      <x:c r="Z376" s="11" t="str"/>
      <x:c r="AA376" s="11" t="str">
        <x:v>https://arxiv.org/pdf/2305.09645</x:v>
      </x:c>
      <x:c r="AB376" s="11" t="str">
        <x:v>https://arxiv.org/abs/2305.09645</x:v>
      </x:c>
      <x:c r="AC376" s="8" t="str">
        <x:v>AIO-107</x:v>
      </x:c>
      <x:c r="AD376" s="8" t="str">
        <x:v>书目页、可得摘要与首页单位核验；未做全文精读。</x:v>
      </x:c>
      <x:c r="AE376" s="8" t="str"/>
      <x:c r="AF376" s="8" t="str">
        <x:v>按本综述2.3.2「推理与决策」的写作用途归类；通过迭代读取接口与推理处理表格、数据库和知识图谱等结构化数据。</x:v>
      </x:c>
      <x:c r="AG376" s="8" t="str">
        <x:v>tool-enterprise</x:v>
      </x:c>
      <x:c r="AH376" s="8" t="str">
        <x:v>evidence-discovery,evidence-reasoning,tool-interface</x:v>
      </x:c>
      <x:c r="AI376" s="8" t="str"/>
      <x:c r="AJ376" s="8" t="str">
        <x:v>2026-10-16 AI Office survey bibliography</x:v>
      </x:c>
      <x:c r="AK376" s="13" t="d">
        <x:v>2026-10-16T00:00:00.000Z</x:v>
      </x:c>
      <x:c r="AL376" s="8" t="str">
        <x:v>从新增来源发现候选，正式题名、链接及单位以可得一手资料为准。</x:v>
      </x:c>
      <x:c r="AM376" s="8" t="str"/>
    </x:row>
    <x:row r="377" ht="68" customHeight="1">
      <x:c r="A377" s="8" t="str">
        <x:v>WA-0391</x:v>
      </x:c>
      <x:c r="B377" s="8" t="str">
        <x:v>Shift to Agentic AI</x:v>
      </x:c>
      <x:c r="C377" s="8" t="str">
        <x:v>The Shift to Agentic AI: Evidence from Codex</x:v>
      </x:c>
      <x:c r="D377" s="9" t="n">
        <x:v>2026</x:v>
      </x:c>
      <x:c r="E377" s="8" t="str">
        <x:v>OpenAI; Columbia Business School; University of Pennsylvania; Duke University</x:v>
      </x:c>
      <x:c r="F377" s="21" t="str">
        <x:f>VLOOKUP(H377,'Taxonomy'!$A$6:$G$70,3,FALSE)</x:f>
        <x:v>前沿：下一代 Working Agents</x:v>
      </x:c>
      <x:c r="G377" s="21" t="str">
        <x:f>VLOOKUP(H377,'Taxonomy'!$A$6:$G$70,5,FALSE)</x:f>
        <x:v>以工作为中心的系统</x:v>
      </x:c>
      <x:c r="H377" s="8" t="str">
        <x:v>7.4.3</x:v>
      </x:c>
      <x:c r="I377" s="21" t="str">
        <x:f>VLOOKUP(H377,'Taxonomy'!$A$6:$G$70,6,FALSE)</x:f>
        <x:v>组织集成与经济价值</x:v>
      </x:c>
      <x:c r="J377" s="8" t="str">
        <x:v>组织协作与真实生产率;质量、时间成本与使用价值</x:v>
      </x:c>
      <x:c r="K377" s="8" t="str"/>
      <x:c r="L377" s="8" t="str"/>
      <x:c r="M377" s="8" t="str"/>
      <x:c r="N377" s="8" t="str">
        <x:v>Background</x:v>
      </x:c>
      <x:c r="O377" s="11" t="str">
        <x:v>https://arxiv.org/abs/2606.26959</x:v>
      </x:c>
      <x:c r="P377" s="8" t="str">
        <x:v>利用Codex使用数据分析智能体采用、并行委托与工作方式变化。</x:v>
      </x:c>
      <x:c r="Q377" s="8" t="str">
        <x:v>用于7.4.3「组织集成与经济价值」：利用Codex使用数据分析智能体采用、并行委托与工作方式变化。</x:v>
      </x:c>
      <x:c r="R377" s="8" t="str">
        <x:v>使用日志提供观察性证据；输出量、采用率或任务暴露不等于已证实的生产率因果效应。</x:v>
      </x:c>
      <x:c r="S377" s="8" t="str">
        <x:v>补充</x:v>
      </x:c>
      <x:c r="T377" s="22" t="str">
        <x:v>未分配</x:v>
      </x:c>
      <x:c r="U377" s="22" t="str"/>
      <x:c r="V377" s="22" t="str"/>
      <x:c r="W377" s="22" t="str"/>
      <x:c r="X377" s="8" t="str">
        <x:v>verified</x:v>
      </x:c>
      <x:c r="Y377" s="11" t="str"/>
      <x:c r="Z377" s="11" t="str"/>
      <x:c r="AA377" s="11" t="str">
        <x:v>https://arxiv.org/pdf/2606.26959</x:v>
      </x:c>
      <x:c r="AB377" s="11" t="str">
        <x:v>https://arxiv.org/abs/2606.26959</x:v>
      </x:c>
      <x:c r="AC377" s="8" t="str">
        <x:v>AIO-110</x:v>
      </x:c>
      <x:c r="AD377" s="8" t="str">
        <x:v>书目页、可得摘要与首页单位核验；未做全文精读。</x:v>
      </x:c>
      <x:c r="AE377" s="8" t="str"/>
      <x:c r="AF377" s="8" t="str">
        <x:v>按本综述7.4.3「组织集成与经济价值」的写作用途归类；利用Codex使用数据分析智能体采用、并行委托与工作方式变化。</x:v>
      </x:c>
      <x:c r="AG377" s="8" t="str">
        <x:v>related</x:v>
      </x:c>
      <x:c r="AH377" s="8" t="str">
        <x:v>organizational-productivity,quality-cost-value</x:v>
      </x:c>
      <x:c r="AI377" s="8" t="str"/>
      <x:c r="AJ377" s="8" t="str">
        <x:v>2026-10-16 AI Office survey bibliography</x:v>
      </x:c>
      <x:c r="AK377" s="13" t="d">
        <x:v>2026-10-16T00:00:00.000Z</x:v>
      </x:c>
      <x:c r="AL377" s="8" t="str">
        <x:v>从新增来源发现候选，正式题名、链接及单位以可得一手资料为准。</x:v>
      </x:c>
      <x:c r="AM377" s="8" t="str"/>
    </x:row>
    <x:row r="378" ht="68" customHeight="1">
      <x:c r="A378" s="8" t="str">
        <x:v>WA-0392</x:v>
      </x:c>
      <x:c r="B378" s="8" t="str">
        <x:v>Talk to Your Slides</x:v>
      </x:c>
      <x:c r="C378" s="8" t="str">
        <x:v>Talk to Your Slides: High-Efficiency Slide Editing via Language-Driven Structured Data Manipulation</x:v>
      </x:c>
      <x:c r="D378" s="9" t="n">
        <x:v>2025</x:v>
      </x:c>
      <x:c r="E378" s="8" t="str">
        <x:v>KAIST; Chung-Ang University</x:v>
      </x:c>
      <x:c r="F378" s="21" t="str">
        <x:f>VLOOKUP(H378,'Taxonomy'!$A$6:$G$70,3,FALSE)</x:f>
        <x:v>基础：定义、工作条件与核心能力</x:v>
      </x:c>
      <x:c r="G378" s="21" t="str">
        <x:f>VLOOKUP(H378,'Taxonomy'!$A$6:$G$70,5,FALSE)</x:f>
        <x:v>五项核心能力</x:v>
      </x:c>
      <x:c r="H378" s="8" t="str">
        <x:v>2.3.4</x:v>
      </x:c>
      <x:c r="I378" s="21" t="str">
        <x:f>VLOOKUP(H378,'Taxonomy'!$A$6:$G$70,6,FALSE)</x:f>
        <x:v>执行与状态管理</x:v>
      </x:c>
      <x:c r="J378" s="8" t="str">
        <x:v>原生工件生成与编辑;连续编辑与内容保持;接口与观测优化</x:v>
      </x:c>
      <x:c r="K378" s="8" t="str">
        <x:v>感知与理解;执行与状态管理</x:v>
      </x:c>
      <x:c r="L378" s="8" t="str">
        <x:v>5.3.1 接口与工具优化</x:v>
      </x:c>
      <x:c r="M378" s="8" t="str"/>
      <x:c r="N378" s="8" t="str">
        <x:v>Method</x:v>
      </x:c>
      <x:c r="O378" s="11" t="str">
        <x:v>https://arxiv.org/abs/2505.11604</x:v>
      </x:c>
      <x:c r="P378" s="8" t="str">
        <x:v>把幻灯片表示为结构化数据，再由自然语言驱动局部修改。</x:v>
      </x:c>
      <x:c r="Q378" s="8" t="str">
        <x:v>用于2.3.4「执行与状态管理」：把幻灯片表示为结构化数据，再由自然语言驱动局部修改。</x:v>
      </x:c>
      <x:c r="R378" s="8" t="str">
        <x:v>限于论文评估的成果类型与编辑操作；不能据单类工件结果推断完整业务工作流可靠性。</x:v>
      </x:c>
      <x:c r="S378" s="8" t="str">
        <x:v>补充</x:v>
      </x:c>
      <x:c r="T378" s="22" t="str">
        <x:v>未分配</x:v>
      </x:c>
      <x:c r="U378" s="22" t="str"/>
      <x:c r="V378" s="22" t="str"/>
      <x:c r="W378" s="22" t="str"/>
      <x:c r="X378" s="8" t="str">
        <x:v>verified</x:v>
      </x:c>
      <x:c r="Y378" s="11" t="str"/>
      <x:c r="Z378" s="11" t="str"/>
      <x:c r="AA378" s="11" t="str">
        <x:v>https://arxiv.org/pdf/2505.11604</x:v>
      </x:c>
      <x:c r="AB378" s="11" t="str">
        <x:v>https://arxiv.org/abs/2505.11604</x:v>
      </x:c>
      <x:c r="AC378" s="8" t="str">
        <x:v>AIO-112</x:v>
      </x:c>
      <x:c r="AD378" s="8" t="str">
        <x:v>书目页、可得摘要与首页单位核验；未做全文精读。</x:v>
      </x:c>
      <x:c r="AE378" s="8" t="str"/>
      <x:c r="AF378" s="8" t="str">
        <x:v>按本综述2.3.4「执行与状态管理」的写作用途归类；把幻灯片表示为结构化数据，再由自然语言驱动局部修改。</x:v>
      </x:c>
      <x:c r="AG378" s="8" t="str">
        <x:v>artifact</x:v>
      </x:c>
      <x:c r="AH378" s="8" t="str">
        <x:v>artifact-editing,continuous-editing,tool-interface</x:v>
      </x:c>
      <x:c r="AI378" s="8" t="str"/>
      <x:c r="AJ378" s="8" t="str">
        <x:v>2026-10-16 AI Office survey bibliography</x:v>
      </x:c>
      <x:c r="AK378" s="13" t="d">
        <x:v>2026-10-16T00:00:00.000Z</x:v>
      </x:c>
      <x:c r="AL378" s="8" t="str">
        <x:v>从新增来源发现候选，正式题名、链接及单位以可得一手资料为准。</x:v>
      </x:c>
      <x:c r="AM378" s="8" t="str"/>
    </x:row>
    <x:row r="379" ht="68" customHeight="1">
      <x:c r="A379" s="8" t="str">
        <x:v>WA-0393</x:v>
      </x:c>
      <x:c r="B379" s="8" t="str">
        <x:v>Scaling Laws</x:v>
      </x:c>
      <x:c r="C379" s="8" t="str">
        <x:v>Scaling Laws for Neural Language Models</x:v>
      </x:c>
      <x:c r="D379" s="9" t="n">
        <x:v>2020</x:v>
      </x:c>
      <x:c r="E379" s="8" t="str">
        <x:v>OpenAI; Johns Hopkins University</x:v>
      </x:c>
      <x:c r="F379" s="21" t="str">
        <x:f>VLOOKUP(H379,'Taxonomy'!$A$6:$G$70,3,FALSE)</x:f>
        <x:v>优化：从工作经验到系统能力</x:v>
      </x:c>
      <x:c r="G379" s="21" t="str">
        <x:f>VLOOKUP(H379,'Taxonomy'!$A$6:$G$70,5,FALSE)</x:f>
        <x:v>模型优化</x:v>
      </x:c>
      <x:c r="H379" s="8" t="str">
        <x:v>5.2.1</x:v>
      </x:c>
      <x:c r="I379" s="21" t="str">
        <x:f>VLOOKUP(H379,'Taxonomy'!$A$6:$G$70,6,FALSE)</x:f>
        <x:v>中期训练与监督微调</x:v>
      </x:c>
      <x:c r="J379" s="8" t="str">
        <x:v>模型参数学习;质量、时间成本与使用价值</x:v>
      </x:c>
      <x:c r="K379" s="8" t="str"/>
      <x:c r="L379" s="8" t="str"/>
      <x:c r="M379" s="8" t="str">
        <x:v>中期训练与监督微调</x:v>
      </x:c>
      <x:c r="N379" s="8" t="str">
        <x:v>Background</x:v>
      </x:c>
      <x:c r="O379" s="11" t="str">
        <x:v>https://arxiv.org/abs/2001.08361</x:v>
      </x:c>
      <x:c r="P379" s="8" t="str">
        <x:v>研究语言模型损失与参数、数据和训练计算之间的缩放关系。</x:v>
      </x:c>
      <x:c r="Q379" s="8" t="str">
        <x:v>用于5.2.1「中期训练与监督微调」：研究语言模型损失与参数、数据和训练计算之间的缩放关系。</x:v>
      </x:c>
      <x:c r="R379" s="8" t="str">
        <x:v>用于概念、训练或工作影响背景；不作为完整工作智能体已具备相应能力的直接证据。</x:v>
      </x:c>
      <x:c r="S379" s="8" t="str">
        <x:v>补充</x:v>
      </x:c>
      <x:c r="T379" s="22" t="str">
        <x:v>未分配</x:v>
      </x:c>
      <x:c r="U379" s="22" t="str"/>
      <x:c r="V379" s="22" t="str"/>
      <x:c r="W379" s="22" t="str"/>
      <x:c r="X379" s="8" t="str">
        <x:v>verified</x:v>
      </x:c>
      <x:c r="Y379" s="11" t="str"/>
      <x:c r="Z379" s="11" t="str"/>
      <x:c r="AA379" s="11" t="str">
        <x:v>https://arxiv.org/pdf/2001.08361</x:v>
      </x:c>
      <x:c r="AB379" s="11" t="str">
        <x:v>https://arxiv.org/abs/2001.08361</x:v>
      </x:c>
      <x:c r="AC379" s="8" t="str">
        <x:v>AIO-113</x:v>
      </x:c>
      <x:c r="AD379" s="8" t="str">
        <x:v>书目页、可得摘要与首页单位核验；未做全文精读。</x:v>
      </x:c>
      <x:c r="AE379" s="8" t="str"/>
      <x:c r="AF379" s="8" t="str">
        <x:v>按本综述5.2.1「中期训练与监督微调」的写作用途归类；研究语言模型损失与参数、数据和训练计算之间的缩放关系。</x:v>
      </x:c>
      <x:c r="AG379" s="8" t="str">
        <x:v>related</x:v>
      </x:c>
      <x:c r="AH379" s="8" t="str">
        <x:v>model-training,quality-cost-value</x:v>
      </x:c>
      <x:c r="AI379" s="8" t="str"/>
      <x:c r="AJ379" s="8" t="str">
        <x:v>2026-10-16 AI Office survey bibliography</x:v>
      </x:c>
      <x:c r="AK379" s="13" t="d">
        <x:v>2026-10-16T00:00:00.000Z</x:v>
      </x:c>
      <x:c r="AL379" s="8" t="str">
        <x:v>从新增来源发现候选，正式题名、链接及单位以可得一手资料为准。</x:v>
      </x:c>
      <x:c r="AM379" s="8" t="str"/>
    </x:row>
    <x:row r="380" ht="68" customHeight="1">
      <x:c r="A380" s="8" t="str">
        <x:v>WA-0394</x:v>
      </x:c>
      <x:c r="B380" s="8" t="str">
        <x:v>Prometheus</x:v>
      </x:c>
      <x:c r="C380" s="8" t="str">
        <x:v>Prometheus: Inducing Fine-grained Evaluation Capability in Language Models</x:v>
      </x:c>
      <x:c r="D380" s="9" t="n">
        <x:v>2023</x:v>
      </x:c>
      <x:c r="E380" s="8" t="str">
        <x:v>KAIST; NAVER AI Lab; NAVER Cloud; University of Washington; Massachusetts Institute of Technology</x:v>
      </x:c>
      <x:c r="F380" s="21" t="str">
        <x:f>VLOOKUP(H380,'Taxonomy'!$A$6:$G$70,3,FALSE)</x:f>
        <x:v>评估与资源：如何检验工作完成</x:v>
      </x:c>
      <x:c r="G380" s="21" t="str">
        <x:f>VLOOKUP(H380,'Taxonomy'!$A$6:$G$70,5,FALSE)</x:f>
        <x:v>评估方法</x:v>
      </x:c>
      <x:c r="H380" s="8" t="str">
        <x:v>6.2.2</x:v>
      </x:c>
      <x:c r="I380" s="21" t="str">
        <x:f>VLOOKUP(H380,'Taxonomy'!$A$6:$G$70,6,FALSE)</x:f>
        <x:v>评判程序</x:v>
      </x:c>
      <x:c r="J380" s="8" t="str">
        <x:v>标准、量规与裁判;模型参数学习</x:v>
      </x:c>
      <x:c r="K380" s="8" t="str">
        <x:v>验证、恢复与重新规划</x:v>
      </x:c>
      <x:c r="L380" s="8" t="str">
        <x:v>5.2.1 中期训练与监督微调</x:v>
      </x:c>
      <x:c r="M380" s="8" t="str"/>
      <x:c r="N380" s="8" t="str">
        <x:v>Method</x:v>
      </x:c>
      <x:c r="O380" s="11" t="str">
        <x:v>https://arxiv.org/abs/2310.08491</x:v>
      </x:c>
      <x:c r="P380" s="8" t="str">
        <x:v>训练可按细粒度量规提供反馈和评分的语言模型裁判。</x:v>
      </x:c>
      <x:c r="Q380" s="8" t="str">
        <x:v>用于6.2.2「评判程序」：训练可按细粒度量规提供反馈和评分的语言模型裁判。</x:v>
      </x:c>
      <x:c r="R380" s="8" t="str">
        <x:v>自动评分和量规受任务分布、裁判偏差与校准方式影响，不作为通用成果质量保证。</x:v>
      </x:c>
      <x:c r="S380" s="8" t="str">
        <x:v>补充</x:v>
      </x:c>
      <x:c r="T380" s="22" t="str">
        <x:v>未分配</x:v>
      </x:c>
      <x:c r="U380" s="22" t="str"/>
      <x:c r="V380" s="22" t="str"/>
      <x:c r="W380" s="22" t="str"/>
      <x:c r="X380" s="8" t="str">
        <x:v>verified</x:v>
      </x:c>
      <x:c r="Y380" s="11" t="str"/>
      <x:c r="Z380" s="11" t="str"/>
      <x:c r="AA380" s="11" t="str">
        <x:v>https://arxiv.org/pdf/2310.08491</x:v>
      </x:c>
      <x:c r="AB380" s="11" t="str">
        <x:v>https://arxiv.org/abs/2310.08491</x:v>
      </x:c>
      <x:c r="AC380" s="8" t="str">
        <x:v>AIO-114</x:v>
      </x:c>
      <x:c r="AD380" s="8" t="str">
        <x:v>书目页、可得摘要与首页单位核验；未做全文精读。</x:v>
      </x:c>
      <x:c r="AE380" s="8" t="str"/>
      <x:c r="AF380" s="8" t="str">
        <x:v>按本综述6.2.2「评判程序」的写作用途归类；训练可按细粒度量规提供反馈和评分的语言模型裁判。</x:v>
      </x:c>
      <x:c r="AG380" s="8" t="str">
        <x:v>verification</x:v>
      </x:c>
      <x:c r="AH380" s="8" t="str">
        <x:v>rubric-judging,model-training</x:v>
      </x:c>
      <x:c r="AI380" s="8" t="str"/>
      <x:c r="AJ380" s="8" t="str">
        <x:v>2026-10-16 AI Office survey bibliography</x:v>
      </x:c>
      <x:c r="AK380" s="13" t="d">
        <x:v>2026-10-16T00:00:00.000Z</x:v>
      </x:c>
      <x:c r="AL380" s="8" t="str">
        <x:v>从新增来源发现候选，正式题名、链接及单位以可得一手资料为准。</x:v>
      </x:c>
      <x:c r="AM380" s="8" t="str"/>
    </x:row>
    <x:row r="381" ht="68" customHeight="1">
      <x:c r="A381" s="8" t="str">
        <x:v>WA-0395</x:v>
      </x:c>
      <x:c r="B381" s="8" t="str">
        <x:v>RLAIF vs. RLHF</x:v>
      </x:c>
      <x:c r="C381" s="8" t="str">
        <x:v>RLAIF vs. RLHF: Scaling Reinforcement Learning from Human Feedback with AI Feedback</x:v>
      </x:c>
      <x:c r="D381" s="9" t="n">
        <x:v>2023</x:v>
      </x:c>
      <x:c r="E381" s="8" t="str">
        <x:v>Google DeepMind; Google</x:v>
      </x:c>
      <x:c r="F381" s="21" t="str">
        <x:f>VLOOKUP(H381,'Taxonomy'!$A$6:$G$70,3,FALSE)</x:f>
        <x:v>优化：从工作经验到系统能力</x:v>
      </x:c>
      <x:c r="G381" s="21" t="str">
        <x:f>VLOOKUP(H381,'Taxonomy'!$A$6:$G$70,5,FALSE)</x:f>
        <x:v>训练环境、数据与奖励</x:v>
      </x:c>
      <x:c r="H381" s="8" t="str">
        <x:v>5.1.3</x:v>
      </x:c>
      <x:c r="I381" s="21" t="str">
        <x:f>VLOOKUP(H381,'Taxonomy'!$A$6:$G$70,6,FALSE)</x:f>
        <x:v>奖励与验证信号</x:v>
      </x:c>
      <x:c r="J381" s="8" t="str">
        <x:v>训练奖励与可验证信号;模型参数学习</x:v>
      </x:c>
      <x:c r="K381" s="8" t="str"/>
      <x:c r="L381" s="8" t="str">
        <x:v>5.2.2 智能体强化学习</x:v>
      </x:c>
      <x:c r="M381" s="8" t="str"/>
      <x:c r="N381" s="8" t="str">
        <x:v>Method</x:v>
      </x:c>
      <x:c r="O381" s="11" t="str">
        <x:v>https://arxiv.org/abs/2309.00267</x:v>
      </x:c>
      <x:c r="P381" s="8" t="str">
        <x:v>比较AI反馈与人类反馈用于奖励学习和策略优化的效果。</x:v>
      </x:c>
      <x:c r="Q381" s="8" t="str">
        <x:v>用于5.1.3「奖励与验证信号」：比较AI反馈与人类反馈用于奖励学习和策略优化的效果。</x:v>
      </x:c>
      <x:c r="R381" s="8" t="str">
        <x:v>支持论文所研究的规划、执行或反馈机制；跨环境可靠性仍需按原文实验设置判断。</x:v>
      </x:c>
      <x:c r="S381" s="8" t="str">
        <x:v>补充</x:v>
      </x:c>
      <x:c r="T381" s="22" t="str">
        <x:v>未分配</x:v>
      </x:c>
      <x:c r="U381" s="22" t="str"/>
      <x:c r="V381" s="22" t="str"/>
      <x:c r="W381" s="22" t="str"/>
      <x:c r="X381" s="8" t="str">
        <x:v>verified</x:v>
      </x:c>
      <x:c r="Y381" s="11" t="str"/>
      <x:c r="Z381" s="11" t="str"/>
      <x:c r="AA381" s="11" t="str">
        <x:v>https://arxiv.org/pdf/2309.00267</x:v>
      </x:c>
      <x:c r="AB381" s="11" t="str">
        <x:v>https://arxiv.org/abs/2309.00267</x:v>
      </x:c>
      <x:c r="AC381" s="8" t="str">
        <x:v>AIO-122</x:v>
      </x:c>
      <x:c r="AD381" s="8" t="str">
        <x:v>书目页、可得摘要与首页单位核验；未做全文精读。</x:v>
      </x:c>
      <x:c r="AE381" s="8" t="str"/>
      <x:c r="AF381" s="8" t="str">
        <x:v>按本综述5.1.3「奖励与验证信号」的写作用途归类；比较AI反馈与人类反馈用于奖励学习和策略优化的效果。</x:v>
      </x:c>
      <x:c r="AG381" s="8" t="str">
        <x:v>harness</x:v>
      </x:c>
      <x:c r="AH381" s="8" t="str">
        <x:v>reward-verification,model-training</x:v>
      </x:c>
      <x:c r="AI381" s="8" t="str"/>
      <x:c r="AJ381" s="8" t="str">
        <x:v>2026-10-16 AI Office survey bibliography</x:v>
      </x:c>
      <x:c r="AK381" s="13" t="d">
        <x:v>2026-10-16T00:00:00.000Z</x:v>
      </x:c>
      <x:c r="AL381" s="8" t="str">
        <x:v>从新增来源发现候选，正式题名、链接及单位以可得一手资料为准。</x:v>
      </x:c>
      <x:c r="AM381" s="8" t="str"/>
    </x:row>
    <x:row r="382" ht="82" customHeight="1">
      <x:c r="A382" s="8" t="str">
        <x:v>WA-0396</x:v>
      </x:c>
      <x:c r="B382" s="8" t="str">
        <x:v>BIRD</x:v>
      </x:c>
      <x:c r="C382" s="8" t="str">
        <x:v>Can LLM Already Serve as A Database Interface? A BIg Bench for Large-Scale Database Grounded Text-to-SQLs</x:v>
      </x:c>
      <x:c r="D382" s="9" t="n">
        <x:v>2023</x:v>
      </x:c>
      <x:c r="E382" s="8" t="str">
        <x:v>The University of Hong Kong; Alibaba DAMO Academy; Tsinghua University; Shanghai AI Laboratory; Massachusetts Institute of Technology; The Chinese University of Hong Kong, Shenzhen; University of Illinois Urbana-Champaign</x:v>
      </x:c>
      <x:c r="F382" s="21" t="str">
        <x:f>VLOOKUP(H382,'Taxonomy'!$A$6:$G$70,3,FALSE)</x:f>
        <x:v>评估与资源：如何检验工作完成</x:v>
      </x:c>
      <x:c r="G382" s="21" t="str">
        <x:f>VLOOKUP(H382,'Taxonomy'!$A$6:$G$70,5,FALSE)</x:f>
        <x:v>基准与任务构造</x:v>
      </x:c>
      <x:c r="H382" s="8" t="str">
        <x:v>6.1.2</x:v>
      </x:c>
      <x:c r="I382" s="21" t="str">
        <x:f>VLOOKUP(H382,'Taxonomy'!$A$6:$G$70,6,FALSE)</x:f>
        <x:v>领域覆盖与工作要求</x:v>
      </x:c>
      <x:c r="J382" s="8" t="str">
        <x:v>任务覆盖与泛化边界;证据整合与推理</x:v>
      </x:c>
      <x:c r="K382" s="8" t="str">
        <x:v>感知与理解;推理与决策</x:v>
      </x:c>
      <x:c r="L382" s="8" t="str">
        <x:v>2.3.2 推理与决策</x:v>
      </x:c>
      <x:c r="M382" s="8" t="str"/>
      <x:c r="N382" s="8" t="str">
        <x:v>Benchmark</x:v>
      </x:c>
      <x:c r="O382" s="11" t="str">
        <x:v>https://arxiv.org/abs/2305.03111</x:v>
      </x:c>
      <x:c r="P382" s="8" t="str">
        <x:v>以真实数据库、外部知识和数据库值理解评估text-to-SQL。</x:v>
      </x:c>
      <x:c r="Q382" s="8" t="str">
        <x:v>用于6.1.2「领域覆盖与工作要求」：以真实数据库、外部知识和数据库值理解评估text-to-SQL。</x:v>
      </x:c>
      <x:c r="R382" s="8" t="str">
        <x:v>按该评测的任务、接口与验收协议解释；能力标签表示任务需求，不是模型已经具备该能力。</x:v>
      </x:c>
      <x:c r="S382" s="8" t="str">
        <x:v>补充</x:v>
      </x:c>
      <x:c r="T382" s="22" t="str">
        <x:v>未分配</x:v>
      </x:c>
      <x:c r="U382" s="22" t="str"/>
      <x:c r="V382" s="22" t="str"/>
      <x:c r="W382" s="22" t="str"/>
      <x:c r="X382" s="8" t="str">
        <x:v>verified</x:v>
      </x:c>
      <x:c r="Y382" s="11" t="str"/>
      <x:c r="Z382" s="11" t="str"/>
      <x:c r="AA382" s="11" t="str">
        <x:v>https://arxiv.org/pdf/2305.03111</x:v>
      </x:c>
      <x:c r="AB382" s="11" t="str">
        <x:v>https://arxiv.org/abs/2305.03111</x:v>
      </x:c>
      <x:c r="AC382" s="8" t="str">
        <x:v>AIO-126</x:v>
      </x:c>
      <x:c r="AD382" s="8" t="str">
        <x:v>书目页、可得摘要与首页单位核验；未做全文精读。</x:v>
      </x:c>
      <x:c r="AE382" s="8" t="str"/>
      <x:c r="AF382" s="8" t="str">
        <x:v>按本综述6.1.2「领域覆盖与工作要求」的写作用途归类；以真实数据库、外部知识和数据库值理解评估text-to-SQL。</x:v>
      </x:c>
      <x:c r="AG382" s="8" t="str">
        <x:v>workspace</x:v>
      </x:c>
      <x:c r="AH382" s="8" t="str">
        <x:v>coverage-work-requirements,evidence-reasoning</x:v>
      </x:c>
      <x:c r="AI382" s="8" t="str"/>
      <x:c r="AJ382" s="8" t="str">
        <x:v>2026-10-16 AI Office survey bibliography</x:v>
      </x:c>
      <x:c r="AK382" s="13" t="d">
        <x:v>2026-10-16T00:00:00.000Z</x:v>
      </x:c>
      <x:c r="AL382" s="8" t="str">
        <x:v>从新增来源发现候选，正式题名、链接及单位以可得一手资料为准。</x:v>
      </x:c>
      <x:c r="AM382" s="8" t="str"/>
    </x:row>
    <x:row r="383" ht="68" customHeight="1">
      <x:c r="A383" s="8" t="str">
        <x:v>WA-0397</x:v>
      </x:c>
      <x:c r="B383" s="8" t="str">
        <x:v>Auto-Tables</x:v>
      </x:c>
      <x:c r="C383" s="8" t="str">
        <x:v>Auto-Tables: Synthesizing Multi-Step Transformations to Relationalize Tables without Using Examples</x:v>
      </x:c>
      <x:c r="D383" s="9" t="n">
        <x:v>2023</x:v>
      </x:c>
      <x:c r="E383" s="8" t="str">
        <x:v>Georgia Institute of Technology; Microsoft Research</x:v>
      </x:c>
      <x:c r="F383" s="21" t="str">
        <x:f>VLOOKUP(H383,'Taxonomy'!$A$6:$G$70,3,FALSE)</x:f>
        <x:v>基础：定义、工作条件与核心能力</x:v>
      </x:c>
      <x:c r="G383" s="21" t="str">
        <x:f>VLOOKUP(H383,'Taxonomy'!$A$6:$G$70,5,FALSE)</x:f>
        <x:v>五项核心能力</x:v>
      </x:c>
      <x:c r="H383" s="8" t="str">
        <x:v>2.3.4</x:v>
      </x:c>
      <x:c r="I383" s="21" t="str">
        <x:f>VLOOKUP(H383,'Taxonomy'!$A$6:$G$70,6,FALSE)</x:f>
        <x:v>执行与状态管理</x:v>
      </x:c>
      <x:c r="J383" s="8" t="str">
        <x:v>原生工件生成与编辑;任务分解与行动依赖</x:v>
      </x:c>
      <x:c r="K383" s="8" t="str">
        <x:v>规划与协调;执行与状态管理</x:v>
      </x:c>
      <x:c r="L383" s="8" t="str">
        <x:v>2.3.3 规划与协调</x:v>
      </x:c>
      <x:c r="M383" s="8" t="str"/>
      <x:c r="N383" s="8" t="str">
        <x:v>Method</x:v>
      </x:c>
      <x:c r="O383" s="11" t="str">
        <x:v>https://arxiv.org/abs/2307.14565</x:v>
      </x:c>
      <x:c r="P383" s="8" t="str">
        <x:v>合成多步转换，把非关系形态的表格整理为关系表。</x:v>
      </x:c>
      <x:c r="Q383" s="8" t="str">
        <x:v>用于2.3.4「执行与状态管理」：合成多步转换，把非关系形态的表格整理为关系表。</x:v>
      </x:c>
      <x:c r="R383" s="8" t="str">
        <x:v>限于论文评估的成果类型与编辑操作；不能据单类工件结果推断完整业务工作流可靠性。</x:v>
      </x:c>
      <x:c r="S383" s="8" t="str">
        <x:v>补充</x:v>
      </x:c>
      <x:c r="T383" s="22" t="str">
        <x:v>未分配</x:v>
      </x:c>
      <x:c r="U383" s="22" t="str"/>
      <x:c r="V383" s="22" t="str"/>
      <x:c r="W383" s="22" t="str"/>
      <x:c r="X383" s="8" t="str">
        <x:v>verified</x:v>
      </x:c>
      <x:c r="Y383" s="11" t="str"/>
      <x:c r="Z383" s="11" t="str"/>
      <x:c r="AA383" s="11" t="str">
        <x:v>https://arxiv.org/pdf/2307.14565</x:v>
      </x:c>
      <x:c r="AB383" s="11" t="str">
        <x:v>https://arxiv.org/abs/2307.14565</x:v>
      </x:c>
      <x:c r="AC383" s="8" t="str">
        <x:v>AIO-127</x:v>
      </x:c>
      <x:c r="AD383" s="8" t="str">
        <x:v>书目页、可得摘要与首页单位核验；未做全文精读。</x:v>
      </x:c>
      <x:c r="AE383" s="8" t="str"/>
      <x:c r="AF383" s="8" t="str">
        <x:v>按本综述2.3.4「执行与状态管理」的写作用途归类；合成多步转换，把非关系形态的表格整理为关系表。</x:v>
      </x:c>
      <x:c r="AG383" s="8" t="str">
        <x:v>artifact</x:v>
      </x:c>
      <x:c r="AH383" s="8" t="str">
        <x:v>artifact-editing,planning-dependencies</x:v>
      </x:c>
      <x:c r="AI383" s="8" t="str"/>
      <x:c r="AJ383" s="8" t="str">
        <x:v>2026-10-16 AI Office survey bibliography</x:v>
      </x:c>
      <x:c r="AK383" s="13" t="d">
        <x:v>2026-10-16T00:00:00.000Z</x:v>
      </x:c>
      <x:c r="AL383" s="8" t="str">
        <x:v>从新增来源发现候选，正式题名、链接及单位以可得一手资料为准。</x:v>
      </x:c>
      <x:c r="AM383" s="8" t="str"/>
    </x:row>
    <x:row r="384" ht="68" customHeight="1">
      <x:c r="A384" s="8" t="str">
        <x:v>WA-0398</x:v>
      </x:c>
      <x:c r="B384" s="8" t="str">
        <x:v>Table-GPT</x:v>
      </x:c>
      <x:c r="C384" s="8" t="str">
        <x:v>Table-GPT: Table-tuned GPT for Diverse Table Tasks</x:v>
      </x:c>
      <x:c r="D384" s="9" t="n">
        <x:v>2023</x:v>
      </x:c>
      <x:c r="E384" s="8" t="str">
        <x:v>Microsoft; Georgia Institute of Technology</x:v>
      </x:c>
      <x:c r="F384" s="21" t="str">
        <x:f>VLOOKUP(H384,'Taxonomy'!$A$6:$G$70,3,FALSE)</x:f>
        <x:v>优化：从工作经验到系统能力</x:v>
      </x:c>
      <x:c r="G384" s="21" t="str">
        <x:f>VLOOKUP(H384,'Taxonomy'!$A$6:$G$70,5,FALSE)</x:f>
        <x:v>模型优化</x:v>
      </x:c>
      <x:c r="H384" s="8" t="str">
        <x:v>5.2.1</x:v>
      </x:c>
      <x:c r="I384" s="21" t="str">
        <x:f>VLOOKUP(H384,'Taxonomy'!$A$6:$G$70,6,FALSE)</x:f>
        <x:v>中期训练与监督微调</x:v>
      </x:c>
      <x:c r="J384" s="8" t="str">
        <x:v>模型参数学习;对象结构、模态与语义</x:v>
      </x:c>
      <x:c r="K384" s="8" t="str">
        <x:v>感知与理解;推理与决策</x:v>
      </x:c>
      <x:c r="L384" s="8" t="str">
        <x:v>2.3.1 感知与理解</x:v>
      </x:c>
      <x:c r="M384" s="8" t="str">
        <x:v>中期训练与监督微调</x:v>
      </x:c>
      <x:c r="N384" s="8" t="str">
        <x:v>Method</x:v>
      </x:c>
      <x:c r="O384" s="11" t="str">
        <x:v>https://arxiv.org/abs/2310.09263</x:v>
      </x:c>
      <x:c r="P384" s="8" t="str">
        <x:v>利用多种表格任务微调语言模型以改善表格操作与理解泛化。</x:v>
      </x:c>
      <x:c r="Q384" s="8" t="str">
        <x:v>用于5.2.1「中期训练与监督微调」：利用多种表格任务微调语言模型以改善表格操作与理解泛化。</x:v>
      </x:c>
      <x:c r="R384" s="8" t="str">
        <x:v>理解、问答或表示能力是工作智能体的组成部分，不等同于可编辑文件生成、跨文件一致性或端到端验收。</x:v>
      </x:c>
      <x:c r="S384" s="8" t="str">
        <x:v>补充</x:v>
      </x:c>
      <x:c r="T384" s="22" t="str">
        <x:v>未分配</x:v>
      </x:c>
      <x:c r="U384" s="22" t="str"/>
      <x:c r="V384" s="22" t="str"/>
      <x:c r="W384" s="22" t="str"/>
      <x:c r="X384" s="8" t="str">
        <x:v>verified</x:v>
      </x:c>
      <x:c r="Y384" s="11" t="str"/>
      <x:c r="Z384" s="11" t="str"/>
      <x:c r="AA384" s="11" t="str">
        <x:v>https://arxiv.org/pdf/2310.09263</x:v>
      </x:c>
      <x:c r="AB384" s="11" t="str">
        <x:v>https://arxiv.org/abs/2310.09263</x:v>
      </x:c>
      <x:c r="AC384" s="8" t="str">
        <x:v>AIO-128</x:v>
      </x:c>
      <x:c r="AD384" s="8" t="str">
        <x:v>书目页、可得摘要与首页单位核验；未做全文精读。</x:v>
      </x:c>
      <x:c r="AE384" s="8" t="str"/>
      <x:c r="AF384" s="8" t="str">
        <x:v>按本综述5.2.1「中期训练与监督微调」的写作用途归类；利用多种表格任务微调语言模型以改善表格操作与理解泛化。</x:v>
      </x:c>
      <x:c r="AG384" s="8" t="str">
        <x:v>harness</x:v>
      </x:c>
      <x:c r="AH384" s="8" t="str">
        <x:v>model-training,object-semantics</x:v>
      </x:c>
      <x:c r="AI384" s="8" t="str"/>
      <x:c r="AJ384" s="8" t="str">
        <x:v>2026-10-16 AI Office survey bibliography</x:v>
      </x:c>
      <x:c r="AK384" s="13" t="d">
        <x:v>2026-10-16T00:00:00.000Z</x:v>
      </x:c>
      <x:c r="AL384" s="8" t="str">
        <x:v>从新增来源发现候选，正式题名、链接及单位以可得一手资料为准。</x:v>
      </x:c>
      <x:c r="AM384" s="8" t="str"/>
    </x:row>
    <x:row r="385" ht="68" customHeight="1">
      <x:c r="A385" s="8" t="str">
        <x:v>WA-0399</x:v>
      </x:c>
      <x:c r="B385" s="8" t="str">
        <x:v>DART-GUI</x:v>
      </x:c>
      <x:c r="C385" s="8" t="str">
        <x:v>Efficient Multi-turn RL for GUI Agents via Decoupled Training and Adaptive Data Curation</x:v>
      </x:c>
      <x:c r="D385" s="9" t="n">
        <x:v>2025</x:v>
      </x:c>
      <x:c r="E385" s="8" t="str">
        <x:v>Beijing Institute of Technology; BIGAI; DataCanvas; Beijing University of Posts and Telecommunications; Shenzhen MSU-BIT University</x:v>
      </x:c>
      <x:c r="F385" s="21" t="str">
        <x:f>VLOOKUP(H385,'Taxonomy'!$A$6:$G$70,3,FALSE)</x:f>
        <x:v>优化：从工作经验到系统能力</x:v>
      </x:c>
      <x:c r="G385" s="21" t="str">
        <x:f>VLOOKUP(H385,'Taxonomy'!$A$6:$G$70,5,FALSE)</x:f>
        <x:v>模型优化</x:v>
      </x:c>
      <x:c r="H385" s="8" t="str">
        <x:v>5.2.2</x:v>
      </x:c>
      <x:c r="I385" s="21" t="str">
        <x:f>VLOOKUP(H385,'Taxonomy'!$A$6:$G$70,6,FALSE)</x:f>
        <x:v>智能体强化学习</x:v>
      </x:c>
      <x:c r="J385" s="8" t="str">
        <x:v>模型参数学习;轨迹采集与策划;异步与并行执行</x:v>
      </x:c>
      <x:c r="K385" s="8" t="str">
        <x:v>执行与状态管理</x:v>
      </x:c>
      <x:c r="L385" s="8" t="str">
        <x:v>5.1.2 轨迹采集与筛选;7.1.3 可扩展执行基础设施</x:v>
      </x:c>
      <x:c r="M385" s="8" t="str">
        <x:v>智能体强化学习;轨迹收集与筛选</x:v>
      </x:c>
      <x:c r="N385" s="8" t="str">
        <x:v>Method</x:v>
      </x:c>
      <x:c r="O385" s="11" t="str">
        <x:v>https://arxiv.org/abs/2509.23866</x:v>
      </x:c>
      <x:c r="P385" s="8" t="str">
        <x:v>分离GUI强化学习的环境、采样、数据与训练服务，并动态策划轨迹。</x:v>
      </x:c>
      <x:c r="Q385" s="8" t="str">
        <x:v>用于5.2.2「智能体强化学习」：分离GUI强化学习的环境、采样、数据与训练服务，并动态策划轨迹。</x:v>
      </x:c>
      <x:c r="R385" s="8" t="str">
        <x:v>支持论文所研究的规划、执行或反馈机制；跨环境可靠性仍需按原文实验设置判断。</x:v>
      </x:c>
      <x:c r="S385" s="8" t="str">
        <x:v>补充</x:v>
      </x:c>
      <x:c r="T385" s="22" t="str">
        <x:v>未分配</x:v>
      </x:c>
      <x:c r="U385" s="22" t="str"/>
      <x:c r="V385" s="22" t="str"/>
      <x:c r="W385" s="22" t="str"/>
      <x:c r="X385" s="8" t="str">
        <x:v>verified</x:v>
      </x:c>
      <x:c r="Y385" s="11" t="str"/>
      <x:c r="Z385" s="11" t="str"/>
      <x:c r="AA385" s="11" t="str">
        <x:v>https://arxiv.org/pdf/2509.23866</x:v>
      </x:c>
      <x:c r="AB385" s="11" t="str">
        <x:v>https://arxiv.org/abs/2509.23866</x:v>
      </x:c>
      <x:c r="AC385" s="8" t="str">
        <x:v>AIO-129</x:v>
      </x:c>
      <x:c r="AD385" s="8" t="str">
        <x:v>书目页、可得摘要与首页单位核验；未做全文精读。</x:v>
      </x:c>
      <x:c r="AE385" s="8" t="str"/>
      <x:c r="AF385" s="8" t="str">
        <x:v>按本综述5.2.2「智能体强化学习」的写作用途归类；分离GUI强化学习的环境、采样、数据与训练服务，并动态策划轨迹。</x:v>
      </x:c>
      <x:c r="AG385" s="8" t="str">
        <x:v>harness</x:v>
      </x:c>
      <x:c r="AH385" s="8" t="str">
        <x:v>model-training,trajectory-curation,asynchronous-execution</x:v>
      </x:c>
      <x:c r="AI385" s="8" t="str"/>
      <x:c r="AJ385" s="8" t="str">
        <x:v>2026-10-16 AI Office survey bibliography</x:v>
      </x:c>
      <x:c r="AK385" s="13" t="d">
        <x:v>2026-10-16T00:00:00.000Z</x:v>
      </x:c>
      <x:c r="AL385" s="8" t="str">
        <x:v>从新增来源发现候选，正式题名、链接及单位以可得一手资料为准。</x:v>
      </x:c>
      <x:c r="AM385" s="8" t="str"/>
    </x:row>
    <x:row r="386" ht="68" customHeight="1">
      <x:c r="A386" s="8" t="str">
        <x:v>WA-0400</x:v>
      </x:c>
      <x:c r="B386" s="8" t="str">
        <x:v>SkillsBench</x:v>
      </x:c>
      <x:c r="C386" s="8" t="str">
        <x:v>SkillsBench: Benchmarking How Well Agent Skills Work Across Diverse Tasks</x:v>
      </x:c>
      <x:c r="D386" s="9" t="n">
        <x:v>2026</x:v>
      </x:c>
      <x:c r="E386" s="8" t="str"/>
      <x:c r="F386" s="21" t="str">
        <x:f>VLOOKUP(H386,'Taxonomy'!$A$6:$G$70,3,FALSE)</x:f>
        <x:v>评估与资源：如何检验工作完成</x:v>
      </x:c>
      <x:c r="G386" s="21" t="str">
        <x:f>VLOOKUP(H386,'Taxonomy'!$A$6:$G$70,5,FALSE)</x:f>
        <x:v>基准与任务构造</x:v>
      </x:c>
      <x:c r="H386" s="8" t="str">
        <x:v>6.1.2</x:v>
      </x:c>
      <x:c r="I386" s="21" t="str">
        <x:f>VLOOKUP(H386,'Taxonomy'!$A$6:$G$70,6,FALSE)</x:f>
        <x:v>领域覆盖与工作要求</x:v>
      </x:c>
      <x:c r="J386" s="8" t="str">
        <x:v>任务覆盖与泛化边界;经验记忆与技能优化</x:v>
      </x:c>
      <x:c r="K386" s="8" t="str">
        <x:v>推理与决策;规划与协调;执行与状态管理;验证、恢复与重新规划</x:v>
      </x:c>
      <x:c r="L386" s="8" t="str">
        <x:v>5.3.3 记忆与技能优化</x:v>
      </x:c>
      <x:c r="M386" s="8" t="str"/>
      <x:c r="N386" s="8" t="str">
        <x:v>Benchmark</x:v>
      </x:c>
      <x:c r="O386" s="11" t="str">
        <x:v>https://arxiv.org/abs/2602.12670</x:v>
      </x:c>
      <x:c r="P386" s="8" t="str">
        <x:v>评估技能文件在多种真实任务上对智能体表现的影响。</x:v>
      </x:c>
      <x:c r="Q386" s="8" t="str">
        <x:v>用于6.1.2「领域覆盖与工作要求」：评估技能文件在多种真实任务上对智能体表现的影响。</x:v>
      </x:c>
      <x:c r="R386" s="8" t="str">
        <x:v>按该评测的任务、接口与验收协议解释；能力标签表示任务需求，不是模型已经具备该能力。</x:v>
      </x:c>
      <x:c r="S386" s="8" t="str">
        <x:v>补充</x:v>
      </x:c>
      <x:c r="T386" s="22" t="str">
        <x:v>未分配</x:v>
      </x:c>
      <x:c r="U386" s="22" t="str"/>
      <x:c r="V386" s="22" t="str"/>
      <x:c r="W386" s="22" t="str"/>
      <x:c r="X386" s="8" t="str">
        <x:v>metadata-only</x:v>
      </x:c>
      <x:c r="Y386" s="11" t="str"/>
      <x:c r="Z386" s="11" t="str"/>
      <x:c r="AA386" s="11" t="str">
        <x:v>https://arxiv.org/pdf/2602.12670</x:v>
      </x:c>
      <x:c r="AB386" s="11" t="str">
        <x:v>https://arxiv.org/abs/2602.12670</x:v>
      </x:c>
      <x:c r="AC386" s="8" t="str">
        <x:v>AIO-130</x:v>
      </x:c>
      <x:c r="AD386" s="8" t="str">
        <x:v>书目页、可得摘要与首页单位核验；未做全文精读。</x:v>
      </x:c>
      <x:c r="AE386" s="8" t="str"/>
      <x:c r="AF386" s="8" t="str">
        <x:v>按本综述6.1.2「领域覆盖与工作要求」的写作用途归类；评估技能文件在多种真实任务上对智能体表现的影响。</x:v>
      </x:c>
      <x:c r="AG386" s="8" t="str">
        <x:v>workspace</x:v>
      </x:c>
      <x:c r="AH386" s="8" t="str">
        <x:v>coverage-work-requirements,memory-skill</x:v>
      </x:c>
      <x:c r="AI386" s="8" t="str"/>
      <x:c r="AJ386" s="8" t="str">
        <x:v>2026-10-16 AI Office survey bibliography</x:v>
      </x:c>
      <x:c r="AK386" s="13" t="d">
        <x:v>2026-10-16T00:00:00.000Z</x:v>
      </x:c>
      <x:c r="AL386" s="8" t="str">
        <x:v>从新增来源发现候选，正式题名、链接及单位以可得一手资料为准。首页主要为作者和示意图，未完整提取单位，不能把图中模型提供方当作者机构。</x:v>
      </x:c>
      <x:c r="AM386" s="8" t="str"/>
    </x:row>
    <x:row r="387" ht="68" customHeight="1">
      <x:c r="A387" s="8" t="str">
        <x:v>WA-0401</x:v>
      </x:c>
      <x:c r="B387" s="8" t="str">
        <x:v>ComplexMCP</x:v>
      </x:c>
      <x:c r="C387" s="8" t="str">
        <x:v>ComplexMCP: Evaluation of LLM Agents in Dynamic, Interdependent, and Large-Scale Tool Sandbox</x:v>
      </x:c>
      <x:c r="D387" s="9" t="n">
        <x:v>2026</x:v>
      </x:c>
      <x:c r="E387" s="8" t="str">
        <x:v>Zhejiang University; Zhejiang Lab; Alibaba Group</x:v>
      </x:c>
      <x:c r="F387" s="21" t="str">
        <x:f>VLOOKUP(H387,'Taxonomy'!$A$6:$G$70,3,FALSE)</x:f>
        <x:v>评估与资源：如何检验工作完成</x:v>
      </x:c>
      <x:c r="G387" s="21" t="str">
        <x:f>VLOOKUP(H387,'Taxonomy'!$A$6:$G$70,5,FALSE)</x:f>
        <x:v>基准与任务构造</x:v>
      </x:c>
      <x:c r="H387" s="8" t="str">
        <x:v>6.1.1</x:v>
      </x:c>
      <x:c r="I387" s="21" t="str">
        <x:f>VLOOKUP(H387,'Taxonomy'!$A$6:$G$70,6,FALSE)</x:f>
        <x:v>任务构造策略</x:v>
      </x:c>
      <x:c r="J387" s="8" t="str">
        <x:v>任务、环境与扰动构造;工具、界面与应用执行;任务分解与行动依赖</x:v>
      </x:c>
      <x:c r="K387" s="8" t="str">
        <x:v>推理与决策;规划与协调;执行与状态管理;验证、恢复与重新规划</x:v>
      </x:c>
      <x:c r="L387" s="8" t="str">
        <x:v>2.2.2 工作开放性;2.3.3 规划与协调</x:v>
      </x:c>
      <x:c r="M387" s="8" t="str"/>
      <x:c r="N387" s="8" t="str">
        <x:v>Benchmark</x:v>
      </x:c>
      <x:c r="O387" s="11" t="str">
        <x:v>https://arxiv.org/abs/2605.10787</x:v>
      </x:c>
      <x:c r="P387" s="8" t="str">
        <x:v>用动态、相互依赖且大规模的工具沙箱评估工具智能体。</x:v>
      </x:c>
      <x:c r="Q387" s="8" t="str">
        <x:v>用于6.1.1「任务构造策略」：用动态、相互依赖且大规模的工具沙箱评估工具智能体。</x:v>
      </x:c>
      <x:c r="R387" s="8" t="str">
        <x:v>按该评测的任务、接口与验收协议解释；能力标签表示任务需求，不是模型已经具备该能力。</x:v>
      </x:c>
      <x:c r="S387" s="8" t="str">
        <x:v>补充</x:v>
      </x:c>
      <x:c r="T387" s="22" t="str">
        <x:v>未分配</x:v>
      </x:c>
      <x:c r="U387" s="22" t="str"/>
      <x:c r="V387" s="22" t="str"/>
      <x:c r="W387" s="22" t="str"/>
      <x:c r="X387" s="8" t="str">
        <x:v>verified</x:v>
      </x:c>
      <x:c r="Y387" s="11" t="str"/>
      <x:c r="Z387" s="11" t="str"/>
      <x:c r="AA387" s="11" t="str">
        <x:v>https://arxiv.org/pdf/2605.10787</x:v>
      </x:c>
      <x:c r="AB387" s="11" t="str">
        <x:v>https://arxiv.org/abs/2605.10787</x:v>
      </x:c>
      <x:c r="AC387" s="8" t="str">
        <x:v>AIO-132</x:v>
      </x:c>
      <x:c r="AD387" s="8" t="str">
        <x:v>书目页、可得摘要与首页单位核验；未做全文精读。</x:v>
      </x:c>
      <x:c r="AE387" s="8" t="str"/>
      <x:c r="AF387" s="8" t="str">
        <x:v>按本综述6.1.1「任务构造策略」的写作用途归类；用动态、相互依赖且大规模的工具沙箱评估工具智能体。</x:v>
      </x:c>
      <x:c r="AG387" s="8" t="str">
        <x:v>tool-enterprise</x:v>
      </x:c>
      <x:c r="AH387" s="8" t="str">
        <x:v>task-environment-design,tool-execution,planning-dependencies</x:v>
      </x:c>
      <x:c r="AI387" s="8" t="str"/>
      <x:c r="AJ387" s="8" t="str">
        <x:v>2026-10-16 AI Office survey bibliography</x:v>
      </x:c>
      <x:c r="AK387" s="13" t="d">
        <x:v>2026-10-16T00:00:00.000Z</x:v>
      </x:c>
      <x:c r="AL387" s="8" t="str">
        <x:v>从新增来源发现候选，正式题名、链接及单位以可得一手资料为准。</x:v>
      </x:c>
      <x:c r="AM387" s="8" t="str"/>
    </x:row>
    <x:row r="388" ht="68" customHeight="1">
      <x:c r="A388" s="8" t="str">
        <x:v>WA-0402</x:v>
      </x:c>
      <x:c r="B388" s="8" t="str">
        <x:v>LayoutPrompter</x:v>
      </x:c>
      <x:c r="C388" s="8" t="str">
        <x:v>TextDiffuser-2: Unleashing the Power of Language Models for Text Rendering</x:v>
      </x:c>
      <x:c r="D388" s="9" t="n">
        <x:v>2023</x:v>
      </x:c>
      <x:c r="E388" s="8" t="str">
        <x:v>The Hong Kong University of Science and Technology; Sun Yat-sen University; Microsoft Research</x:v>
      </x:c>
      <x:c r="F388" s="21" t="str">
        <x:f>VLOOKUP(H388,'Taxonomy'!$A$6:$G$70,3,FALSE)</x:f>
        <x:v>优化：从工作经验到系统能力</x:v>
      </x:c>
      <x:c r="G388" s="21" t="str">
        <x:f>VLOOKUP(H388,'Taxonomy'!$A$6:$G$70,5,FALSE)</x:f>
        <x:v>运行框架优化</x:v>
      </x:c>
      <x:c r="H388" s="8" t="str">
        <x:v>5.3.2</x:v>
      </x:c>
      <x:c r="I388" s="21" t="str">
        <x:f>VLOOKUP(H388,'Taxonomy'!$A$6:$G$70,6,FALSE)</x:f>
        <x:v>提示与工作流优化</x:v>
      </x:c>
      <x:c r="J388" s="8" t="str">
        <x:v>提示、流程与 harness 搜索;原生工件生成与编辑</x:v>
      </x:c>
      <x:c r="K388" s="8" t="str">
        <x:v>推理与决策;规划与协调</x:v>
      </x:c>
      <x:c r="L388" s="8" t="str">
        <x:v>2.3.4 执行与状态管理</x:v>
      </x:c>
      <x:c r="M388" s="8" t="str">
        <x:v>提示与工作流优化</x:v>
      </x:c>
      <x:c r="N388" s="8" t="str">
        <x:v>Method</x:v>
      </x:c>
      <x:c r="O388" s="11" t="str">
        <x:v>https://arxiv.org/abs/2311.16465</x:v>
      </x:c>
      <x:c r="P388" s="8" t="str">
        <x:v>通过布局表示和示例选择激发语言模型生成满足约束的设计布局。</x:v>
      </x:c>
      <x:c r="Q388" s="8" t="str">
        <x:v>用于5.3.2「提示与工作流优化」：通过布局表示和示例选择激发语言模型生成满足约束的设计布局。</x:v>
      </x:c>
      <x:c r="R388" s="8" t="str">
        <x:v>限于论文评估的成果类型与编辑操作；不能据单类工件结果推断完整业务工作流可靠性。</x:v>
      </x:c>
      <x:c r="S388" s="8" t="str">
        <x:v>补充</x:v>
      </x:c>
      <x:c r="T388" s="22" t="str">
        <x:v>未分配</x:v>
      </x:c>
      <x:c r="U388" s="22" t="str"/>
      <x:c r="V388" s="22" t="str"/>
      <x:c r="W388" s="22" t="str"/>
      <x:c r="X388" s="8" t="str">
        <x:v>verified</x:v>
      </x:c>
      <x:c r="Y388" s="11" t="str"/>
      <x:c r="Z388" s="11" t="str"/>
      <x:c r="AA388" s="11" t="str">
        <x:v>https://arxiv.org/pdf/2311.16465</x:v>
      </x:c>
      <x:c r="AB388" s="11" t="str">
        <x:v>https://arxiv.org/abs/2311.16465</x:v>
      </x:c>
      <x:c r="AC388" s="8" t="str">
        <x:v>AIO-133</x:v>
      </x:c>
      <x:c r="AD388" s="8" t="str">
        <x:v>书目页、可得摘要与首页单位核验；未做全文精读。</x:v>
      </x:c>
      <x:c r="AE388" s="8" t="str"/>
      <x:c r="AF388" s="8" t="str">
        <x:v>按本综述5.3.2「提示与工作流优化」的写作用途归类；通过布局表示和示例选择激发语言模型生成满足约束的设计布局。</x:v>
      </x:c>
      <x:c r="AG388" s="8" t="str">
        <x:v>artifact</x:v>
      </x:c>
      <x:c r="AH388" s="8" t="str">
        <x:v>prompt-workflow,artifact-editing</x:v>
      </x:c>
      <x:c r="AI388" s="8" t="str"/>
      <x:c r="AJ388" s="8" t="str">
        <x:v>2026-10-16 AI Office survey bibliography</x:v>
      </x:c>
      <x:c r="AK388" s="13" t="d">
        <x:v>2026-10-16T00:00:00.000Z</x:v>
      </x:c>
      <x:c r="AL388" s="8" t="str">
        <x:v>从新增来源发现候选，正式题名、链接及单位以可得一手资料为准。</x:v>
      </x:c>
      <x:c r="AM388" s="8" t="str"/>
    </x:row>
    <x:row r="389" ht="68" customHeight="1">
      <x:c r="A389" s="8" t="str">
        <x:v>WA-0403</x:v>
      </x:c>
      <x:c r="B389" s="8" t="str">
        <x:v>ShowUI</x:v>
      </x:c>
      <x:c r="C389" s="8" t="str">
        <x:v>ShowUI: One Vision-Language-Action Model for GUI Visual Agent</x:v>
      </x:c>
      <x:c r="D389" s="9" t="n">
        <x:v>2024</x:v>
      </x:c>
      <x:c r="E389" s="8" t="str">
        <x:v>National University of Singapore; Microsoft</x:v>
      </x:c>
      <x:c r="F389" s="21" t="str">
        <x:f>VLOOKUP(H389,'Taxonomy'!$A$6:$G$70,3,FALSE)</x:f>
        <x:v>基础：定义、工作条件与核心能力</x:v>
      </x:c>
      <x:c r="G389" s="21" t="str">
        <x:f>VLOOKUP(H389,'Taxonomy'!$A$6:$G$70,5,FALSE)</x:f>
        <x:v>相关智能体范式</x:v>
      </x:c>
      <x:c r="H389" s="8" t="str">
        <x:v>2.4.2</x:v>
      </x:c>
      <x:c r="I389" s="21" t="str">
        <x:f>VLOOKUP(H389,'Taxonomy'!$A$6:$G$70,6,FALSE)</x:f>
        <x:v>计算机使用智能体</x:v>
      </x:c>
      <x:c r="J389" s="8" t="str">
        <x:v>对象结构、模态与语义;模型参数学习;工具、界面与应用执行</x:v>
      </x:c>
      <x:c r="K389" s="8" t="str">
        <x:v>感知与理解;执行与状态管理</x:v>
      </x:c>
      <x:c r="L389" s="8" t="str">
        <x:v>5.2.1 中期训练与监督微调</x:v>
      </x:c>
      <x:c r="M389" s="8" t="str"/>
      <x:c r="N389" s="8" t="str">
        <x:v>Method</x:v>
      </x:c>
      <x:c r="O389" s="11" t="str">
        <x:v>https://arxiv.org/abs/2411.17465</x:v>
      </x:c>
      <x:c r="P389" s="8" t="str">
        <x:v>把GUI视觉表示、动作历史与动作选择结合到视觉语言动作模型。</x:v>
      </x:c>
      <x:c r="Q389" s="8" t="str">
        <x:v>用于2.4.2「计算机使用智能体」：把GUI视觉表示、动作历史与动作选择结合到视觉语言动作模型。</x:v>
      </x:c>
      <x:c r="R389" s="8" t="str">
        <x:v>理解、问答或表示能力是工作智能体的组成部分，不等同于可编辑文件生成、跨文件一致性或端到端验收。</x:v>
      </x:c>
      <x:c r="S389" s="8" t="str">
        <x:v>补充</x:v>
      </x:c>
      <x:c r="T389" s="22" t="str">
        <x:v>未分配</x:v>
      </x:c>
      <x:c r="U389" s="22" t="str"/>
      <x:c r="V389" s="22" t="str"/>
      <x:c r="W389" s="22" t="str"/>
      <x:c r="X389" s="8" t="str">
        <x:v>verified</x:v>
      </x:c>
      <x:c r="Y389" s="11" t="str"/>
      <x:c r="Z389" s="11" t="str"/>
      <x:c r="AA389" s="11" t="str">
        <x:v>https://arxiv.org/pdf/2411.17465</x:v>
      </x:c>
      <x:c r="AB389" s="11" t="str">
        <x:v>https://arxiv.org/abs/2411.17465</x:v>
      </x:c>
      <x:c r="AC389" s="8" t="str">
        <x:v>AIO-134</x:v>
      </x:c>
      <x:c r="AD389" s="8" t="str">
        <x:v>书目页、可得摘要与首页单位核验；未做全文精读。</x:v>
      </x:c>
      <x:c r="AE389" s="8" t="str"/>
      <x:c r="AF389" s="8" t="str">
        <x:v>按本综述2.4.2「计算机使用智能体」的写作用途归类；把GUI视觉表示、动作历史与动作选择结合到视觉语言动作模型。</x:v>
      </x:c>
      <x:c r="AG389" s="8" t="str">
        <x:v>computer-use</x:v>
      </x:c>
      <x:c r="AH389" s="8" t="str">
        <x:v>object-semantics,model-training,tool-execution</x:v>
      </x:c>
      <x:c r="AI389" s="8" t="str"/>
      <x:c r="AJ389" s="8" t="str">
        <x:v>2026-10-16 AI Office survey bibliography</x:v>
      </x:c>
      <x:c r="AK389" s="13" t="d">
        <x:v>2026-10-16T00:00:00.000Z</x:v>
      </x:c>
      <x:c r="AL389" s="8" t="str">
        <x:v>从新增来源发现候选，正式题名、链接及单位以可得一手资料为准。</x:v>
      </x:c>
      <x:c r="AM389" s="8" t="str"/>
    </x:row>
    <x:row r="390" ht="68" customHeight="1">
      <x:c r="A390" s="8" t="str">
        <x:v>WA-0404</x:v>
      </x:c>
      <x:c r="B390" s="8" t="str">
        <x:v>TAPEX</x:v>
      </x:c>
      <x:c r="C390" s="8" t="str">
        <x:v>TAPEX: Table Pre-training via Learning a Neural SQL Executor</x:v>
      </x:c>
      <x:c r="D390" s="9" t="n">
        <x:v>2021</x:v>
      </x:c>
      <x:c r="E390" s="8" t="str">
        <x:v>Beihang University; Xi'an Jiaotong University; Microsoft Research Asia; Microsoft Azure AI</x:v>
      </x:c>
      <x:c r="F390" s="21" t="str">
        <x:f>VLOOKUP(H390,'Taxonomy'!$A$6:$G$70,3,FALSE)</x:f>
        <x:v>优化：从工作经验到系统能力</x:v>
      </x:c>
      <x:c r="G390" s="21" t="str">
        <x:f>VLOOKUP(H390,'Taxonomy'!$A$6:$G$70,5,FALSE)</x:f>
        <x:v>模型优化</x:v>
      </x:c>
      <x:c r="H390" s="8" t="str">
        <x:v>5.2.1</x:v>
      </x:c>
      <x:c r="I390" s="21" t="str">
        <x:f>VLOOKUP(H390,'Taxonomy'!$A$6:$G$70,6,FALSE)</x:f>
        <x:v>中期训练与监督微调</x:v>
      </x:c>
      <x:c r="J390" s="8" t="str">
        <x:v>对象结构、模态与语义;模型参数学习</x:v>
      </x:c>
      <x:c r="K390" s="8" t="str">
        <x:v>感知与理解;推理与决策</x:v>
      </x:c>
      <x:c r="L390" s="8" t="str">
        <x:v>2.3.1 感知与理解</x:v>
      </x:c>
      <x:c r="M390" s="8" t="str">
        <x:v>中期训练与监督微调</x:v>
      </x:c>
      <x:c r="N390" s="8" t="str">
        <x:v>Method</x:v>
      </x:c>
      <x:c r="O390" s="11" t="str">
        <x:v>https://arxiv.org/abs/2107.07653</x:v>
      </x:c>
      <x:c r="P390" s="8" t="str">
        <x:v>通过模拟SQL执行的预训练增强表格理解。</x:v>
      </x:c>
      <x:c r="Q390" s="8" t="str">
        <x:v>用于5.2.1「中期训练与监督微调」：通过模拟SQL执行的预训练增强表格理解。</x:v>
      </x:c>
      <x:c r="R390" s="8" t="str">
        <x:v>理解、问答或表示能力是工作智能体的组成部分，不等同于可编辑文件生成、跨文件一致性或端到端验收。</x:v>
      </x:c>
      <x:c r="S390" s="8" t="str">
        <x:v>补充</x:v>
      </x:c>
      <x:c r="T390" s="22" t="str">
        <x:v>未分配</x:v>
      </x:c>
      <x:c r="U390" s="22" t="str"/>
      <x:c r="V390" s="22" t="str"/>
      <x:c r="W390" s="22" t="str"/>
      <x:c r="X390" s="8" t="str">
        <x:v>verified</x:v>
      </x:c>
      <x:c r="Y390" s="11" t="str"/>
      <x:c r="Z390" s="11" t="str"/>
      <x:c r="AA390" s="11" t="str">
        <x:v>https://arxiv.org/pdf/2107.07653</x:v>
      </x:c>
      <x:c r="AB390" s="11" t="str">
        <x:v>https://arxiv.org/abs/2107.07653</x:v>
      </x:c>
      <x:c r="AC390" s="8" t="str">
        <x:v>AIO-136</x:v>
      </x:c>
      <x:c r="AD390" s="8" t="str">
        <x:v>书目页、可得摘要与首页单位核验；未做全文精读。</x:v>
      </x:c>
      <x:c r="AE390" s="8" t="str"/>
      <x:c r="AF390" s="8" t="str">
        <x:v>按本综述5.2.1「中期训练与监督微调」的写作用途归类；通过模拟SQL执行的预训练增强表格理解。</x:v>
      </x:c>
      <x:c r="AG390" s="8" t="str">
        <x:v>harness</x:v>
      </x:c>
      <x:c r="AH390" s="8" t="str">
        <x:v>object-semantics,model-training</x:v>
      </x:c>
      <x:c r="AI390" s="8" t="str"/>
      <x:c r="AJ390" s="8" t="str">
        <x:v>2026-10-16 AI Office survey bibliography</x:v>
      </x:c>
      <x:c r="AK390" s="13" t="d">
        <x:v>2026-10-16T00:00:00.000Z</x:v>
      </x:c>
      <x:c r="AL390" s="8" t="str">
        <x:v>从新增来源发现候选，正式题名、链接及单位以可得一手资料为准。</x:v>
      </x:c>
      <x:c r="AM390" s="8" t="str"/>
    </x:row>
    <x:row r="391" ht="68" customHeight="1">
      <x:c r="A391" s="8" t="str">
        <x:v>WA-0405</x:v>
      </x:c>
      <x:c r="B391" s="8" t="str">
        <x:v>AgentBench</x:v>
      </x:c>
      <x:c r="C391" s="8" t="str">
        <x:v>AgentBench: Evaluating LLMs as Agents</x:v>
      </x:c>
      <x:c r="D391" s="9" t="n">
        <x:v>2023</x:v>
      </x:c>
      <x:c r="E391" s="8" t="str">
        <x:v>Tsinghua University; The Ohio State University; University of California, Berkeley</x:v>
      </x:c>
      <x:c r="F391" s="21" t="str">
        <x:f>VLOOKUP(H391,'Taxonomy'!$A$6:$G$70,3,FALSE)</x:f>
        <x:v>评估与资源：如何检验工作完成</x:v>
      </x:c>
      <x:c r="G391" s="21" t="str">
        <x:f>VLOOKUP(H391,'Taxonomy'!$A$6:$G$70,5,FALSE)</x:f>
        <x:v>基准与任务构造</x:v>
      </x:c>
      <x:c r="H391" s="8" t="str">
        <x:v>6.1.2</x:v>
      </x:c>
      <x:c r="I391" s="21" t="str">
        <x:f>VLOOKUP(H391,'Taxonomy'!$A$6:$G$70,6,FALSE)</x:f>
        <x:v>领域覆盖与工作要求</x:v>
      </x:c>
      <x:c r="J391" s="8" t="str">
        <x:v>任务覆盖与泛化边界;工具、界面与应用执行</x:v>
      </x:c>
      <x:c r="K391" s="8" t="str">
        <x:v>推理与决策;规划与协调;执行与状态管理</x:v>
      </x:c>
      <x:c r="L391" s="8" t="str">
        <x:v>2.4.2 计算机使用智能体</x:v>
      </x:c>
      <x:c r="M391" s="8" t="str"/>
      <x:c r="N391" s="8" t="str">
        <x:v>Benchmark</x:v>
      </x:c>
      <x:c r="O391" s="11" t="str">
        <x:v>https://arxiv.org/abs/2308.03688</x:v>
      </x:c>
      <x:c r="P391" s="8" t="str">
        <x:v>在多种交互环境中评估语言模型作为智能体的能力。</x:v>
      </x:c>
      <x:c r="Q391" s="8" t="str">
        <x:v>用于6.1.2「领域覆盖与工作要求」：在多种交互环境中评估语言模型作为智能体的能力。</x:v>
      </x:c>
      <x:c r="R391" s="8" t="str">
        <x:v>按该评测的任务、接口与验收协议解释；能力标签表示任务需求，不是模型已经具备该能力。</x:v>
      </x:c>
      <x:c r="S391" s="8" t="str">
        <x:v>补充</x:v>
      </x:c>
      <x:c r="T391" s="22" t="str">
        <x:v>未分配</x:v>
      </x:c>
      <x:c r="U391" s="22" t="str"/>
      <x:c r="V391" s="22" t="str"/>
      <x:c r="W391" s="22" t="str"/>
      <x:c r="X391" s="8" t="str">
        <x:v>verified</x:v>
      </x:c>
      <x:c r="Y391" s="11" t="str"/>
      <x:c r="Z391" s="11" t="str"/>
      <x:c r="AA391" s="11" t="str">
        <x:v>https://arxiv.org/pdf/2308.03688</x:v>
      </x:c>
      <x:c r="AB391" s="11" t="str">
        <x:v>https://arxiv.org/abs/2308.03688</x:v>
      </x:c>
      <x:c r="AC391" s="8" t="str">
        <x:v>AIO-137</x:v>
      </x:c>
      <x:c r="AD391" s="8" t="str">
        <x:v>书目页、可得摘要与首页单位核验；未做全文精读。</x:v>
      </x:c>
      <x:c r="AE391" s="8" t="str"/>
      <x:c r="AF391" s="8" t="str">
        <x:v>按本综述6.1.2「领域覆盖与工作要求」的写作用途归类；在多种交互环境中评估语言模型作为智能体的能力。</x:v>
      </x:c>
      <x:c r="AG391" s="8" t="str">
        <x:v>tool-enterprise</x:v>
      </x:c>
      <x:c r="AH391" s="8" t="str">
        <x:v>coverage-work-requirements,tool-execution</x:v>
      </x:c>
      <x:c r="AI391" s="8" t="str"/>
      <x:c r="AJ391" s="8" t="str">
        <x:v>2026-10-16 AI Office survey bibliography</x:v>
      </x:c>
      <x:c r="AK391" s="13" t="d">
        <x:v>2026-10-16T00:00:00.000Z</x:v>
      </x:c>
      <x:c r="AL391" s="8" t="str">
        <x:v>从新增来源发现候选，正式题名、链接及单位以可得一手资料为准。</x:v>
      </x:c>
      <x:c r="AM391" s="8" t="str"/>
    </x:row>
    <x:row r="392" ht="68" customHeight="1">
      <x:c r="A392" s="8" t="str">
        <x:v>WA-0406</x:v>
      </x:c>
      <x:c r="B392" s="8" t="str">
        <x:v>G-Eval</x:v>
      </x:c>
      <x:c r="C392" s="8" t="str">
        <x:v>G-Eval: NLG Evaluation using GPT-4 with Better Human Alignment</x:v>
      </x:c>
      <x:c r="D392" s="9" t="n">
        <x:v>2023</x:v>
      </x:c>
      <x:c r="E392" s="8" t="str">
        <x:v>Microsoft</x:v>
      </x:c>
      <x:c r="F392" s="21" t="str">
        <x:f>VLOOKUP(H392,'Taxonomy'!$A$6:$G$70,3,FALSE)</x:f>
        <x:v>评估与资源：如何检验工作完成</x:v>
      </x:c>
      <x:c r="G392" s="21" t="str">
        <x:f>VLOOKUP(H392,'Taxonomy'!$A$6:$G$70,5,FALSE)</x:f>
        <x:v>评估方法</x:v>
      </x:c>
      <x:c r="H392" s="8" t="str">
        <x:v>6.2.2</x:v>
      </x:c>
      <x:c r="I392" s="21" t="str">
        <x:f>VLOOKUP(H392,'Taxonomy'!$A$6:$G$70,6,FALSE)</x:f>
        <x:v>评判程序</x:v>
      </x:c>
      <x:c r="J392" s="8" t="str">
        <x:v>标准、量规与裁判;验证证据的有效性</x:v>
      </x:c>
      <x:c r="K392" s="8" t="str">
        <x:v>验证、恢复与重新规划</x:v>
      </x:c>
      <x:c r="L392" s="8" t="str"/>
      <x:c r="M392" s="8" t="str"/>
      <x:c r="N392" s="8" t="str">
        <x:v>Method</x:v>
      </x:c>
      <x:c r="O392" s="11" t="str">
        <x:v>https://arxiv.org/abs/2303.16634</x:v>
      </x:c>
      <x:c r="P392" s="8" t="str">
        <x:v>使用明确评价维度与推理步骤改善语言模型对生成文本的评价。</x:v>
      </x:c>
      <x:c r="Q392" s="8" t="str">
        <x:v>用于6.2.2「评判程序」：使用明确评价维度与推理步骤改善语言模型对生成文本的评价。</x:v>
      </x:c>
      <x:c r="R392" s="8" t="str">
        <x:v>自动评分和量规受任务分布、裁判偏差与校准方式影响，不作为通用成果质量保证。</x:v>
      </x:c>
      <x:c r="S392" s="8" t="str">
        <x:v>补充</x:v>
      </x:c>
      <x:c r="T392" s="22" t="str">
        <x:v>未分配</x:v>
      </x:c>
      <x:c r="U392" s="22" t="str"/>
      <x:c r="V392" s="22" t="str"/>
      <x:c r="W392" s="22" t="str"/>
      <x:c r="X392" s="8" t="str">
        <x:v>verified</x:v>
      </x:c>
      <x:c r="Y392" s="11" t="str"/>
      <x:c r="Z392" s="11" t="str"/>
      <x:c r="AA392" s="11" t="str">
        <x:v>https://arxiv.org/pdf/2303.16634</x:v>
      </x:c>
      <x:c r="AB392" s="11" t="str">
        <x:v>https://arxiv.org/abs/2303.16634</x:v>
      </x:c>
      <x:c r="AC392" s="8" t="str">
        <x:v>AIO-138</x:v>
      </x:c>
      <x:c r="AD392" s="8" t="str">
        <x:v>书目页、可得摘要与首页单位核验；未做全文精读。</x:v>
      </x:c>
      <x:c r="AE392" s="8" t="str"/>
      <x:c r="AF392" s="8" t="str">
        <x:v>按本综述6.2.2「评判程序」的写作用途归类；使用明确评价维度与推理步骤改善语言模型对生成文本的评价。</x:v>
      </x:c>
      <x:c r="AG392" s="8" t="str">
        <x:v>verification</x:v>
      </x:c>
      <x:c r="AH392" s="8" t="str">
        <x:v>rubric-judging,verification-validity</x:v>
      </x:c>
      <x:c r="AI392" s="8" t="str"/>
      <x:c r="AJ392" s="8" t="str">
        <x:v>2026-10-16 AI Office survey bibliography</x:v>
      </x:c>
      <x:c r="AK392" s="13" t="d">
        <x:v>2026-10-16T00:00:00.000Z</x:v>
      </x:c>
      <x:c r="AL392" s="8" t="str">
        <x:v>从新增来源发现候选，正式题名、链接及单位以可得一手资料为准。</x:v>
      </x:c>
      <x:c r="AM392" s="8" t="str"/>
    </x:row>
    <x:row r="393" ht="68" customHeight="1">
      <x:c r="A393" s="8" t="str">
        <x:v>WA-0407</x:v>
      </x:c>
      <x:c r="B393" s="8" t="str">
        <x:v>Docling Toolkit</x:v>
      </x:c>
      <x:c r="C393" s="8" t="str">
        <x:v>Docling: An Efficient Open-Source Toolkit for AI-driven Document Conversion</x:v>
      </x:c>
      <x:c r="D393" s="9" t="n">
        <x:v>2025</x:v>
      </x:c>
      <x:c r="E393" s="8" t="str">
        <x:v>IBM Research</x:v>
      </x:c>
      <x:c r="F393" s="21" t="str">
        <x:f>VLOOKUP(H393,'Taxonomy'!$A$6:$G$70,3,FALSE)</x:f>
        <x:v>基础：定义、工作条件与核心能力</x:v>
      </x:c>
      <x:c r="G393" s="21" t="str">
        <x:f>VLOOKUP(H393,'Taxonomy'!$A$6:$G$70,5,FALSE)</x:f>
        <x:v>五项核心能力</x:v>
      </x:c>
      <x:c r="H393" s="8" t="str">
        <x:v>2.3.1</x:v>
      </x:c>
      <x:c r="I393" s="21" t="str">
        <x:f>VLOOKUP(H393,'Taxonomy'!$A$6:$G$70,6,FALSE)</x:f>
        <x:v>感知与理解</x:v>
      </x:c>
      <x:c r="J393" s="8" t="str">
        <x:v>对象结构、模态与语义;接口与观测优化</x:v>
      </x:c>
      <x:c r="K393" s="8" t="str">
        <x:v>感知与理解</x:v>
      </x:c>
      <x:c r="L393" s="8" t="str">
        <x:v>5.3.1 接口与工具优化</x:v>
      </x:c>
      <x:c r="M393" s="8" t="str"/>
      <x:c r="N393" s="8" t="str">
        <x:v>Framework</x:v>
      </x:c>
      <x:c r="O393" s="11" t="str">
        <x:v>https://arxiv.org/abs/2501.17887</x:v>
      </x:c>
      <x:c r="P393" s="8" t="str">
        <x:v>提供多格式文档转换及统一结构化表示的开放工具链。</x:v>
      </x:c>
      <x:c r="Q393" s="8" t="str">
        <x:v>用于2.3.1「感知与理解」：提供多格式文档转换及统一结构化表示的开放工具链。</x:v>
      </x:c>
      <x:c r="R393" s="8" t="str">
        <x:v>理解、问答或表示能力是工作智能体的组成部分，不等同于可编辑文件生成、跨文件一致性或端到端验收。</x:v>
      </x:c>
      <x:c r="S393" s="8" t="str">
        <x:v>补充</x:v>
      </x:c>
      <x:c r="T393" s="22" t="str">
        <x:v>未分配</x:v>
      </x:c>
      <x:c r="U393" s="22" t="str"/>
      <x:c r="V393" s="22" t="str"/>
      <x:c r="W393" s="22" t="str"/>
      <x:c r="X393" s="8" t="str">
        <x:v>verified</x:v>
      </x:c>
      <x:c r="Y393" s="11" t="str"/>
      <x:c r="Z393" s="11" t="str"/>
      <x:c r="AA393" s="11" t="str">
        <x:v>https://arxiv.org/pdf/2501.17887</x:v>
      </x:c>
      <x:c r="AB393" s="11" t="str">
        <x:v>https://arxiv.org/abs/2501.17887</x:v>
      </x:c>
      <x:c r="AC393" s="8" t="str">
        <x:v>AIO-139</x:v>
      </x:c>
      <x:c r="AD393" s="8" t="str">
        <x:v>书目页、可得摘要与首页单位核验；未做全文精读。</x:v>
      </x:c>
      <x:c r="AE393" s="8" t="str"/>
      <x:c r="AF393" s="8" t="str">
        <x:v>按本综述2.3.1「感知与理解」的写作用途归类；提供多格式文档转换及统一结构化表示的开放工具链。</x:v>
      </x:c>
      <x:c r="AG393" s="8" t="str">
        <x:v>tool-enterprise</x:v>
      </x:c>
      <x:c r="AH393" s="8" t="str">
        <x:v>object-semantics,tool-interface</x:v>
      </x:c>
      <x:c r="AI393" s="8" t="str"/>
      <x:c r="AJ393" s="8" t="str">
        <x:v>2026-10-16 AI Office survey bibliography</x:v>
      </x:c>
      <x:c r="AK393" s="13" t="d">
        <x:v>2026-10-16T00:00:00.000Z</x:v>
      </x:c>
      <x:c r="AL393" s="8" t="str">
        <x:v>从新增来源发现候选，正式题名、链接及单位以可得一手资料为准。这是arXiv:2501.17887工具包论文，与已收录的arXiv:2408.09869 Docling Technical Report是不同论文；共享项目不合并为同一论文。</x:v>
      </x:c>
      <x:c r="AM393" s="8" t="str"/>
    </x:row>
    <x:row r="394" ht="68" customHeight="1">
      <x:c r="A394" s="8" t="str">
        <x:v>WA-0408</x:v>
      </x:c>
      <x:c r="B394" s="8" t="str">
        <x:v>Table Processing Survey</x:v>
      </x:c>
      <x:c r="C394" s="8" t="str">
        <x:v>Large language model for table processing: a survey</x:v>
      </x:c>
      <x:c r="D394" s="9" t="n">
        <x:v>2025</x:v>
      </x:c>
      <x:c r="E394" s="8" t="str">
        <x:v>Renmin University of China</x:v>
      </x:c>
      <x:c r="F394" s="21" t="str">
        <x:f>VLOOKUP(H394,'Taxonomy'!$A$6:$G$70,3,FALSE)</x:f>
        <x:v>基础：定义、工作条件与核心能力</x:v>
      </x:c>
      <x:c r="G394" s="21" t="str">
        <x:f>VLOOKUP(H394,'Taxonomy'!$A$6:$G$70,5,FALSE)</x:f>
        <x:v>五项核心能力</x:v>
      </x:c>
      <x:c r="H394" s="8" t="str">
        <x:v>2.3.1</x:v>
      </x:c>
      <x:c r="I394" s="21" t="str">
        <x:f>VLOOKUP(H394,'Taxonomy'!$A$6:$G$70,6,FALSE)</x:f>
        <x:v>感知与理解</x:v>
      </x:c>
      <x:c r="J394" s="8" t="str">
        <x:v>对象结构、模态与语义;范式与自主性边界</x:v>
      </x:c>
      <x:c r="K394" s="8" t="str">
        <x:v>感知与理解;推理与决策</x:v>
      </x:c>
      <x:c r="L394" s="8" t="str"/>
      <x:c r="M394" s="8" t="str"/>
      <x:c r="N394" s="8" t="str">
        <x:v>Survey</x:v>
      </x:c>
      <x:c r="O394" s="11" t="str">
        <x:v>https://doi.org/10.1007/s11704-024-40763-6</x:v>
      </x:c>
      <x:c r="P394" s="8" t="str">
        <x:v>整理语言模型用于表格理解、操作与应用的研究。</x:v>
      </x:c>
      <x:c r="Q394" s="8" t="str">
        <x:v>用于2.3.1「感知与理解」：整理语言模型用于表格理解、操作与应用的研究。</x:v>
      </x:c>
      <x:c r="R394" s="8" t="str">
        <x:v>理解、问答或表示能力是工作智能体的组成部分，不等同于可编辑文件生成、跨文件一致性或端到端验收。</x:v>
      </x:c>
      <x:c r="S394" s="8" t="str">
        <x:v>补充</x:v>
      </x:c>
      <x:c r="T394" s="22" t="str">
        <x:v>未分配</x:v>
      </x:c>
      <x:c r="U394" s="22" t="str"/>
      <x:c r="V394" s="22" t="str"/>
      <x:c r="W394" s="22" t="str"/>
      <x:c r="X394" s="8" t="str">
        <x:v>verified</x:v>
      </x:c>
      <x:c r="Y394" s="11" t="str"/>
      <x:c r="Z394" s="11" t="str"/>
      <x:c r="AA394" s="11" t="str">
        <x:v>https://link.springer.com/content/pdf/10.1007/s11704-024-40763-6.pdf</x:v>
      </x:c>
      <x:c r="AB394" s="11" t="str">
        <x:v>https://doi.org/10.1007/s11704-024-40763-6</x:v>
      </x:c>
      <x:c r="AC394" s="8" t="str">
        <x:v>AIO-141</x:v>
      </x:c>
      <x:c r="AD394" s="8" t="str">
        <x:v>书目页、可得摘要与首页单位核验；未做全文精读。</x:v>
      </x:c>
      <x:c r="AE394" s="8" t="str"/>
      <x:c r="AF394" s="8" t="str">
        <x:v>按本综述2.3.1「感知与理解」的写作用途归类；整理语言模型用于表格理解、操作与应用的研究。</x:v>
      </x:c>
      <x:c r="AG394" s="8" t="str">
        <x:v>related</x:v>
      </x:c>
      <x:c r="AH394" s="8" t="str">
        <x:v>object-semantics,paradigm-comparison</x:v>
      </x:c>
      <x:c r="AI394" s="8" t="str"/>
      <x:c r="AJ394" s="8" t="str">
        <x:v>2026-10-16 AI Office survey bibliography</x:v>
      </x:c>
      <x:c r="AK394" s="13" t="d">
        <x:v>2026-10-16T00:00:00.000Z</x:v>
      </x:c>
      <x:c r="AL394" s="8" t="str">
        <x:v>从新增来源发现候选，正式题名、链接及单位以可得一手资料为准。</x:v>
      </x:c>
      <x:c r="AM394" s="8" t="str"/>
    </x:row>
    <x:row r="395" ht="68" customHeight="1">
      <x:c r="A395" s="8" t="str">
        <x:v>WA-0409</x:v>
      </x:c>
      <x:c r="B395" s="8" t="str">
        <x:v>OfficeEval</x:v>
      </x:c>
      <x:c r="C395" s="8" t="str">
        <x:v>Mind the Gap: Can Frontier LLMs Pass a Standardized Office Proficiency Exam?</x:v>
      </x:c>
      <x:c r="D395" s="9" t="n">
        <x:v>2026</x:v>
      </x:c>
      <x:c r="E395" s="8" t="str">
        <x:v>Microsoft Research</x:v>
      </x:c>
      <x:c r="F395" s="21" t="str">
        <x:f>VLOOKUP(H395,'Taxonomy'!$A$6:$G$70,3,FALSE)</x:f>
        <x:v>评估与资源：如何检验工作完成</x:v>
      </x:c>
      <x:c r="G395" s="21" t="str">
        <x:f>VLOOKUP(H395,'Taxonomy'!$A$6:$G$70,5,FALSE)</x:f>
        <x:v>基准与任务构造</x:v>
      </x:c>
      <x:c r="H395" s="8" t="str">
        <x:v>6.1.2</x:v>
      </x:c>
      <x:c r="I395" s="21" t="str">
        <x:f>VLOOKUP(H395,'Taxonomy'!$A$6:$G$70,6,FALSE)</x:f>
        <x:v>领域覆盖与工作要求</x:v>
      </x:c>
      <x:c r="J395" s="8" t="str">
        <x:v>任务覆盖与泛化边界;答案、产物、状态与过程证据;标准、量规与裁判</x:v>
      </x:c>
      <x:c r="K395" s="8" t="str">
        <x:v>感知与理解;规划与协调;执行与状态管理;验证、恢复与重新规划</x:v>
      </x:c>
      <x:c r="L395" s="8" t="str">
        <x:v>2.4.3 办公智能体;6.2.2 评判程序</x:v>
      </x:c>
      <x:c r="M395" s="8" t="str"/>
      <x:c r="N395" s="8" t="str">
        <x:v>Benchmark</x:v>
      </x:c>
      <x:c r="O395" s="11" t="str">
        <x:v>https://arxiv.org/abs/2606.10956</x:v>
      </x:c>
      <x:c r="P395" s="8" t="str">
        <x:v>以标准化Office实操考试任务和可机器评分细则评价办公自动化。</x:v>
      </x:c>
      <x:c r="Q395" s="8" t="str">
        <x:v>用于6.1.2「领域覆盖与工作要求」：以标准化Office实操考试任务和可机器评分细则评价办公自动化。</x:v>
      </x:c>
      <x:c r="R395" s="8" t="str">
        <x:v>自动评分和量规受任务分布、裁判偏差与校准方式影响，不作为通用成果质量保证。</x:v>
      </x:c>
      <x:c r="S395" s="8" t="str">
        <x:v>补充</x:v>
      </x:c>
      <x:c r="T395" s="22" t="str">
        <x:v>未分配</x:v>
      </x:c>
      <x:c r="U395" s="22" t="str"/>
      <x:c r="V395" s="22" t="str"/>
      <x:c r="W395" s="22" t="str"/>
      <x:c r="X395" s="8" t="str">
        <x:v>verified</x:v>
      </x:c>
      <x:c r="Y395" s="11" t="str"/>
      <x:c r="Z395" s="11" t="str"/>
      <x:c r="AA395" s="11" t="str">
        <x:v>https://arxiv.org/pdf/2606.10956</x:v>
      </x:c>
      <x:c r="AB395" s="11" t="str">
        <x:v>https://arxiv.org/abs/2606.10956</x:v>
      </x:c>
      <x:c r="AC395" s="8" t="str">
        <x:v>AIO-143</x:v>
      </x:c>
      <x:c r="AD395" s="8" t="str">
        <x:v>书目页、可得摘要与首页单位核验；未做全文精读。</x:v>
      </x:c>
      <x:c r="AE395" s="8" t="str"/>
      <x:c r="AF395" s="8" t="str">
        <x:v>按本综述6.1.2「领域覆盖与工作要求」的写作用途归类；以标准化Office实操考试任务和可机器评分细则评价办公自动化。</x:v>
      </x:c>
      <x:c r="AG395" s="8" t="str">
        <x:v>workspace</x:v>
      </x:c>
      <x:c r="AH395" s="8" t="str">
        <x:v>coverage-work-requirements,observable-evidence,rubric-judging</x:v>
      </x:c>
      <x:c r="AI395" s="8" t="str"/>
      <x:c r="AJ395" s="8" t="str">
        <x:v>2026-10-16 AI Office survey bibliography</x:v>
      </x:c>
      <x:c r="AK395" s="13" t="d">
        <x:v>2026-10-16T00:00:00.000Z</x:v>
      </x:c>
      <x:c r="AL395" s="8" t="str">
        <x:v>从新增来源发现候选，正式题名、链接及单位以可得一手资料为准。</x:v>
      </x:c>
      <x:c r="AM395" s="8" t="str"/>
    </x:row>
    <x:row r="396" ht="82" customHeight="1">
      <x:c r="A396" s="8" t="str">
        <x:v>WA-0410</x:v>
      </x:c>
      <x:c r="B396" s="8" t="str">
        <x:v>GUI Agents Survey</x:v>
      </x:c>
      <x:c r="C396" s="8" t="str">
        <x:v>GUI Agents: A Survey</x:v>
      </x:c>
      <x:c r="D396" s="9" t="n">
        <x:v>2024</x:v>
      </x:c>
      <x:c r="E396" s="8" t="str">
        <x:v>University of Maryland; University at Buffalo; University of Oregon; Adobe Research; University of Rochester; University of California, San Diego; Carnegie Mellon University; Dolby Labs; Cisco Research; University of New South Wales</x:v>
      </x:c>
      <x:c r="F396" s="21" t="str">
        <x:f>VLOOKUP(H396,'Taxonomy'!$A$6:$G$70,3,FALSE)</x:f>
        <x:v>基础：定义、工作条件与核心能力</x:v>
      </x:c>
      <x:c r="G396" s="21" t="str">
        <x:f>VLOOKUP(H396,'Taxonomy'!$A$6:$G$70,5,FALSE)</x:f>
        <x:v>相关智能体范式</x:v>
      </x:c>
      <x:c r="H396" s="8" t="str">
        <x:v>2.4.2</x:v>
      </x:c>
      <x:c r="I396" s="21" t="str">
        <x:f>VLOOKUP(H396,'Taxonomy'!$A$6:$G$70,6,FALSE)</x:f>
        <x:v>计算机使用智能体</x:v>
      </x:c>
      <x:c r="J396" s="8" t="str">
        <x:v>范式与自主性边界;工具、界面与应用执行</x:v>
      </x:c>
      <x:c r="K396" s="8" t="str">
        <x:v>感知与理解;执行与状态管理</x:v>
      </x:c>
      <x:c r="L396" s="8" t="str"/>
      <x:c r="M396" s="8" t="str"/>
      <x:c r="N396" s="8" t="str">
        <x:v>Survey</x:v>
      </x:c>
      <x:c r="O396" s="11" t="str">
        <x:v>https://arxiv.org/abs/2412.13501</x:v>
      </x:c>
      <x:c r="P396" s="8" t="str">
        <x:v>整理GUI智能体的感知、动作、训练与评测研究。</x:v>
      </x:c>
      <x:c r="Q396" s="8" t="str">
        <x:v>用于2.4.2「计算机使用智能体」：整理GUI智能体的感知、动作、训练与评测研究。</x:v>
      </x:c>
      <x:c r="R396" s="8" t="str">
        <x:v>作为研究覆盖与术语背景；具体性能结论应回到其引用的一手论文。</x:v>
      </x:c>
      <x:c r="S396" s="8" t="str">
        <x:v>补充</x:v>
      </x:c>
      <x:c r="T396" s="22" t="str">
        <x:v>未分配</x:v>
      </x:c>
      <x:c r="U396" s="22" t="str"/>
      <x:c r="V396" s="22" t="str"/>
      <x:c r="W396" s="22" t="str"/>
      <x:c r="X396" s="8" t="str">
        <x:v>verified</x:v>
      </x:c>
      <x:c r="Y396" s="11" t="str"/>
      <x:c r="Z396" s="11" t="str"/>
      <x:c r="AA396" s="11" t="str">
        <x:v>https://arxiv.org/pdf/2412.13501</x:v>
      </x:c>
      <x:c r="AB396" s="11" t="str">
        <x:v>https://arxiv.org/abs/2412.13501</x:v>
      </x:c>
      <x:c r="AC396" s="8" t="str">
        <x:v>AIO-168</x:v>
      </x:c>
      <x:c r="AD396" s="8" t="str">
        <x:v>书目页、可得摘要与首页单位核验；未做全文精读。</x:v>
      </x:c>
      <x:c r="AE396" s="8" t="str"/>
      <x:c r="AF396" s="8" t="str">
        <x:v>按本综述2.4.2「计算机使用智能体」的写作用途归类；整理GUI智能体的感知、动作、训练与评测研究。</x:v>
      </x:c>
      <x:c r="AG396" s="8" t="str">
        <x:v>related</x:v>
      </x:c>
      <x:c r="AH396" s="8" t="str">
        <x:v>paradigm-comparison,tool-execution</x:v>
      </x:c>
      <x:c r="AI396" s="8" t="str"/>
      <x:c r="AJ396" s="8" t="str">
        <x:v>2026-10-16 AI Office survey bibliography</x:v>
      </x:c>
      <x:c r="AK396" s="13" t="d">
        <x:v>2026-10-16T00:00:00.000Z</x:v>
      </x:c>
      <x:c r="AL396" s="8" t="str">
        <x:v>从新增来源发现候选，正式题名、链接及单位以可得一手资料为准。</x:v>
      </x:c>
      <x:c r="AM396" s="8" t="str"/>
    </x:row>
    <x:row r="397" ht="68" customHeight="1">
      <x:c r="A397" s="8" t="str">
        <x:v>WA-0411</x:v>
      </x:c>
      <x:c r="B397" s="8" t="str">
        <x:v>Trace2Skill (Office)</x:v>
      </x:c>
      <x:c r="C397" s="8" t="str">
        <x:v>Trace2Skill: Distill Trajectory-Local Lessons into Transferable Agent Skills</x:v>
      </x:c>
      <x:c r="D397" s="9" t="n">
        <x:v>2026</x:v>
      </x:c>
      <x:c r="E397" s="8" t="str">
        <x:v>Alibaba Group; ETH Zurich; University of Zurich; Peking University; Zhejiang University</x:v>
      </x:c>
      <x:c r="F397" s="21" t="str">
        <x:f>VLOOKUP(H397,'Taxonomy'!$A$6:$G$70,3,FALSE)</x:f>
        <x:v>优化：从工作经验到系统能力</x:v>
      </x:c>
      <x:c r="G397" s="21" t="str">
        <x:f>VLOOKUP(H397,'Taxonomy'!$A$6:$G$70,5,FALSE)</x:f>
        <x:v>运行框架优化</x:v>
      </x:c>
      <x:c r="H397" s="8" t="str">
        <x:v>5.3.3</x:v>
      </x:c>
      <x:c r="I397" s="21" t="str">
        <x:f>VLOOKUP(H397,'Taxonomy'!$A$6:$G$70,6,FALSE)</x:f>
        <x:v>记忆与技能优化</x:v>
      </x:c>
      <x:c r="J397" s="8" t="str">
        <x:v>经验记忆与技能优化;轨迹采集与策划</x:v>
      </x:c>
      <x:c r="K397" s="8" t="str">
        <x:v>规划与协调;验证、恢复与重新规划</x:v>
      </x:c>
      <x:c r="L397" s="8" t="str">
        <x:v>5.1.2 轨迹采集与筛选</x:v>
      </x:c>
      <x:c r="M397" s="8" t="str">
        <x:v>轨迹收集与筛选;记忆与技能优化</x:v>
      </x:c>
      <x:c r="N397" s="8" t="str">
        <x:v>Method</x:v>
      </x:c>
      <x:c r="O397" s="11" t="str">
        <x:v>https://arxiv.org/abs/2603.25158</x:v>
      </x:c>
      <x:c r="P397" s="8" t="str">
        <x:v>并行分析轨迹的局部经验，并归纳合并为可迁移的技能目录。</x:v>
      </x:c>
      <x:c r="Q397" s="8" t="str">
        <x:v>用于5.3.3「记忆与技能优化」：并行分析轨迹的局部经验，并归纳合并为可迁移的技能目录。</x:v>
      </x:c>
      <x:c r="R397" s="8" t="str">
        <x:v>外部记忆或技能改进不自动意味着基础模型权重学习，也不证明持续责任或跨领域泛化。</x:v>
      </x:c>
      <x:c r="S397" s="8" t="str">
        <x:v>补充</x:v>
      </x:c>
      <x:c r="T397" s="22" t="str">
        <x:v>未分配</x:v>
      </x:c>
      <x:c r="U397" s="22" t="str"/>
      <x:c r="V397" s="22" t="str"/>
      <x:c r="W397" s="22" t="str"/>
      <x:c r="X397" s="8" t="str">
        <x:v>verified</x:v>
      </x:c>
      <x:c r="Y397" s="11" t="str">
        <x:v>https://github.com/Qwen-Applications/Trace2Skill</x:v>
      </x:c>
      <x:c r="Z397" s="11" t="str"/>
      <x:c r="AA397" s="11" t="str">
        <x:v>https://arxiv.org/pdf/2603.25158</x:v>
      </x:c>
      <x:c r="AB397" s="11" t="str">
        <x:v>https://arxiv.org/abs/2603.25158</x:v>
      </x:c>
      <x:c r="AC397" s="8" t="str">
        <x:v>AIO-169</x:v>
      </x:c>
      <x:c r="AD397" s="8" t="str">
        <x:v>书目页、可得摘要与首页单位核验；未做全文精读。</x:v>
      </x:c>
      <x:c r="AE397" s="8" t="str"/>
      <x:c r="AF397" s="8" t="str">
        <x:v>按本综述5.3.3「记忆与技能优化」的写作用途归类；并行分析轨迹的局部经验，并归纳合并为可迁移的技能目录。</x:v>
      </x:c>
      <x:c r="AG397" s="8" t="str">
        <x:v>harness</x:v>
      </x:c>
      <x:c r="AH397" s="8" t="str">
        <x:v>memory-skill,trajectory-curation</x:v>
      </x:c>
      <x:c r="AI397" s="8" t="str"/>
      <x:c r="AJ397" s="8" t="str">
        <x:v>2026-10-16 AI Office survey bibliography</x:v>
      </x:c>
      <x:c r="AK397" s="13" t="d">
        <x:v>2026-10-16T00:00:00.000Z</x:v>
      </x:c>
      <x:c r="AL397" s="8" t="str">
        <x:v>从新增来源发现候选，正式题名、链接及单位以可得一手资料为准。</x:v>
      </x:c>
      <x:c r="AM397" s="8" t="str"/>
    </x:row>
    <x:row r="398" ht="68" customHeight="1">
      <x:c r="A398" s="8" t="str">
        <x:v>WA-0412</x:v>
      </x:c>
      <x:c r="B398" s="8" t="str">
        <x:v>Medprompt</x:v>
      </x:c>
      <x:c r="C398" s="8" t="str">
        <x:v>Can Generalist Foundation Models Outcompete Special-Purpose Tuning? Case Study in Medicine</x:v>
      </x:c>
      <x:c r="D398" s="9" t="n">
        <x:v>2023</x:v>
      </x:c>
      <x:c r="E398" s="8" t="str">
        <x:v>Microsoft; OpenAI</x:v>
      </x:c>
      <x:c r="F398" s="21" t="str">
        <x:f>VLOOKUP(H398,'Taxonomy'!$A$6:$G$70,3,FALSE)</x:f>
        <x:v>优化：从工作经验到系统能力</x:v>
      </x:c>
      <x:c r="G398" s="21" t="str">
        <x:f>VLOOKUP(H398,'Taxonomy'!$A$6:$G$70,5,FALSE)</x:f>
        <x:v>运行框架优化</x:v>
      </x:c>
      <x:c r="H398" s="8" t="str">
        <x:v>5.3.2</x:v>
      </x:c>
      <x:c r="I398" s="21" t="str">
        <x:f>VLOOKUP(H398,'Taxonomy'!$A$6:$G$70,6,FALSE)</x:f>
        <x:v>提示与工作流优化</x:v>
      </x:c>
      <x:c r="J398" s="8" t="str">
        <x:v>提示、流程与 harness 搜索;职业知识与专业判断</x:v>
      </x:c>
      <x:c r="K398" s="8" t="str">
        <x:v>推理与决策</x:v>
      </x:c>
      <x:c r="L398" s="8" t="str"/>
      <x:c r="M398" s="8" t="str">
        <x:v>提示与工作流优化</x:v>
      </x:c>
      <x:c r="N398" s="8" t="str">
        <x:v>Method</x:v>
      </x:c>
      <x:c r="O398" s="11" t="str">
        <x:v>https://arxiv.org/abs/2311.16452</x:v>
      </x:c>
      <x:c r="P398" s="8" t="str">
        <x:v>以动态少样本、思维链和集成提示研究通用模型在医学问答中的表现。</x:v>
      </x:c>
      <x:c r="Q398" s="8" t="str">
        <x:v>用于5.3.2「提示与工作流优化」：以动态少样本、思维链和集成提示研究通用模型在医学问答中的表现。</x:v>
      </x:c>
      <x:c r="R398" s="8" t="str">
        <x:v>支持论文所研究的规划、执行或反馈机制；跨环境可靠性仍需按原文实验设置判断。</x:v>
      </x:c>
      <x:c r="S398" s="8" t="str">
        <x:v>补充</x:v>
      </x:c>
      <x:c r="T398" s="22" t="str">
        <x:v>未分配</x:v>
      </x:c>
      <x:c r="U398" s="22" t="str"/>
      <x:c r="V398" s="22" t="str"/>
      <x:c r="W398" s="22" t="str"/>
      <x:c r="X398" s="8" t="str">
        <x:v>verified</x:v>
      </x:c>
      <x:c r="Y398" s="11" t="str"/>
      <x:c r="Z398" s="11" t="str"/>
      <x:c r="AA398" s="11" t="str">
        <x:v>https://arxiv.org/pdf/2311.16452</x:v>
      </x:c>
      <x:c r="AB398" s="11" t="str">
        <x:v>https://arxiv.org/abs/2311.16452</x:v>
      </x:c>
      <x:c r="AC398" s="8" t="str">
        <x:v>AIO-170</x:v>
      </x:c>
      <x:c r="AD398" s="8" t="str">
        <x:v>书目页、可得摘要与首页单位核验；未做全文精读。</x:v>
      </x:c>
      <x:c r="AE398" s="8" t="str"/>
      <x:c r="AF398" s="8" t="str">
        <x:v>按本综述5.3.2「提示与工作流优化」的写作用途归类；以动态少样本、思维链和集成提示研究通用模型在医学问答中的表现。</x:v>
      </x:c>
      <x:c r="AG398" s="8" t="str">
        <x:v>harness</x:v>
      </x:c>
      <x:c r="AH398" s="8" t="str">
        <x:v>prompt-workflow,professional-judgment</x:v>
      </x:c>
      <x:c r="AI398" s="8" t="str"/>
      <x:c r="AJ398" s="8" t="str">
        <x:v>2026-10-16 AI Office survey bibliography</x:v>
      </x:c>
      <x:c r="AK398" s="13" t="d">
        <x:v>2026-10-16T00:00:00.000Z</x:v>
      </x:c>
      <x:c r="AL398" s="8" t="str">
        <x:v>从新增来源发现候选，正式题名、链接及单位以可得一手资料为准。医学问答的提示方法，只作专业推理与框架优化背景，不代表临床工作流程验收。</x:v>
      </x:c>
      <x:c r="AM398" s="8" t="str"/>
    </x:row>
    <x:row r="399" ht="68" customHeight="1">
      <x:c r="A399" s="8" t="str">
        <x:v>WA-0413</x:v>
      </x:c>
      <x:c r="B399" s="8" t="str">
        <x:v>GPT-4</x:v>
      </x:c>
      <x:c r="C399" s="8" t="str">
        <x:v>GPT-4 Technical Report</x:v>
      </x:c>
      <x:c r="D399" s="9" t="n">
        <x:v>2023</x:v>
      </x:c>
      <x:c r="E399" s="8" t="str">
        <x:v>OpenAI</x:v>
      </x:c>
      <x:c r="F399" s="21" t="str">
        <x:f>VLOOKUP(H399,'Taxonomy'!$A$6:$G$70,3,FALSE)</x:f>
        <x:v>优化：从工作经验到系统能力</x:v>
      </x:c>
      <x:c r="G399" s="21" t="str">
        <x:f>VLOOKUP(H399,'Taxonomy'!$A$6:$G$70,5,FALSE)</x:f>
        <x:v>模型优化</x:v>
      </x:c>
      <x:c r="H399" s="8" t="str">
        <x:v>5.2.1</x:v>
      </x:c>
      <x:c r="I399" s="21" t="str">
        <x:f>VLOOKUP(H399,'Taxonomy'!$A$6:$G$70,6,FALSE)</x:f>
        <x:v>中期训练与监督微调</x:v>
      </x:c>
      <x:c r="J399" s="8" t="str">
        <x:v>模型参数学习;任务覆盖与泛化边界</x:v>
      </x:c>
      <x:c r="K399" s="8" t="str">
        <x:v>感知与理解;推理与决策</x:v>
      </x:c>
      <x:c r="L399" s="8" t="str"/>
      <x:c r="M399" s="8" t="str">
        <x:v>中期训练与监督微调</x:v>
      </x:c>
      <x:c r="N399" s="8" t="str">
        <x:v>Background</x:v>
      </x:c>
      <x:c r="O399" s="11" t="str">
        <x:v>https://arxiv.org/abs/2303.08774</x:v>
      </x:c>
      <x:c r="P399" s="8" t="str">
        <x:v>报告GPT-4的训练概况、多模态输入能力、评测和局限。</x:v>
      </x:c>
      <x:c r="Q399" s="8" t="str">
        <x:v>用于5.2.1「中期训练与监督微调」：报告GPT-4的训练概况、多模态输入能力、评测和局限。</x:v>
      </x:c>
      <x:c r="R399" s="8" t="str">
        <x:v>用于概念、训练或工作影响背景；不作为完整工作智能体已具备相应能力的直接证据。</x:v>
      </x:c>
      <x:c r="S399" s="8" t="str">
        <x:v>补充</x:v>
      </x:c>
      <x:c r="T399" s="22" t="str">
        <x:v>未分配</x:v>
      </x:c>
      <x:c r="U399" s="22" t="str"/>
      <x:c r="V399" s="22" t="str"/>
      <x:c r="W399" s="22" t="str"/>
      <x:c r="X399" s="8" t="str">
        <x:v>verified</x:v>
      </x:c>
      <x:c r="Y399" s="11" t="str"/>
      <x:c r="Z399" s="11" t="str"/>
      <x:c r="AA399" s="11" t="str">
        <x:v>https://arxiv.org/pdf/2303.08774</x:v>
      </x:c>
      <x:c r="AB399" s="11" t="str">
        <x:v>https://arxiv.org/abs/2303.08774</x:v>
      </x:c>
      <x:c r="AC399" s="8" t="str">
        <x:v>AIO-182</x:v>
      </x:c>
      <x:c r="AD399" s="8" t="str">
        <x:v>书目页、可得摘要与首页单位核验；未做全文精读。</x:v>
      </x:c>
      <x:c r="AE399" s="8" t="str"/>
      <x:c r="AF399" s="8" t="str">
        <x:v>按本综述5.2.1「中期训练与监督微调」的写作用途归类；报告GPT-4的训练概况、多模态输入能力、评测和局限。</x:v>
      </x:c>
      <x:c r="AG399" s="8" t="str">
        <x:v>related</x:v>
      </x:c>
      <x:c r="AH399" s="8" t="str">
        <x:v>model-training,coverage-work-requirements</x:v>
      </x:c>
      <x:c r="AI399" s="8" t="str"/>
      <x:c r="AJ399" s="8" t="str">
        <x:v>2026-10-16 AI Office survey bibliography</x:v>
      </x:c>
      <x:c r="AK399" s="13" t="d">
        <x:v>2026-10-16T00:00:00.000Z</x:v>
      </x:c>
      <x:c r="AL399" s="8" t="str">
        <x:v>从新增来源发现候选，正式题名、链接及单位以可得一手资料为准。</x:v>
      </x:c>
      <x:c r="AM399" s="8" t="str"/>
    </x:row>
    <x:row r="400" ht="68" customHeight="1">
      <x:c r="A400" s="8" t="str">
        <x:v>WA-0414</x:v>
      </x:c>
      <x:c r="B400" s="8" t="str">
        <x:v>SkillOS</x:v>
      </x:c>
      <x:c r="C400" s="8" t="str">
        <x:v>SkillOS: Learning Skill Curation for Self-Evolving Agents</x:v>
      </x:c>
      <x:c r="D400" s="9" t="n">
        <x:v>2026</x:v>
      </x:c>
      <x:c r="E400" s="8" t="str">
        <x:v>University of Illinois Urbana-Champaign; Google Cloud AI Research; Massachusetts Institute of Technology</x:v>
      </x:c>
      <x:c r="F400" s="21" t="str">
        <x:f>VLOOKUP(H400,'Taxonomy'!$A$6:$G$70,3,FALSE)</x:f>
        <x:v>优化：从工作经验到系统能力</x:v>
      </x:c>
      <x:c r="G400" s="21" t="str">
        <x:f>VLOOKUP(H400,'Taxonomy'!$A$6:$G$70,5,FALSE)</x:f>
        <x:v>模型—运行框架耦合优化</x:v>
      </x:c>
      <x:c r="H400" s="8" t="str">
        <x:v>5.4.2</x:v>
      </x:c>
      <x:c r="I400" s="21" t="str">
        <x:f>VLOOKUP(H400,'Taxonomy'!$A$6:$G$70,6,FALSE)</x:f>
        <x:v>学习式运行框架设计</x:v>
      </x:c>
      <x:c r="J400" s="8" t="str">
        <x:v>经验记忆与技能优化;模型参数学习;跨任务个性化与自演化</x:v>
      </x:c>
      <x:c r="K400" s="8" t="str">
        <x:v>规划与协调;验证、恢复与重新规划</x:v>
      </x:c>
      <x:c r="L400" s="8" t="str">
        <x:v>5.3.3 记忆与技能优化;7.2.3 持续个性化与自我演化</x:v>
      </x:c>
      <x:c r="M400" s="8" t="str">
        <x:v>记忆与技能优化;智能体强化学习;模型与运行框架耦合优化</x:v>
      </x:c>
      <x:c r="N400" s="8" t="str">
        <x:v>Method</x:v>
      </x:c>
      <x:c r="O400" s="11" t="str">
        <x:v>https://arxiv.org/abs/2605.06614</x:v>
      </x:c>
      <x:c r="P400" s="8" t="str">
        <x:v>学习技能管理策略，以维护、选择和更新外部技能库支持智能体自演化。</x:v>
      </x:c>
      <x:c r="Q400" s="8" t="str">
        <x:v>用于5.4.2「学习式运行框架设计」：学习技能管理策略，以维护、选择和更新外部技能库支持智能体自演化。</x:v>
      </x:c>
      <x:c r="R400" s="8" t="str">
        <x:v>外部记忆或技能改进不自动意味着基础模型权重学习，也不证明持续责任或跨领域泛化。</x:v>
      </x:c>
      <x:c r="S400" s="8" t="str">
        <x:v>补充</x:v>
      </x:c>
      <x:c r="T400" s="22" t="str">
        <x:v>未分配</x:v>
      </x:c>
      <x:c r="U400" s="22" t="str"/>
      <x:c r="V400" s="22" t="str"/>
      <x:c r="W400" s="22" t="str"/>
      <x:c r="X400" s="8" t="str">
        <x:v>verified</x:v>
      </x:c>
      <x:c r="Y400" s="11" t="str"/>
      <x:c r="Z400" s="11" t="str"/>
      <x:c r="AA400" s="11" t="str">
        <x:v>https://arxiv.org/pdf/2605.06614</x:v>
      </x:c>
      <x:c r="AB400" s="11" t="str">
        <x:v>https://arxiv.org/abs/2605.06614</x:v>
      </x:c>
      <x:c r="AC400" s="8" t="str">
        <x:v>AIO-188</x:v>
      </x:c>
      <x:c r="AD400" s="8" t="str">
        <x:v>书目页、可得摘要与首页单位核验；未做全文精读。</x:v>
      </x:c>
      <x:c r="AE400" s="8" t="str"/>
      <x:c r="AF400" s="8" t="str">
        <x:v>按本综述5.4.2「学习式运行框架设计」的写作用途归类；学习技能管理策略，以维护、选择和更新外部技能库支持智能体自演化。</x:v>
      </x:c>
      <x:c r="AG400" s="8" t="str">
        <x:v>harness</x:v>
      </x:c>
      <x:c r="AH400" s="8" t="str">
        <x:v>memory-skill,model-training,continual-adaptation</x:v>
      </x:c>
      <x:c r="AI400" s="8" t="str"/>
      <x:c r="AJ400" s="8" t="str">
        <x:v>2026-10-16 AI Office survey bibliography</x:v>
      </x:c>
      <x:c r="AK400" s="13" t="d">
        <x:v>2026-10-16T00:00:00.000Z</x:v>
      </x:c>
      <x:c r="AL400" s="8" t="str">
        <x:v>从新增来源发现候选，正式题名、链接及单位以可得一手资料为准。学习的是技能管理策略；外部技能更新和模型参数学习在分类中分别记录。</x:v>
      </x:c>
      <x:c r="AM400" s="8" t="str"/>
    </x:row>
    <x:row r="401" ht="68" customHeight="1">
      <x:c r="A401" s="8" t="str">
        <x:v>WA-0415</x:v>
      </x:c>
      <x:c r="B401" s="8" t="str">
        <x:v>Humans and Automation</x:v>
      </x:c>
      <x:c r="C401" s="8" t="str">
        <x:v>Humans and Automation: Use, Misuse, Disuse, Abuse</x:v>
      </x:c>
      <x:c r="D401" s="9" t="n">
        <x:v>1997</x:v>
      </x:c>
      <x:c r="E401" s="8" t="str"/>
      <x:c r="F401" s="21" t="str">
        <x:f>VLOOKUP(H401,'Taxonomy'!$A$6:$G$70,3,FALSE)</x:f>
        <x:v>前沿：下一代 Working Agents</x:v>
      </x:c>
      <x:c r="G401" s="21" t="str">
        <x:f>VLOOKUP(H401,'Taxonomy'!$A$6:$G$70,5,FALSE)</x:f>
        <x:v>从专业质量到使用价值</x:v>
      </x:c>
      <x:c r="H401" s="8" t="str">
        <x:v>7.3.3</x:v>
      </x:c>
      <x:c r="I401" s="21" t="str">
        <x:f>VLOOKUP(H401,'Taxonomy'!$A$6:$G$70,6,FALSE)</x:f>
        <x:v>质量判断与使用价值</x:v>
      </x:c>
      <x:c r="J401" s="8" t="str">
        <x:v>委托、责任与权限;安全、隐私与授权边界</x:v>
      </x:c>
      <x:c r="K401" s="8" t="str"/>
      <x:c r="L401" s="8" t="str"/>
      <x:c r="M401" s="8" t="str"/>
      <x:c r="N401" s="8" t="str">
        <x:v>Background</x:v>
      </x:c>
      <x:c r="O401" s="11" t="str">
        <x:v>https://doi.org/10.1518/001872097778543886</x:v>
      </x:c>
      <x:c r="P401" s="8" t="str">
        <x:v>讨论自动化使用、误用、不用与滥用对人机协作的影响。</x:v>
      </x:c>
      <x:c r="Q401" s="8" t="str">
        <x:v>用于7.3.3「质量判断与使用价值」：讨论自动化使用、误用、不用与滥用对人机协作的影响。</x:v>
      </x:c>
      <x:c r="R401" s="8" t="str">
        <x:v>用于概念、训练或工作影响背景；不作为完整工作智能体已具备相应能力的直接证据。</x:v>
      </x:c>
      <x:c r="S401" s="8" t="str">
        <x:v>补充</x:v>
      </x:c>
      <x:c r="T401" s="22" t="str">
        <x:v>未分配</x:v>
      </x:c>
      <x:c r="U401" s="22" t="str"/>
      <x:c r="V401" s="22" t="str"/>
      <x:c r="W401" s="22" t="str"/>
      <x:c r="X401" s="8" t="str">
        <x:v>metadata-only</x:v>
      </x:c>
      <x:c r="Y401" s="11" t="str"/>
      <x:c r="Z401" s="11" t="str"/>
      <x:c r="AA401" s="11" t="str"/>
      <x:c r="AB401" s="11" t="str">
        <x:v>https://doi.org/10.1518/001872097778543886</x:v>
      </x:c>
      <x:c r="AC401" s="8" t="str">
        <x:v>AIO-190</x:v>
      </x:c>
      <x:c r="AD401" s="8" t="str">
        <x:v>书目页、可得摘要与首页单位核验；未做全文精读。</x:v>
      </x:c>
      <x:c r="AE401" s="8" t="str"/>
      <x:c r="AF401" s="8" t="str">
        <x:v>按本综述7.3.3「质量判断与使用价值」的写作用途归类；讨论自动化使用、误用、不用与滥用对人机协作的影响。</x:v>
      </x:c>
      <x:c r="AG401" s="8" t="str">
        <x:v>related</x:v>
      </x:c>
      <x:c r="AH401" s="8" t="str">
        <x:v>delegation-authority,safety-authorization</x:v>
      </x:c>
      <x:c r="AI401" s="8" t="str"/>
      <x:c r="AJ401" s="8" t="str">
        <x:v>2026-10-16 AI Office survey bibliography</x:v>
      </x:c>
      <x:c r="AK401" s="13" t="d">
        <x:v>2026-10-16T00:00:00.000Z</x:v>
      </x:c>
      <x:c r="AL401" s="8" t="str">
        <x:v>从新增来源发现候选，正式题名、链接及单位以可得一手资料为准。题名和发表信息已通过出版方检索核对；本轮未获得完整单位证据，留空待补。</x:v>
      </x:c>
      <x:c r="AM401" s="8" t="str"/>
    </x:row>
    <x:row r="402" ht="68" customHeight="1">
      <x:c r="A402" s="8" t="str">
        <x:v>WA-0416</x:v>
      </x:c>
      <x:c r="B402" s="8" t="str">
        <x:v>Gorilla</x:v>
      </x:c>
      <x:c r="C402" s="8" t="str">
        <x:v>Gorilla: Large Language Model Connected with Massive APIs</x:v>
      </x:c>
      <x:c r="D402" s="9" t="n">
        <x:v>2023</x:v>
      </x:c>
      <x:c r="E402" s="8" t="str">
        <x:v>University of California, Berkeley; Microsoft Research</x:v>
      </x:c>
      <x:c r="F402" s="21" t="str">
        <x:f>VLOOKUP(H402,'Taxonomy'!$A$6:$G$70,3,FALSE)</x:f>
        <x:v>优化：从工作经验到系统能力</x:v>
      </x:c>
      <x:c r="G402" s="21" t="str">
        <x:f>VLOOKUP(H402,'Taxonomy'!$A$6:$G$70,5,FALSE)</x:f>
        <x:v>模型优化</x:v>
      </x:c>
      <x:c r="H402" s="8" t="str">
        <x:v>5.2.1</x:v>
      </x:c>
      <x:c r="I402" s="21" t="str">
        <x:f>VLOOKUP(H402,'Taxonomy'!$A$6:$G$70,6,FALSE)</x:f>
        <x:v>中期训练与监督微调</x:v>
      </x:c>
      <x:c r="J402" s="8" t="str">
        <x:v>模型参数学习;接口与观测优化</x:v>
      </x:c>
      <x:c r="K402" s="8" t="str">
        <x:v>推理与决策;执行与状态管理</x:v>
      </x:c>
      <x:c r="L402" s="8" t="str"/>
      <x:c r="M402" s="8" t="str">
        <x:v>中期训练与监督微调</x:v>
      </x:c>
      <x:c r="N402" s="8" t="str">
        <x:v>Method</x:v>
      </x:c>
      <x:c r="O402" s="11" t="str">
        <x:v>https://arxiv.org/abs/2305.15334</x:v>
      </x:c>
      <x:c r="P402" s="8" t="str">
        <x:v>通过API指令数据与检索支持语言模型生成工具调用。</x:v>
      </x:c>
      <x:c r="Q402" s="8" t="str">
        <x:v>用于5.2.1「中期训练与监督微调」：通过API指令数据与检索支持语言模型生成工具调用。</x:v>
      </x:c>
      <x:c r="R402" s="8" t="str">
        <x:v>支持论文所研究的规划、执行或反馈机制；跨环境可靠性仍需按原文实验设置判断。</x:v>
      </x:c>
      <x:c r="S402" s="8" t="str">
        <x:v>补充</x:v>
      </x:c>
      <x:c r="T402" s="22" t="str">
        <x:v>未分配</x:v>
      </x:c>
      <x:c r="U402" s="22" t="str"/>
      <x:c r="V402" s="22" t="str"/>
      <x:c r="W402" s="22" t="str"/>
      <x:c r="X402" s="8" t="str">
        <x:v>verified</x:v>
      </x:c>
      <x:c r="Y402" s="11" t="str"/>
      <x:c r="Z402" s="11" t="str"/>
      <x:c r="AA402" s="11" t="str">
        <x:v>https://arxiv.org/pdf/2305.15334</x:v>
      </x:c>
      <x:c r="AB402" s="11" t="str">
        <x:v>https://arxiv.org/abs/2305.15334</x:v>
      </x:c>
      <x:c r="AC402" s="8" t="str">
        <x:v>AIO-191</x:v>
      </x:c>
      <x:c r="AD402" s="8" t="str">
        <x:v>书目页、可得摘要与首页单位核验；未做全文精读。</x:v>
      </x:c>
      <x:c r="AE402" s="8" t="str"/>
      <x:c r="AF402" s="8" t="str">
        <x:v>按本综述5.2.1「中期训练与监督微调」的写作用途归类；通过API指令数据与检索支持语言模型生成工具调用。</x:v>
      </x:c>
      <x:c r="AG402" s="8" t="str">
        <x:v>harness</x:v>
      </x:c>
      <x:c r="AH402" s="8" t="str">
        <x:v>model-training,tool-interface</x:v>
      </x:c>
      <x:c r="AI402" s="8" t="str"/>
      <x:c r="AJ402" s="8" t="str">
        <x:v>2026-10-16 AI Office survey bibliography</x:v>
      </x:c>
      <x:c r="AK402" s="13" t="d">
        <x:v>2026-10-16T00:00:00.000Z</x:v>
      </x:c>
      <x:c r="AL402" s="8" t="str">
        <x:v>从新增来源发现候选，正式题名、链接及单位以可得一手资料为准。</x:v>
      </x:c>
      <x:c r="AM402" s="8" t="str"/>
    </x:row>
    <x:row r="403" ht="68" customHeight="1">
      <x:c r="A403" s="8" t="str">
        <x:v>WA-0417</x:v>
      </x:c>
      <x:c r="B403" s="8" t="str">
        <x:v>Text2Chart31</x:v>
      </x:c>
      <x:c r="C403" s="8" t="str">
        <x:v>Text2Chart31: Instruction Tuning for Chart Generation with Automatic Feedback</x:v>
      </x:c>
      <x:c r="D403" s="9" t="n">
        <x:v>2024</x:v>
      </x:c>
      <x:c r="E403" s="8" t="str">
        <x:v>Seoul National University; KAIST; NAVER AI Lab</x:v>
      </x:c>
      <x:c r="F403" s="21" t="str">
        <x:f>VLOOKUP(H403,'Taxonomy'!$A$6:$G$70,3,FALSE)</x:f>
        <x:v>优化：从工作经验到系统能力</x:v>
      </x:c>
      <x:c r="G403" s="21" t="str">
        <x:f>VLOOKUP(H403,'Taxonomy'!$A$6:$G$70,5,FALSE)</x:f>
        <x:v>训练环境、数据与奖励</x:v>
      </x:c>
      <x:c r="H403" s="8" t="str">
        <x:v>5.1.3</x:v>
      </x:c>
      <x:c r="I403" s="21" t="str">
        <x:f>VLOOKUP(H403,'Taxonomy'!$A$6:$G$70,6,FALSE)</x:f>
        <x:v>奖励与验证信号</x:v>
      </x:c>
      <x:c r="J403" s="8" t="str">
        <x:v>原生工件生成与编辑;训练奖励与可验证信号;模型参数学习</x:v>
      </x:c>
      <x:c r="K403" s="8" t="str">
        <x:v>感知与理解;执行与状态管理;验证、恢复与重新规划</x:v>
      </x:c>
      <x:c r="L403" s="8" t="str">
        <x:v>5.2.1 中期训练与监督微调;2.3.4 执行与状态管理</x:v>
      </x:c>
      <x:c r="M403" s="8" t="str">
        <x:v>奖励与验证信号;中期训练与监督微调</x:v>
      </x:c>
      <x:c r="N403" s="8" t="str">
        <x:v>Method;Benchmark</x:v>
      </x:c>
      <x:c r="O403" s="11" t="str">
        <x:v>https://aclanthology.org/2024.emnlp-main.640/</x:v>
      </x:c>
      <x:c r="P403" s="8" t="str">
        <x:v>构建文本到图表数据，并使用自动反馈改进图表代码生成。</x:v>
      </x:c>
      <x:c r="Q403" s="8" t="str">
        <x:v>用于5.1.3「奖励与验证信号」：构建文本到图表数据，并使用自动反馈改进图表代码生成。</x:v>
      </x:c>
      <x:c r="R403" s="8" t="str">
        <x:v>按该评测的任务、接口与验收协议解释；能力标签表示任务需求，不是模型已经具备该能力。</x:v>
      </x:c>
      <x:c r="S403" s="8" t="str">
        <x:v>核心</x:v>
      </x:c>
      <x:c r="T403" s="22" t="str">
        <x:v>未分配</x:v>
      </x:c>
      <x:c r="U403" s="22" t="str"/>
      <x:c r="V403" s="22" t="str"/>
      <x:c r="W403" s="22" t="str"/>
      <x:c r="X403" s="8" t="str">
        <x:v>verified</x:v>
      </x:c>
      <x:c r="Y403" s="11" t="str"/>
      <x:c r="Z403" s="11" t="str"/>
      <x:c r="AA403" s="11" t="str">
        <x:v>https://aclanthology.org/2024.emnlp-main.640.pdf</x:v>
      </x:c>
      <x:c r="AB403" s="11" t="str">
        <x:v>https://aclanthology.org/2024.emnlp-main.640/</x:v>
      </x:c>
      <x:c r="AC403" s="8" t="str">
        <x:v>AIO-194</x:v>
      </x:c>
      <x:c r="AD403" s="8" t="str">
        <x:v>书目页、可得摘要与首页单位核验；未做全文精读。</x:v>
      </x:c>
      <x:c r="AE403" s="8" t="str"/>
      <x:c r="AF403" s="8" t="str">
        <x:v>按本综述5.1.3「奖励与验证信号」的写作用途归类；构建文本到图表数据，并使用自动反馈改进图表代码生成。</x:v>
      </x:c>
      <x:c r="AG403" s="8" t="str">
        <x:v>artifact</x:v>
      </x:c>
      <x:c r="AH403" s="8" t="str">
        <x:v>artifact-editing,reward-verification,model-training</x:v>
      </x:c>
      <x:c r="AI403" s="8" t="str"/>
      <x:c r="AJ403" s="8" t="str">
        <x:v>2026-10-16 AI Office survey bibliography</x:v>
      </x:c>
      <x:c r="AK403" s="13" t="d">
        <x:v>2026-10-16T00:00:00.000Z</x:v>
      </x:c>
      <x:c r="AL403" s="8" t="str">
        <x:v>从新增来源发现候选，正式题名、链接及单位以可得一手资料为准。年份按所链接的arXiv首次公开时间，与来源中的会议出版年份可能不同。</x:v>
      </x:c>
      <x:c r="AM403" s="8" t="str"/>
    </x:row>
    <x:row r="404" ht="68" customHeight="1">
      <x:c r="A404" s="8" t="str">
        <x:v>WA-0418</x:v>
      </x:c>
      <x:c r="B404" s="8" t="str">
        <x:v>mEdIT</x:v>
      </x:c>
      <x:c r="C404" s="8" t="str">
        <x:v>mEdIT: Multilingual Text Editing via Instruction Tuning</x:v>
      </x:c>
      <x:c r="D404" s="9" t="n">
        <x:v>2024</x:v>
      </x:c>
      <x:c r="E404" s="8" t="str">
        <x:v>Grammarly; New York University Abu Dhabi</x:v>
      </x:c>
      <x:c r="F404" s="21" t="str">
        <x:f>VLOOKUP(H404,'Taxonomy'!$A$6:$G$70,3,FALSE)</x:f>
        <x:v>优化：从工作经验到系统能力</x:v>
      </x:c>
      <x:c r="G404" s="21" t="str">
        <x:f>VLOOKUP(H404,'Taxonomy'!$A$6:$G$70,5,FALSE)</x:f>
        <x:v>模型优化</x:v>
      </x:c>
      <x:c r="H404" s="8" t="str">
        <x:v>5.2.1</x:v>
      </x:c>
      <x:c r="I404" s="21" t="str">
        <x:f>VLOOKUP(H404,'Taxonomy'!$A$6:$G$70,6,FALSE)</x:f>
        <x:v>中期训练与监督微调</x:v>
      </x:c>
      <x:c r="J404" s="8" t="str">
        <x:v>连续编辑与内容保持;模型参数学习</x:v>
      </x:c>
      <x:c r="K404" s="8" t="str">
        <x:v>执行与状态管理</x:v>
      </x:c>
      <x:c r="L404" s="8" t="str">
        <x:v>2.3.4 执行与状态管理</x:v>
      </x:c>
      <x:c r="M404" s="8" t="str">
        <x:v>中期训练与监督微调</x:v>
      </x:c>
      <x:c r="N404" s="8" t="str">
        <x:v>Method</x:v>
      </x:c>
      <x:c r="O404" s="11" t="str">
        <x:v>https://arxiv.org/abs/2402.16472</x:v>
      </x:c>
      <x:c r="P404" s="8" t="str">
        <x:v>通过多语种指令微调支持多种文本编辑任务。</x:v>
      </x:c>
      <x:c r="Q404" s="8" t="str">
        <x:v>用于5.2.1「中期训练与监督微调」：通过多语种指令微调支持多种文本编辑任务。</x:v>
      </x:c>
      <x:c r="R404" s="8" t="str">
        <x:v>支持论文所研究的规划、执行或反馈机制；跨环境可靠性仍需按原文实验设置判断。</x:v>
      </x:c>
      <x:c r="S404" s="8" t="str">
        <x:v>补充</x:v>
      </x:c>
      <x:c r="T404" s="22" t="str">
        <x:v>未分配</x:v>
      </x:c>
      <x:c r="U404" s="22" t="str"/>
      <x:c r="V404" s="22" t="str"/>
      <x:c r="W404" s="22" t="str"/>
      <x:c r="X404" s="8" t="str">
        <x:v>verified</x:v>
      </x:c>
      <x:c r="Y404" s="11" t="str"/>
      <x:c r="Z404" s="11" t="str"/>
      <x:c r="AA404" s="11" t="str">
        <x:v>https://arxiv.org/pdf/2402.16472</x:v>
      </x:c>
      <x:c r="AB404" s="11" t="str">
        <x:v>https://arxiv.org/abs/2402.16472</x:v>
      </x:c>
      <x:c r="AC404" s="8" t="str">
        <x:v>AIO-205</x:v>
      </x:c>
      <x:c r="AD404" s="8" t="str">
        <x:v>书目页、可得摘要与首页单位核验；未做全文精读。</x:v>
      </x:c>
      <x:c r="AE404" s="8" t="str"/>
      <x:c r="AF404" s="8" t="str">
        <x:v>按本综述5.2.1「中期训练与监督微调」的写作用途归类；通过多语种指令微调支持多种文本编辑任务。</x:v>
      </x:c>
      <x:c r="AG404" s="8" t="str">
        <x:v>harness</x:v>
      </x:c>
      <x:c r="AH404" s="8" t="str">
        <x:v>continuous-editing,model-training</x:v>
      </x:c>
      <x:c r="AI404" s="8" t="str"/>
      <x:c r="AJ404" s="8" t="str">
        <x:v>2026-10-16 AI Office survey bibliography</x:v>
      </x:c>
      <x:c r="AK404" s="13" t="d">
        <x:v>2026-10-16T00:00:00.000Z</x:v>
      </x:c>
      <x:c r="AL404" s="8" t="str">
        <x:v>从新增来源发现候选，正式题名、链接及单位以可得一手资料为准。</x:v>
      </x:c>
      <x:c r="AM404" s="8" t="str"/>
    </x:row>
    <x:row r="405" ht="68" customHeight="1">
      <x:c r="A405" s="8" t="str">
        <x:v>WA-0419</x:v>
      </x:c>
      <x:c r="B405" s="8" t="str">
        <x:v>PDFTriage</x:v>
      </x:c>
      <x:c r="C405" s="8" t="str">
        <x:v>PDFTriage: Question Answering over Long, Structured Documents</x:v>
      </x:c>
      <x:c r="D405" s="9" t="n">
        <x:v>2023</x:v>
      </x:c>
      <x:c r="E405" s="8" t="str">
        <x:v>Stanford University; Adobe Research</x:v>
      </x:c>
      <x:c r="F405" s="21" t="str">
        <x:f>VLOOKUP(H405,'Taxonomy'!$A$6:$G$70,3,FALSE)</x:f>
        <x:v>基础：定义、工作条件与核心能力</x:v>
      </x:c>
      <x:c r="G405" s="21" t="str">
        <x:f>VLOOKUP(H405,'Taxonomy'!$A$6:$G$70,5,FALSE)</x:f>
        <x:v>五项核心能力</x:v>
      </x:c>
      <x:c r="H405" s="8" t="str">
        <x:v>2.3.1</x:v>
      </x:c>
      <x:c r="I405" s="21" t="str">
        <x:f>VLOOKUP(H405,'Taxonomy'!$A$6:$G$70,6,FALSE)</x:f>
        <x:v>感知与理解</x:v>
      </x:c>
      <x:c r="J405" s="8" t="str">
        <x:v>材料发现与证据定位;对象关系、来源与依赖</x:v>
      </x:c>
      <x:c r="K405" s="8" t="str">
        <x:v>感知与理解;推理与决策</x:v>
      </x:c>
      <x:c r="L405" s="8" t="str">
        <x:v>3.1 响应级工作</x:v>
      </x:c>
      <x:c r="M405" s="8" t="str"/>
      <x:c r="N405" s="8" t="str">
        <x:v>Method</x:v>
      </x:c>
      <x:c r="O405" s="11" t="str">
        <x:v>https://arxiv.org/abs/2309.08872</x:v>
      </x:c>
      <x:c r="P405" s="8" t="str">
        <x:v>按文档结构检索所需内容，回答长文档中的问题。</x:v>
      </x:c>
      <x:c r="Q405" s="8" t="str">
        <x:v>用于2.3.1「感知与理解」：按文档结构检索所需内容，回答长文档中的问题。</x:v>
      </x:c>
      <x:c r="R405" s="8" t="str">
        <x:v>支持论文所研究的规划、执行或反馈机制；跨环境可靠性仍需按原文实验设置判断。</x:v>
      </x:c>
      <x:c r="S405" s="8" t="str">
        <x:v>补充</x:v>
      </x:c>
      <x:c r="T405" s="22" t="str">
        <x:v>未分配</x:v>
      </x:c>
      <x:c r="U405" s="22" t="str"/>
      <x:c r="V405" s="22" t="str"/>
      <x:c r="W405" s="22" t="str"/>
      <x:c r="X405" s="8" t="str">
        <x:v>verified</x:v>
      </x:c>
      <x:c r="Y405" s="11" t="str"/>
      <x:c r="Z405" s="11" t="str"/>
      <x:c r="AA405" s="11" t="str">
        <x:v>https://arxiv.org/pdf/2309.08872</x:v>
      </x:c>
      <x:c r="AB405" s="11" t="str">
        <x:v>https://arxiv.org/abs/2309.08872</x:v>
      </x:c>
      <x:c r="AC405" s="8" t="str">
        <x:v>AIO-212</x:v>
      </x:c>
      <x:c r="AD405" s="8" t="str">
        <x:v>书目页、可得摘要与首页单位核验；未做全文精读。</x:v>
      </x:c>
      <x:c r="AE405" s="8" t="str"/>
      <x:c r="AF405" s="8" t="str">
        <x:v>按本综述2.3.1「感知与理解」的写作用途归类；按文档结构检索所需内容，回答长文档中的问题。</x:v>
      </x:c>
      <x:c r="AG405" s="8" t="str">
        <x:v>related</x:v>
      </x:c>
      <x:c r="AH405" s="8" t="str">
        <x:v>evidence-discovery,object-relations</x:v>
      </x:c>
      <x:c r="AI405" s="8" t="str"/>
      <x:c r="AJ405" s="8" t="str">
        <x:v>2026-10-16 AI Office survey bibliography</x:v>
      </x:c>
      <x:c r="AK405" s="13" t="d">
        <x:v>2026-10-16T00:00:00.000Z</x:v>
      </x:c>
      <x:c r="AL405" s="8" t="str">
        <x:v>从新增来源发现候选，正式题名、链接及单位以可得一手资料为准。</x:v>
      </x:c>
      <x:c r="AM405" s="8" t="str"/>
    </x:row>
    <x:row r="406" ht="68" customHeight="1">
      <x:c r="A406" s="8" t="str">
        <x:v>WA-0420</x:v>
      </x:c>
      <x:c r="B406" s="8" t="str">
        <x:v>PPO</x:v>
      </x:c>
      <x:c r="C406" s="8" t="str">
        <x:v>Proximal Policy Optimization Algorithms</x:v>
      </x:c>
      <x:c r="D406" s="9" t="n">
        <x:v>2017</x:v>
      </x:c>
      <x:c r="E406" s="8" t="str">
        <x:v>OpenAI</x:v>
      </x:c>
      <x:c r="F406" s="21" t="str">
        <x:f>VLOOKUP(H406,'Taxonomy'!$A$6:$G$70,3,FALSE)</x:f>
        <x:v>优化：从工作经验到系统能力</x:v>
      </x:c>
      <x:c r="G406" s="21" t="str">
        <x:f>VLOOKUP(H406,'Taxonomy'!$A$6:$G$70,5,FALSE)</x:f>
        <x:v>模型优化</x:v>
      </x:c>
      <x:c r="H406" s="8" t="str">
        <x:v>5.2.2</x:v>
      </x:c>
      <x:c r="I406" s="21" t="str">
        <x:f>VLOOKUP(H406,'Taxonomy'!$A$6:$G$70,6,FALSE)</x:f>
        <x:v>智能体强化学习</x:v>
      </x:c>
      <x:c r="J406" s="8" t="str">
        <x:v>模型参数学习</x:v>
      </x:c>
      <x:c r="K406" s="8" t="str"/>
      <x:c r="L406" s="8" t="str"/>
      <x:c r="M406" s="8" t="str"/>
      <x:c r="N406" s="8" t="str">
        <x:v>Background</x:v>
      </x:c>
      <x:c r="O406" s="11" t="str">
        <x:v>https://arxiv.org/abs/1707.06347</x:v>
      </x:c>
      <x:c r="P406" s="8" t="str">
        <x:v>提出基于裁剪代理目标的策略优化算法，作为智能体强化学习的基础方法。</x:v>
      </x:c>
      <x:c r="Q406" s="8" t="str">
        <x:v>用于5.2.2「智能体强化学习」：提出基于裁剪代理目标的策略优化算法，作为智能体强化学习的基础方法。</x:v>
      </x:c>
      <x:c r="R406" s="8" t="str">
        <x:v>用于概念、训练或工作影响背景；不作为完整工作智能体已具备相应能力的直接证据。</x:v>
      </x:c>
      <x:c r="S406" s="8" t="str">
        <x:v>补充</x:v>
      </x:c>
      <x:c r="T406" s="22" t="str">
        <x:v>未分配</x:v>
      </x:c>
      <x:c r="U406" s="22" t="str"/>
      <x:c r="V406" s="22" t="str"/>
      <x:c r="W406" s="22" t="str"/>
      <x:c r="X406" s="8" t="str">
        <x:v>verified</x:v>
      </x:c>
      <x:c r="Y406" s="11" t="str"/>
      <x:c r="Z406" s="11" t="str"/>
      <x:c r="AA406" s="11" t="str">
        <x:v>https://arxiv.org/pdf/1707.06347</x:v>
      </x:c>
      <x:c r="AB406" s="11" t="str">
        <x:v>https://arxiv.org/abs/1707.06347</x:v>
      </x:c>
      <x:c r="AC406" s="8" t="str">
        <x:v>AIO-215</x:v>
      </x:c>
      <x:c r="AD406" s="8" t="str">
        <x:v>书目页、可得摘要与首页单位核验；未做全文精读。</x:v>
      </x:c>
      <x:c r="AE406" s="8" t="str"/>
      <x:c r="AF406" s="8" t="str">
        <x:v>按本综述5.2.2「智能体强化学习」的写作用途归类；提出基于裁剪代理目标的策略优化算法，作为智能体强化学习的基础方法。</x:v>
      </x:c>
      <x:c r="AG406" s="8" t="str">
        <x:v>related</x:v>
      </x:c>
      <x:c r="AH406" s="8" t="str">
        <x:v>model-training</x:v>
      </x:c>
      <x:c r="AI406" s="8" t="str"/>
      <x:c r="AJ406" s="8" t="str">
        <x:v>2026-10-16 AI Office survey bibliography</x:v>
      </x:c>
      <x:c r="AK406" s="13" t="d">
        <x:v>2026-10-16T00:00:00.000Z</x:v>
      </x:c>
      <x:c r="AL406" s="8" t="str">
        <x:v>从新增来源发现候选，正式题名、链接及单位以可得一手资料为准。</x:v>
      </x:c>
      <x:c r="AM406" s="8" t="str"/>
    </x:row>
    <x:row r="407" ht="68" customHeight="1">
      <x:c r="A407" s="8" t="str">
        <x:v>WA-0421</x:v>
      </x:c>
      <x:c r="B407" s="8" t="str">
        <x:v>STORM</x:v>
      </x:c>
      <x:c r="C407" s="8" t="str">
        <x:v>Assisting in Writing Wikipedia-like Articles From Scratch with Large Language Models</x:v>
      </x:c>
      <x:c r="D407" s="9" t="n">
        <x:v>2024</x:v>
      </x:c>
      <x:c r="E407" s="8" t="str">
        <x:v>Stanford University</x:v>
      </x:c>
      <x:c r="F407" s="21" t="str">
        <x:f>VLOOKUP(H407,'Taxonomy'!$A$6:$G$70,3,FALSE)</x:f>
        <x:v>基础：定义、工作条件与核心能力</x:v>
      </x:c>
      <x:c r="G407" s="21" t="str">
        <x:f>VLOOKUP(H407,'Taxonomy'!$A$6:$G$70,5,FALSE)</x:f>
        <x:v>五项核心能力</x:v>
      </x:c>
      <x:c r="H407" s="8" t="str">
        <x:v>2.3.4</x:v>
      </x:c>
      <x:c r="I407" s="21" t="str">
        <x:f>VLOOKUP(H407,'Taxonomy'!$A$6:$G$70,6,FALSE)</x:f>
        <x:v>执行与状态管理</x:v>
      </x:c>
      <x:c r="J407" s="8" t="str">
        <x:v>原生工件生成与编辑;材料发现与证据定位;任务分解与行动依赖</x:v>
      </x:c>
      <x:c r="K407" s="8" t="str">
        <x:v>感知与理解;推理与决策;规划与协调;执行与状态管理</x:v>
      </x:c>
      <x:c r="L407" s="8" t="str">
        <x:v>2.3.1 感知与理解;2.3.3 规划与协调</x:v>
      </x:c>
      <x:c r="M407" s="8" t="str">
        <x:v>提示与工作流优化</x:v>
      </x:c>
      <x:c r="N407" s="8" t="str">
        <x:v>Method</x:v>
      </x:c>
      <x:c r="O407" s="11" t="str">
        <x:v>https://arxiv.org/abs/2402.14207</x:v>
      </x:c>
      <x:c r="P407" s="8" t="str">
        <x:v>先多角度检索并问答，再构建大纲与有来源的长文章。</x:v>
      </x:c>
      <x:c r="Q407" s="8" t="str">
        <x:v>用于2.3.4「执行与状态管理」：先多角度检索并问答，再构建大纲与有来源的长文章。</x:v>
      </x:c>
      <x:c r="R407" s="8" t="str">
        <x:v>限于论文评估的成果类型与编辑操作；不能据单类工件结果推断完整业务工作流可靠性。</x:v>
      </x:c>
      <x:c r="S407" s="8" t="str">
        <x:v>补充</x:v>
      </x:c>
      <x:c r="T407" s="22" t="str">
        <x:v>未分配</x:v>
      </x:c>
      <x:c r="U407" s="22" t="str"/>
      <x:c r="V407" s="22" t="str"/>
      <x:c r="W407" s="22" t="str"/>
      <x:c r="X407" s="8" t="str">
        <x:v>verified</x:v>
      </x:c>
      <x:c r="Y407" s="11" t="str"/>
      <x:c r="Z407" s="11" t="str"/>
      <x:c r="AA407" s="11" t="str">
        <x:v>https://arxiv.org/pdf/2402.14207</x:v>
      </x:c>
      <x:c r="AB407" s="11" t="str">
        <x:v>https://arxiv.org/abs/2402.14207</x:v>
      </x:c>
      <x:c r="AC407" s="8" t="str">
        <x:v>AIO-216</x:v>
      </x:c>
      <x:c r="AD407" s="8" t="str">
        <x:v>书目页、可得摘要与首页单位核验；未做全文精读。</x:v>
      </x:c>
      <x:c r="AE407" s="8" t="str"/>
      <x:c r="AF407" s="8" t="str">
        <x:v>按本综述2.3.4「执行与状态管理」的写作用途归类；先多角度检索并问答，再构建大纲与有来源的长文章。</x:v>
      </x:c>
      <x:c r="AG407" s="8" t="str">
        <x:v>artifact</x:v>
      </x:c>
      <x:c r="AH407" s="8" t="str">
        <x:v>artifact-editing,evidence-discovery,planning-dependencies</x:v>
      </x:c>
      <x:c r="AI407" s="8" t="str"/>
      <x:c r="AJ407" s="8" t="str">
        <x:v>2026-10-16 AI Office survey bibliography</x:v>
      </x:c>
      <x:c r="AK407" s="13" t="d">
        <x:v>2026-10-16T00:00:00.000Z</x:v>
      </x:c>
      <x:c r="AL407" s="8" t="str">
        <x:v>从新增来源发现候选，正式题名、链接及单位以可得一手资料为准。</x:v>
      </x:c>
      <x:c r="AM407" s="8" t="str"/>
    </x:row>
    <x:row r="408" ht="68" customHeight="1">
      <x:c r="A408" s="8" t="str">
        <x:v>WA-0422</x:v>
      </x:c>
      <x:c r="B408" s="8" t="str">
        <x:v>DeepSeekMath</x:v>
      </x:c>
      <x:c r="C408" s="8" t="str">
        <x:v>DeepSeekMath: Pushing the Limits of Mathematical Reasoning in Open Language Models</x:v>
      </x:c>
      <x:c r="D408" s="9" t="n">
        <x:v>2024</x:v>
      </x:c>
      <x:c r="E408" s="8" t="str">
        <x:v>DeepSeek-AI; Tsinghua University; Peking University</x:v>
      </x:c>
      <x:c r="F408" s="21" t="str">
        <x:f>VLOOKUP(H408,'Taxonomy'!$A$6:$G$70,3,FALSE)</x:f>
        <x:v>优化：从工作经验到系统能力</x:v>
      </x:c>
      <x:c r="G408" s="21" t="str">
        <x:f>VLOOKUP(H408,'Taxonomy'!$A$6:$G$70,5,FALSE)</x:f>
        <x:v>模型优化</x:v>
      </x:c>
      <x:c r="H408" s="8" t="str">
        <x:v>5.2.2</x:v>
      </x:c>
      <x:c r="I408" s="21" t="str">
        <x:f>VLOOKUP(H408,'Taxonomy'!$A$6:$G$70,6,FALSE)</x:f>
        <x:v>智能体强化学习</x:v>
      </x:c>
      <x:c r="J408" s="8" t="str">
        <x:v>模型参数学习;训练奖励与可验证信号</x:v>
      </x:c>
      <x:c r="K408" s="8" t="str">
        <x:v>推理与决策</x:v>
      </x:c>
      <x:c r="L408" s="8" t="str">
        <x:v>5.1.3 奖励与验证信号</x:v>
      </x:c>
      <x:c r="M408" s="8" t="str"/>
      <x:c r="N408" s="8" t="str">
        <x:v>Background</x:v>
      </x:c>
      <x:c r="O408" s="11" t="str">
        <x:v>https://arxiv.org/abs/2402.03300</x:v>
      </x:c>
      <x:c r="P408" s="8" t="str">
        <x:v>研究数学预训练与组相对策略优化，为推理强化学习提供方法基础。</x:v>
      </x:c>
      <x:c r="Q408" s="8" t="str">
        <x:v>用于5.2.2「智能体强化学习」：研究数学预训练与组相对策略优化，为推理强化学习提供方法基础。</x:v>
      </x:c>
      <x:c r="R408" s="8" t="str">
        <x:v>用于概念、训练或工作影响背景；不作为完整工作智能体已具备相应能力的直接证据。</x:v>
      </x:c>
      <x:c r="S408" s="8" t="str">
        <x:v>补充</x:v>
      </x:c>
      <x:c r="T408" s="22" t="str">
        <x:v>未分配</x:v>
      </x:c>
      <x:c r="U408" s="22" t="str"/>
      <x:c r="V408" s="22" t="str"/>
      <x:c r="W408" s="22" t="str"/>
      <x:c r="X408" s="8" t="str">
        <x:v>verified</x:v>
      </x:c>
      <x:c r="Y408" s="11" t="str"/>
      <x:c r="Z408" s="11" t="str"/>
      <x:c r="AA408" s="11" t="str">
        <x:v>https://arxiv.org/pdf/2402.03300</x:v>
      </x:c>
      <x:c r="AB408" s="11" t="str">
        <x:v>https://arxiv.org/abs/2402.03300</x:v>
      </x:c>
      <x:c r="AC408" s="8" t="str">
        <x:v>AIO-217</x:v>
      </x:c>
      <x:c r="AD408" s="8" t="str">
        <x:v>书目页、可得摘要与首页单位核验；未做全文精读。</x:v>
      </x:c>
      <x:c r="AE408" s="8" t="str"/>
      <x:c r="AF408" s="8" t="str">
        <x:v>按本综述5.2.2「智能体强化学习」的写作用途归类；研究数学预训练与组相对策略优化，为推理强化学习提供方法基础。</x:v>
      </x:c>
      <x:c r="AG408" s="8" t="str">
        <x:v>related</x:v>
      </x:c>
      <x:c r="AH408" s="8" t="str">
        <x:v>model-training,reward-verification</x:v>
      </x:c>
      <x:c r="AI408" s="8" t="str"/>
      <x:c r="AJ408" s="8" t="str">
        <x:v>2026-10-16 AI Office survey bibliography</x:v>
      </x:c>
      <x:c r="AK408" s="13" t="d">
        <x:v>2026-10-16T00:00:00.000Z</x:v>
      </x:c>
      <x:c r="AL408" s="8" t="str">
        <x:v>从新增来源发现候选，正式题名、链接及单位以可得一手资料为准。</x:v>
      </x:c>
      <x:c r="AM408" s="8" t="str"/>
    </x:row>
    <x:row r="409" ht="68" customHeight="1">
      <x:c r="A409" s="8" t="str">
        <x:v>WA-0423</x:v>
      </x:c>
      <x:c r="B409" s="8" t="str">
        <x:v>HuggingGPT</x:v>
      </x:c>
      <x:c r="C409" s="8" t="str">
        <x:v>HuggingGPT: Solving AI Tasks with ChatGPT and its Friends in Hugging Face</x:v>
      </x:c>
      <x:c r="D409" s="9" t="n">
        <x:v>2023</x:v>
      </x:c>
      <x:c r="E409" s="8" t="str">
        <x:v>Zhejiang University; Microsoft Research Asia</x:v>
      </x:c>
      <x:c r="F409" s="21" t="str">
        <x:f>VLOOKUP(H409,'Taxonomy'!$A$6:$G$70,3,FALSE)</x:f>
        <x:v>基础：定义、工作条件与核心能力</x:v>
      </x:c>
      <x:c r="G409" s="21" t="str">
        <x:f>VLOOKUP(H409,'Taxonomy'!$A$6:$G$70,5,FALSE)</x:f>
        <x:v>五项核心能力</x:v>
      </x:c>
      <x:c r="H409" s="8" t="str">
        <x:v>2.3.3</x:v>
      </x:c>
      <x:c r="I409" s="21" t="str">
        <x:f>VLOOKUP(H409,'Taxonomy'!$A$6:$G$70,6,FALSE)</x:f>
        <x:v>规划与协调</x:v>
      </x:c>
      <x:c r="J409" s="8" t="str">
        <x:v>任务分解与行动依赖;工具、界面与应用执行</x:v>
      </x:c>
      <x:c r="K409" s="8" t="str">
        <x:v>推理与决策;规划与协调;执行与状态管理</x:v>
      </x:c>
      <x:c r="L409" s="8" t="str"/>
      <x:c r="M409" s="8" t="str">
        <x:v>接口与工具优化;提示与工作流优化</x:v>
      </x:c>
      <x:c r="N409" s="8" t="str">
        <x:v>Framework</x:v>
      </x:c>
      <x:c r="O409" s="11" t="str">
        <x:v>https://arxiv.org/abs/2303.17580</x:v>
      </x:c>
      <x:c r="P409" s="8" t="str">
        <x:v>由语言模型规划任务、选择外部模型、执行并汇总多模态结果。</x:v>
      </x:c>
      <x:c r="Q409" s="8" t="str">
        <x:v>用于2.3.3「规划与协调」：由语言模型规划任务、选择外部模型、执行并汇总多模态结果。</x:v>
      </x:c>
      <x:c r="R409" s="8" t="str">
        <x:v>支持论文所研究的规划、执行或反馈机制；跨环境可靠性仍需按原文实验设置判断。</x:v>
      </x:c>
      <x:c r="S409" s="8" t="str">
        <x:v>补充</x:v>
      </x:c>
      <x:c r="T409" s="22" t="str">
        <x:v>未分配</x:v>
      </x:c>
      <x:c r="U409" s="22" t="str"/>
      <x:c r="V409" s="22" t="str"/>
      <x:c r="W409" s="22" t="str"/>
      <x:c r="X409" s="8" t="str">
        <x:v>verified</x:v>
      </x:c>
      <x:c r="Y409" s="11" t="str">
        <x:v>https://github.com/microsoft/JARVIS</x:v>
      </x:c>
      <x:c r="Z409" s="11" t="str"/>
      <x:c r="AA409" s="11" t="str">
        <x:v>https://arxiv.org/pdf/2303.17580</x:v>
      </x:c>
      <x:c r="AB409" s="11" t="str">
        <x:v>https://arxiv.org/abs/2303.17580</x:v>
      </x:c>
      <x:c r="AC409" s="8" t="str">
        <x:v>AIO-218</x:v>
      </x:c>
      <x:c r="AD409" s="8" t="str">
        <x:v>书目页、可得摘要与首页单位核验；未做全文精读。</x:v>
      </x:c>
      <x:c r="AE409" s="8" t="str"/>
      <x:c r="AF409" s="8" t="str">
        <x:v>按本综述2.3.3「规划与协调」的写作用途归类；由语言模型规划任务、选择外部模型、执行并汇总多模态结果。</x:v>
      </x:c>
      <x:c r="AG409" s="8" t="str">
        <x:v>tool-enterprise</x:v>
      </x:c>
      <x:c r="AH409" s="8" t="str">
        <x:v>planning-dependencies,tool-execution</x:v>
      </x:c>
      <x:c r="AI409" s="8" t="str"/>
      <x:c r="AJ409" s="8" t="str">
        <x:v>2026-10-16 AI Office survey bibliography</x:v>
      </x:c>
      <x:c r="AK409" s="13" t="d">
        <x:v>2026-10-16T00:00:00.000Z</x:v>
      </x:c>
      <x:c r="AL409" s="8" t="str">
        <x:v>从新增来源发现候选，正式题名、链接及单位以可得一手资料为准。</x:v>
      </x:c>
      <x:c r="AM409" s="8" t="str"/>
    </x:row>
    <x:row r="410" ht="68" customHeight="1">
      <x:c r="A410" s="8" t="str">
        <x:v>WA-0424</x:v>
      </x:c>
      <x:c r="B410" s="8" t="str">
        <x:v>RewriteLM</x:v>
      </x:c>
      <x:c r="C410" s="8" t="str">
        <x:v>RewriteLM: An Instruction-Tuned Large Language Model for Text Rewriting</x:v>
      </x:c>
      <x:c r="D410" s="9" t="n">
        <x:v>2023</x:v>
      </x:c>
      <x:c r="E410" s="8" t="str">
        <x:v>Google Research</x:v>
      </x:c>
      <x:c r="F410" s="21" t="str">
        <x:f>VLOOKUP(H410,'Taxonomy'!$A$6:$G$70,3,FALSE)</x:f>
        <x:v>优化：从工作经验到系统能力</x:v>
      </x:c>
      <x:c r="G410" s="21" t="str">
        <x:f>VLOOKUP(H410,'Taxonomy'!$A$6:$G$70,5,FALSE)</x:f>
        <x:v>模型优化</x:v>
      </x:c>
      <x:c r="H410" s="8" t="str">
        <x:v>5.2.1</x:v>
      </x:c>
      <x:c r="I410" s="21" t="str">
        <x:f>VLOOKUP(H410,'Taxonomy'!$A$6:$G$70,6,FALSE)</x:f>
        <x:v>中期训练与监督微调</x:v>
      </x:c>
      <x:c r="J410" s="8" t="str">
        <x:v>连续编辑与内容保持;模型参数学习</x:v>
      </x:c>
      <x:c r="K410" s="8" t="str">
        <x:v>执行与状态管理</x:v>
      </x:c>
      <x:c r="L410" s="8" t="str">
        <x:v>2.3.4 执行与状态管理</x:v>
      </x:c>
      <x:c r="M410" s="8" t="str">
        <x:v>中期训练与监督微调</x:v>
      </x:c>
      <x:c r="N410" s="8" t="str">
        <x:v>Method</x:v>
      </x:c>
      <x:c r="O410" s="11" t="str">
        <x:v>https://arxiv.org/abs/2305.15685</x:v>
      </x:c>
      <x:c r="P410" s="8" t="str">
        <x:v>利用指令微调覆盖多种改写要求，并以开放改写评测检验模型。</x:v>
      </x:c>
      <x:c r="Q410" s="8" t="str">
        <x:v>用于5.2.1「中期训练与监督微调」：利用指令微调覆盖多种改写要求，并以开放改写评测检验模型。</x:v>
      </x:c>
      <x:c r="R410" s="8" t="str">
        <x:v>支持论文所研究的规划、执行或反馈机制；跨环境可靠性仍需按原文实验设置判断。</x:v>
      </x:c>
      <x:c r="S410" s="8" t="str">
        <x:v>补充</x:v>
      </x:c>
      <x:c r="T410" s="22" t="str">
        <x:v>未分配</x:v>
      </x:c>
      <x:c r="U410" s="22" t="str"/>
      <x:c r="V410" s="22" t="str"/>
      <x:c r="W410" s="22" t="str"/>
      <x:c r="X410" s="8" t="str">
        <x:v>verified</x:v>
      </x:c>
      <x:c r="Y410" s="11" t="str"/>
      <x:c r="Z410" s="11" t="str"/>
      <x:c r="AA410" s="11" t="str">
        <x:v>https://arxiv.org/pdf/2305.15685</x:v>
      </x:c>
      <x:c r="AB410" s="11" t="str">
        <x:v>https://arxiv.org/abs/2305.15685</x:v>
      </x:c>
      <x:c r="AC410" s="8" t="str">
        <x:v>AIO-220</x:v>
      </x:c>
      <x:c r="AD410" s="8" t="str">
        <x:v>书目页、可得摘要与首页单位核验；未做全文精读。</x:v>
      </x:c>
      <x:c r="AE410" s="8" t="str"/>
      <x:c r="AF410" s="8" t="str">
        <x:v>按本综述5.2.1「中期训练与监督微调」的写作用途归类；利用指令微调覆盖多种改写要求，并以开放改写评测检验模型。</x:v>
      </x:c>
      <x:c r="AG410" s="8" t="str">
        <x:v>harness</x:v>
      </x:c>
      <x:c r="AH410" s="8" t="str">
        <x:v>continuous-editing,model-training</x:v>
      </x:c>
      <x:c r="AI410" s="8" t="str"/>
      <x:c r="AJ410" s="8" t="str">
        <x:v>2026-10-16 AI Office survey bibliography</x:v>
      </x:c>
      <x:c r="AK410" s="13" t="d">
        <x:v>2026-10-16T00:00:00.000Z</x:v>
      </x:c>
      <x:c r="AL410" s="8" t="str">
        <x:v>从新增来源发现候选，正式题名、链接及单位以可得一手资料为准。</x:v>
      </x:c>
      <x:c r="AM410" s="8" t="str"/>
    </x:row>
    <x:row r="411" ht="68" customHeight="1">
      <x:c r="A411" s="8" t="str">
        <x:v>WA-0425</x:v>
      </x:c>
      <x:c r="B411" s="8" t="str">
        <x:v>FormaT5</x:v>
      </x:c>
      <x:c r="C411" s="8" t="str">
        <x:v>FormaT5: Abstention and Examples for Conditional Table Formatting with Natural Language</x:v>
      </x:c>
      <x:c r="D411" s="9" t="n">
        <x:v>2023</x:v>
      </x:c>
      <x:c r="E411" s="8" t="str">
        <x:v>Microsoft</x:v>
      </x:c>
      <x:c r="F411" s="21" t="str">
        <x:f>VLOOKUP(H411,'Taxonomy'!$A$6:$G$70,3,FALSE)</x:f>
        <x:v>基础：定义、工作条件与核心能力</x:v>
      </x:c>
      <x:c r="G411" s="21" t="str">
        <x:f>VLOOKUP(H411,'Taxonomy'!$A$6:$G$70,5,FALSE)</x:f>
        <x:v>五项核心能力</x:v>
      </x:c>
      <x:c r="H411" s="8" t="str">
        <x:v>2.3.4</x:v>
      </x:c>
      <x:c r="I411" s="21" t="str">
        <x:f>VLOOKUP(H411,'Taxonomy'!$A$6:$G$70,6,FALSE)</x:f>
        <x:v>执行与状态管理</x:v>
      </x:c>
      <x:c r="J411" s="8" t="str">
        <x:v>原生工件生成与编辑;接口与观测优化</x:v>
      </x:c>
      <x:c r="K411" s="8" t="str">
        <x:v>推理与决策;执行与状态管理</x:v>
      </x:c>
      <x:c r="L411" s="8" t="str">
        <x:v>3.2 原子动作级工作</x:v>
      </x:c>
      <x:c r="M411" s="8" t="str"/>
      <x:c r="N411" s="8" t="str">
        <x:v>Method</x:v>
      </x:c>
      <x:c r="O411" s="11" t="str">
        <x:v>https://arxiv.org/abs/2310.17306</x:v>
      </x:c>
      <x:c r="P411" s="8" t="str">
        <x:v>结合示例与拒答机制把自然语言要求转为表格条件格式操作。</x:v>
      </x:c>
      <x:c r="Q411" s="8" t="str">
        <x:v>用于2.3.4「执行与状态管理」：结合示例与拒答机制把自然语言要求转为表格条件格式操作。</x:v>
      </x:c>
      <x:c r="R411" s="8" t="str">
        <x:v>限于论文评估的成果类型与编辑操作；不能据单类工件结果推断完整业务工作流可靠性。</x:v>
      </x:c>
      <x:c r="S411" s="8" t="str">
        <x:v>补充</x:v>
      </x:c>
      <x:c r="T411" s="22" t="str">
        <x:v>未分配</x:v>
      </x:c>
      <x:c r="U411" s="22" t="str"/>
      <x:c r="V411" s="22" t="str"/>
      <x:c r="W411" s="22" t="str"/>
      <x:c r="X411" s="8" t="str">
        <x:v>verified</x:v>
      </x:c>
      <x:c r="Y411" s="11" t="str"/>
      <x:c r="Z411" s="11" t="str"/>
      <x:c r="AA411" s="11" t="str">
        <x:v>https://www.vldb.org/pvldb/vol17/p497-singh.pdf</x:v>
      </x:c>
      <x:c r="AB411" s="11" t="str">
        <x:v>https://arxiv.org/abs/2310.17306</x:v>
      </x:c>
      <x:c r="AC411" s="8" t="str">
        <x:v>AIO-221</x:v>
      </x:c>
      <x:c r="AD411" s="8" t="str">
        <x:v>书目页、可得摘要与首页单位核验；未做全文精读。</x:v>
      </x:c>
      <x:c r="AE411" s="8" t="str"/>
      <x:c r="AF411" s="8" t="str">
        <x:v>按本综述2.3.4「执行与状态管理」的写作用途归类；结合示例与拒答机制把自然语言要求转为表格条件格式操作。</x:v>
      </x:c>
      <x:c r="AG411" s="8" t="str">
        <x:v>artifact</x:v>
      </x:c>
      <x:c r="AH411" s="8" t="str">
        <x:v>artifact-editing,tool-interface</x:v>
      </x:c>
      <x:c r="AI411" s="8" t="str"/>
      <x:c r="AJ411" s="8" t="str">
        <x:v>2026-10-16 AI Office survey bibliography</x:v>
      </x:c>
      <x:c r="AK411" s="13" t="d">
        <x:v>2026-10-16T00:00:00.000Z</x:v>
      </x:c>
      <x:c r="AL411" s="8" t="str">
        <x:v>从新增来源发现候选，正式题名、链接及单位以可得一手资料为准。arXiv书目页可读，但PDF接口返回404；单位从VLDB正式论文首页复核。</x:v>
      </x:c>
      <x:c r="AM411" s="8" t="str"/>
    </x:row>
    <x:row r="412" ht="68" customHeight="1">
      <x:c r="A412" s="8" t="str">
        <x:v>WA-0426</x:v>
      </x:c>
      <x:c r="B412" s="8" t="str">
        <x:v>CoAct-1</x:v>
      </x:c>
      <x:c r="C412" s="8" t="str">
        <x:v>CoAct-1: Computer-using Multi-Agent System with Coding Actions</x:v>
      </x:c>
      <x:c r="D412" s="9" t="n">
        <x:v>2025</x:v>
      </x:c>
      <x:c r="E412" s="8" t="str">
        <x:v>University of Southern California; Salesforce; University of Washington</x:v>
      </x:c>
      <x:c r="F412" s="21" t="str">
        <x:f>VLOOKUP(H412,'Taxonomy'!$A$6:$G$70,3,FALSE)</x:f>
        <x:v>优化：从工作经验到系统能力</x:v>
      </x:c>
      <x:c r="G412" s="21" t="str">
        <x:f>VLOOKUP(H412,'Taxonomy'!$A$6:$G$70,5,FALSE)</x:f>
        <x:v>运行框架优化</x:v>
      </x:c>
      <x:c r="H412" s="8" t="str">
        <x:v>5.3.1</x:v>
      </x:c>
      <x:c r="I412" s="21" t="str">
        <x:f>VLOOKUP(H412,'Taxonomy'!$A$6:$G$70,6,FALSE)</x:f>
        <x:v>接口与工具优化</x:v>
      </x:c>
      <x:c r="J412" s="8" t="str">
        <x:v>接口与观测优化;分布信息、澄清与协调;工具、界面与应用执行</x:v>
      </x:c>
      <x:c r="K412" s="8" t="str">
        <x:v>规划与协调;执行与状态管理</x:v>
      </x:c>
      <x:c r="L412" s="8" t="str">
        <x:v>2.4.2 计算机使用智能体;2.3.3 规划与协调</x:v>
      </x:c>
      <x:c r="M412" s="8" t="str">
        <x:v>接口与工具优化;提示与工作流优化</x:v>
      </x:c>
      <x:c r="N412" s="8" t="str">
        <x:v>Framework</x:v>
      </x:c>
      <x:c r="O412" s="11" t="str">
        <x:v>https://arxiv.org/abs/2508.03923</x:v>
      </x:c>
      <x:c r="P412" s="8" t="str">
        <x:v>结合规划、GUI交互和代码动作，以多智能体协作完成计算机任务。</x:v>
      </x:c>
      <x:c r="Q412" s="8" t="str">
        <x:v>用于5.3.1「接口与工具优化」：结合规划、GUI交互和代码动作，以多智能体协作完成计算机任务。</x:v>
      </x:c>
      <x:c r="R412" s="8" t="str">
        <x:v>支持论文所研究的规划、执行或反馈机制；跨环境可靠性仍需按原文实验设置判断。</x:v>
      </x:c>
      <x:c r="S412" s="8" t="str">
        <x:v>补充</x:v>
      </x:c>
      <x:c r="T412" s="22" t="str">
        <x:v>未分配</x:v>
      </x:c>
      <x:c r="U412" s="22" t="str"/>
      <x:c r="V412" s="22" t="str"/>
      <x:c r="W412" s="22" t="str"/>
      <x:c r="X412" s="8" t="str">
        <x:v>verified</x:v>
      </x:c>
      <x:c r="Y412" s="11" t="str">
        <x:v>https://github.com/SalesforceAIResearch/CoAct-1</x:v>
      </x:c>
      <x:c r="Z412" s="11" t="str"/>
      <x:c r="AA412" s="11" t="str">
        <x:v>https://arxiv.org/pdf/2508.03923</x:v>
      </x:c>
      <x:c r="AB412" s="11" t="str">
        <x:v>https://arxiv.org/abs/2508.03923</x:v>
      </x:c>
      <x:c r="AC412" s="8" t="str">
        <x:v>AIO-223</x:v>
      </x:c>
      <x:c r="AD412" s="8" t="str">
        <x:v>书目页、可得摘要与首页单位核验；未做全文精读。</x:v>
      </x:c>
      <x:c r="AE412" s="8" t="str"/>
      <x:c r="AF412" s="8" t="str">
        <x:v>按本综述5.3.1「接口与工具优化」的写作用途归类；结合规划、GUI交互和代码动作，以多智能体协作完成计算机任务。</x:v>
      </x:c>
      <x:c r="AG412" s="8" t="str">
        <x:v>harness</x:v>
      </x:c>
      <x:c r="AH412" s="8" t="str">
        <x:v>tool-interface,participant-coordination,tool-execution</x:v>
      </x:c>
      <x:c r="AI412" s="8" t="str"/>
      <x:c r="AJ412" s="8" t="str">
        <x:v>2026-10-16 AI Office survey bibliography</x:v>
      </x:c>
      <x:c r="AK412" s="13" t="d">
        <x:v>2026-10-16T00:00:00.000Z</x:v>
      </x:c>
      <x:c r="AL412" s="8" t="str">
        <x:v>从新增来源发现候选，正式题名、链接及单位以可得一手资料为准。</x:v>
      </x:c>
      <x:c r="AM412" s="8" t="str"/>
    </x:row>
    <x:row r="413" ht="68" customHeight="1">
      <x:c r="A413" s="8" t="str">
        <x:v>WA-0427</x:v>
      </x:c>
      <x:c r="B413" s="8" t="str">
        <x:v>On-Policy Distillation Survey</x:v>
      </x:c>
      <x:c r="C413" s="8" t="str">
        <x:v>A Survey of On-Policy Distillation for Large Language Models</x:v>
      </x:c>
      <x:c r="D413" s="9" t="n">
        <x:v>2026</x:v>
      </x:c>
      <x:c r="E413" s="8" t="str">
        <x:v>Tencent</x:v>
      </x:c>
      <x:c r="F413" s="21" t="str">
        <x:f>VLOOKUP(H413,'Taxonomy'!$A$6:$G$70,3,FALSE)</x:f>
        <x:v>优化：从工作经验到系统能力</x:v>
      </x:c>
      <x:c r="G413" s="21" t="str">
        <x:f>VLOOKUP(H413,'Taxonomy'!$A$6:$G$70,5,FALSE)</x:f>
        <x:v>模型优化</x:v>
      </x:c>
      <x:c r="H413" s="8" t="str">
        <x:v>5.2.3</x:v>
      </x:c>
      <x:c r="I413" s="21" t="str">
        <x:f>VLOOKUP(H413,'Taxonomy'!$A$6:$G$70,6,FALSE)</x:f>
        <x:v>同策略蒸馏</x:v>
      </x:c>
      <x:c r="J413" s="8" t="str">
        <x:v>模型参数学习;范式与自主性边界</x:v>
      </x:c>
      <x:c r="K413" s="8" t="str"/>
      <x:c r="L413" s="8" t="str">
        <x:v>5.2.2 智能体强化学习</x:v>
      </x:c>
      <x:c r="M413" s="8" t="str"/>
      <x:c r="N413" s="8" t="str">
        <x:v>Survey</x:v>
      </x:c>
      <x:c r="O413" s="11" t="str">
        <x:v>https://arxiv.org/abs/2604.00626</x:v>
      </x:c>
      <x:c r="P413" s="8" t="str">
        <x:v>整理同策略蒸馏的任务、信号、机制与训练设计。</x:v>
      </x:c>
      <x:c r="Q413" s="8" t="str">
        <x:v>用于5.2.3「同策略蒸馏」：整理同策略蒸馏的任务、信号、机制与训练设计。</x:v>
      </x:c>
      <x:c r="R413" s="8" t="str">
        <x:v>作为研究覆盖与术语背景；具体性能结论应回到其引用的一手论文。</x:v>
      </x:c>
      <x:c r="S413" s="8" t="str">
        <x:v>补充</x:v>
      </x:c>
      <x:c r="T413" s="22" t="str">
        <x:v>未分配</x:v>
      </x:c>
      <x:c r="U413" s="22" t="str"/>
      <x:c r="V413" s="22" t="str"/>
      <x:c r="W413" s="22" t="str"/>
      <x:c r="X413" s="8" t="str">
        <x:v>verified</x:v>
      </x:c>
      <x:c r="Y413" s="11" t="str"/>
      <x:c r="Z413" s="11" t="str"/>
      <x:c r="AA413" s="11" t="str">
        <x:v>https://arxiv.org/pdf/2604.00626</x:v>
      </x:c>
      <x:c r="AB413" s="11" t="str">
        <x:v>https://arxiv.org/abs/2604.00626</x:v>
      </x:c>
      <x:c r="AC413" s="8" t="str">
        <x:v>AIO-224</x:v>
      </x:c>
      <x:c r="AD413" s="8" t="str">
        <x:v>书目页、可得摘要与首页单位核验；未做全文精读。</x:v>
      </x:c>
      <x:c r="AE413" s="8" t="str"/>
      <x:c r="AF413" s="8" t="str">
        <x:v>按本综述5.2.3「同策略蒸馏」的写作用途归类；整理同策略蒸馏的任务、信号、机制与训练设计。</x:v>
      </x:c>
      <x:c r="AG413" s="8" t="str">
        <x:v>related</x:v>
      </x:c>
      <x:c r="AH413" s="8" t="str">
        <x:v>model-training,paradigm-comparison</x:v>
      </x:c>
      <x:c r="AI413" s="8" t="str"/>
      <x:c r="AJ413" s="8" t="str">
        <x:v>2026-10-16 AI Office survey bibliography</x:v>
      </x:c>
      <x:c r="AK413" s="13" t="d">
        <x:v>2026-10-16T00:00:00.000Z</x:v>
      </x:c>
      <x:c r="AL413" s="8" t="str">
        <x:v>从新增来源发现候选，正式题名、链接及单位以可得一手资料为准。</x:v>
      </x:c>
      <x:c r="AM413" s="8" t="str"/>
    </x:row>
    <x:row r="414" ht="68" customHeight="1">
      <x:c r="A414" s="8" t="str">
        <x:v>WA-0428</x:v>
      </x:c>
      <x:c r="B414" s="8" t="str">
        <x:v>TableGPT2</x:v>
      </x:c>
      <x:c r="C414" s="8" t="str">
        <x:v>TableGPT2: A Large Multimodal Model with Tabular Data Integration</x:v>
      </x:c>
      <x:c r="D414" s="9" t="n">
        <x:v>2024</x:v>
      </x:c>
      <x:c r="E414" s="8" t="str">
        <x:v>Zhejiang University Institute of Computing Innovation; Zhejiang University</x:v>
      </x:c>
      <x:c r="F414" s="21" t="str">
        <x:f>VLOOKUP(H414,'Taxonomy'!$A$6:$G$70,3,FALSE)</x:f>
        <x:v>优化：从工作经验到系统能力</x:v>
      </x:c>
      <x:c r="G414" s="21" t="str">
        <x:f>VLOOKUP(H414,'Taxonomy'!$A$6:$G$70,5,FALSE)</x:f>
        <x:v>模型优化</x:v>
      </x:c>
      <x:c r="H414" s="8" t="str">
        <x:v>5.2.1</x:v>
      </x:c>
      <x:c r="I414" s="21" t="str">
        <x:f>VLOOKUP(H414,'Taxonomy'!$A$6:$G$70,6,FALSE)</x:f>
        <x:v>中期训练与监督微调</x:v>
      </x:c>
      <x:c r="J414" s="8" t="str">
        <x:v>模型参数学习;对象结构、模态与语义</x:v>
      </x:c>
      <x:c r="K414" s="8" t="str">
        <x:v>感知与理解;推理与决策</x:v>
      </x:c>
      <x:c r="L414" s="8" t="str">
        <x:v>2.3.1 感知与理解</x:v>
      </x:c>
      <x:c r="M414" s="8" t="str">
        <x:v>中期训练与监督微调</x:v>
      </x:c>
      <x:c r="N414" s="8" t="str">
        <x:v>Method</x:v>
      </x:c>
      <x:c r="O414" s="11" t="str">
        <x:v>https://arxiv.org/abs/2411.02059</x:v>
      </x:c>
      <x:c r="P414" s="8" t="str">
        <x:v>通过大规模表格数据与任务训练多模态表格模型。</x:v>
      </x:c>
      <x:c r="Q414" s="8" t="str">
        <x:v>用于5.2.1「中期训练与监督微调」：通过大规模表格数据与任务训练多模态表格模型。</x:v>
      </x:c>
      <x:c r="R414" s="8" t="str">
        <x:v>理解、问答或表示能力是工作智能体的组成部分，不等同于可编辑文件生成、跨文件一致性或端到端验收。</x:v>
      </x:c>
      <x:c r="S414" s="8" t="str">
        <x:v>补充</x:v>
      </x:c>
      <x:c r="T414" s="22" t="str">
        <x:v>未分配</x:v>
      </x:c>
      <x:c r="U414" s="22" t="str"/>
      <x:c r="V414" s="22" t="str"/>
      <x:c r="W414" s="22" t="str"/>
      <x:c r="X414" s="8" t="str">
        <x:v>verified</x:v>
      </x:c>
      <x:c r="Y414" s="11" t="str"/>
      <x:c r="Z414" s="11" t="str"/>
      <x:c r="AA414" s="11" t="str">
        <x:v>https://arxiv.org/pdf/2411.02059</x:v>
      </x:c>
      <x:c r="AB414" s="11" t="str">
        <x:v>https://arxiv.org/abs/2411.02059</x:v>
      </x:c>
      <x:c r="AC414" s="8" t="str">
        <x:v>AIO-227</x:v>
      </x:c>
      <x:c r="AD414" s="8" t="str">
        <x:v>书目页、可得摘要与首页单位核验；未做全文精读。</x:v>
      </x:c>
      <x:c r="AE414" s="8" t="str"/>
      <x:c r="AF414" s="8" t="str">
        <x:v>按本综述5.2.1「中期训练与监督微调」的写作用途归类；通过大规模表格数据与任务训练多模态表格模型。</x:v>
      </x:c>
      <x:c r="AG414" s="8" t="str">
        <x:v>harness</x:v>
      </x:c>
      <x:c r="AH414" s="8" t="str">
        <x:v>model-training,object-semantics</x:v>
      </x:c>
      <x:c r="AI414" s="8" t="str"/>
      <x:c r="AJ414" s="8" t="str">
        <x:v>2026-10-16 AI Office survey bibliography</x:v>
      </x:c>
      <x:c r="AK414" s="13" t="d">
        <x:v>2026-10-16T00:00:00.000Z</x:v>
      </x:c>
      <x:c r="AL414" s="8" t="str">
        <x:v>从新增来源发现候选，正式题名、链接及单位以可得一手资料为准。</x:v>
      </x:c>
      <x:c r="AM414" s="8" t="str"/>
    </x:row>
    <x:row r="415" ht="68" customHeight="1">
      <x:c r="A415" s="8" t="str">
        <x:v>WA-0429</x:v>
      </x:c>
      <x:c r="B415" s="8" t="str">
        <x:v>D2S</x:v>
      </x:c>
      <x:c r="C415" s="8" t="str">
        <x:v>D2S: Document-to-Slide Generation Via Query-Based Text Summarization</x:v>
      </x:c>
      <x:c r="D415" s="9" t="n">
        <x:v>2021</x:v>
      </x:c>
      <x:c r="E415" s="8" t="str">
        <x:v>University of Michigan; IBM Research</x:v>
      </x:c>
      <x:c r="F415" s="21" t="str">
        <x:f>VLOOKUP(H415,'Taxonomy'!$A$6:$G$70,3,FALSE)</x:f>
        <x:v>基础：定义、工作条件与核心能力</x:v>
      </x:c>
      <x:c r="G415" s="21" t="str">
        <x:f>VLOOKUP(H415,'Taxonomy'!$A$6:$G$70,5,FALSE)</x:f>
        <x:v>五项核心能力</x:v>
      </x:c>
      <x:c r="H415" s="8" t="str">
        <x:v>2.3.4</x:v>
      </x:c>
      <x:c r="I415" s="21" t="str">
        <x:f>VLOOKUP(H415,'Taxonomy'!$A$6:$G$70,6,FALSE)</x:f>
        <x:v>执行与状态管理</x:v>
      </x:c>
      <x:c r="J415" s="8" t="str">
        <x:v>原生工件生成与编辑;材料发现与证据定位</x:v>
      </x:c>
      <x:c r="K415" s="8" t="str">
        <x:v>感知与理解;规划与协调;执行与状态管理</x:v>
      </x:c>
      <x:c r="L415" s="8" t="str">
        <x:v>2.3.1 感知与理解</x:v>
      </x:c>
      <x:c r="M415" s="8" t="str"/>
      <x:c r="N415" s="8" t="str">
        <x:v>Method</x:v>
      </x:c>
      <x:c r="O415" s="11" t="str">
        <x:v>https://aclanthology.org/2021.naacl-main.111/</x:v>
      </x:c>
      <x:c r="P415" s="8" t="str">
        <x:v>把幻灯片生成建模为由查询驱动的文档摘要与内容组织。</x:v>
      </x:c>
      <x:c r="Q415" s="8" t="str">
        <x:v>用于2.3.4「执行与状态管理」：把幻灯片生成建模为由查询驱动的文档摘要与内容组织。</x:v>
      </x:c>
      <x:c r="R415" s="8" t="str">
        <x:v>限于论文评估的成果类型与编辑操作；不能据单类工件结果推断完整业务工作流可靠性。</x:v>
      </x:c>
      <x:c r="S415" s="8" t="str">
        <x:v>补充</x:v>
      </x:c>
      <x:c r="T415" s="22" t="str">
        <x:v>未分配</x:v>
      </x:c>
      <x:c r="U415" s="22" t="str"/>
      <x:c r="V415" s="22" t="str"/>
      <x:c r="W415" s="22" t="str"/>
      <x:c r="X415" s="8" t="str">
        <x:v>verified</x:v>
      </x:c>
      <x:c r="Y415" s="11" t="str"/>
      <x:c r="Z415" s="11" t="str"/>
      <x:c r="AA415" s="11" t="str">
        <x:v>https://aclanthology.org/2021.naacl-main.111.pdf</x:v>
      </x:c>
      <x:c r="AB415" s="11" t="str">
        <x:v>https://aclanthology.org/2021.naacl-main.111/</x:v>
      </x:c>
      <x:c r="AC415" s="8" t="str">
        <x:v>AIO-228</x:v>
      </x:c>
      <x:c r="AD415" s="8" t="str">
        <x:v>书目页、可得摘要与首页单位核验；未做全文精读。</x:v>
      </x:c>
      <x:c r="AE415" s="8" t="str"/>
      <x:c r="AF415" s="8" t="str">
        <x:v>按本综述2.3.4「执行与状态管理」的写作用途归类；把幻灯片生成建模为由查询驱动的文档摘要与内容组织。</x:v>
      </x:c>
      <x:c r="AG415" s="8" t="str">
        <x:v>artifact</x:v>
      </x:c>
      <x:c r="AH415" s="8" t="str">
        <x:v>artifact-editing,evidence-discovery</x:v>
      </x:c>
      <x:c r="AI415" s="8" t="str"/>
      <x:c r="AJ415" s="8" t="str">
        <x:v>2026-10-16 AI Office survey bibliography</x:v>
      </x:c>
      <x:c r="AK415" s="13" t="d">
        <x:v>2026-10-16T00:00:00.000Z</x:v>
      </x:c>
      <x:c r="AL415" s="8" t="str">
        <x:v>从新增来源发现候选，正式题名、链接及单位以可得一手资料为准。</x:v>
      </x:c>
      <x:c r="AM415" s="8" t="str"/>
    </x:row>
    <x:row r="416" ht="68" customHeight="1">
      <x:c r="A416" s="8" t="str">
        <x:v>WA-0430</x:v>
      </x:c>
      <x:c r="B416" s="8" t="str">
        <x:v>GLM-5</x:v>
      </x:c>
      <x:c r="C416" s="8" t="str">
        <x:v>GLM-5: from Vibe Coding to Agentic Engineering</x:v>
      </x:c>
      <x:c r="D416" s="9" t="n">
        <x:v>2026</x:v>
      </x:c>
      <x:c r="E416" s="8" t="str">
        <x:v>Zhipu AI; Tsinghua University</x:v>
      </x:c>
      <x:c r="F416" s="21" t="str">
        <x:f>VLOOKUP(H416,'Taxonomy'!$A$6:$G$70,3,FALSE)</x:f>
        <x:v>优化：从工作经验到系统能力</x:v>
      </x:c>
      <x:c r="G416" s="21" t="str">
        <x:f>VLOOKUP(H416,'Taxonomy'!$A$6:$G$70,5,FALSE)</x:f>
        <x:v>模型—运行框架耦合优化</x:v>
      </x:c>
      <x:c r="H416" s="8" t="str">
        <x:v>5.4.1</x:v>
      </x:c>
      <x:c r="I416" s="21" t="str">
        <x:f>VLOOKUP(H416,'Taxonomy'!$A$6:$G$70,6,FALSE)</x:f>
        <x:v>运行框架感知训练</x:v>
      </x:c>
      <x:c r="J416" s="8" t="str">
        <x:v>模型参数学习;模型与运行框架耦合</x:v>
      </x:c>
      <x:c r="K416" s="8" t="str">
        <x:v>推理与决策;规划与协调;执行与状态管理;验证、恢复与重新规划</x:v>
      </x:c>
      <x:c r="L416" s="8" t="str">
        <x:v>2.3.4 执行与状态管理</x:v>
      </x:c>
      <x:c r="M416" s="8" t="str">
        <x:v>中期训练与监督微调;智能体强化学习;模型与运行框架耦合优化</x:v>
      </x:c>
      <x:c r="N416" s="8" t="str">
        <x:v>Background</x:v>
      </x:c>
      <x:c r="O416" s="11" t="str">
        <x:v>https://arxiv.org/abs/2602.15763</x:v>
      </x:c>
      <x:c r="P416" s="8" t="str">
        <x:v>报告面向智能体工程的模型训练与长程工具任务评测。</x:v>
      </x:c>
      <x:c r="Q416" s="8" t="str">
        <x:v>用于5.4.1「运行框架感知训练」：报告面向智能体工程的模型训练与长程工具任务评测。</x:v>
      </x:c>
      <x:c r="R416" s="8" t="str">
        <x:v>用于概念、训练或工作影响背景；不作为完整工作智能体已具备相应能力的直接证据。</x:v>
      </x:c>
      <x:c r="S416" s="8" t="str">
        <x:v>补充</x:v>
      </x:c>
      <x:c r="T416" s="22" t="str">
        <x:v>未分配</x:v>
      </x:c>
      <x:c r="U416" s="22" t="str"/>
      <x:c r="V416" s="22" t="str"/>
      <x:c r="W416" s="22" t="str"/>
      <x:c r="X416" s="8" t="str">
        <x:v>verified</x:v>
      </x:c>
      <x:c r="Y416" s="11" t="str"/>
      <x:c r="Z416" s="11" t="str"/>
      <x:c r="AA416" s="11" t="str">
        <x:v>https://arxiv.org/pdf/2602.15763</x:v>
      </x:c>
      <x:c r="AB416" s="11" t="str">
        <x:v>https://arxiv.org/abs/2602.15763</x:v>
      </x:c>
      <x:c r="AC416" s="8" t="str">
        <x:v>AIO-233</x:v>
      </x:c>
      <x:c r="AD416" s="8" t="str">
        <x:v>书目页、可得摘要与首页单位核验；未做全文精读。</x:v>
      </x:c>
      <x:c r="AE416" s="8" t="str"/>
      <x:c r="AF416" s="8" t="str">
        <x:v>按本综述5.4.1「运行框架感知训练」的写作用途归类；报告面向智能体工程的模型训练与长程工具任务评测。</x:v>
      </x:c>
      <x:c r="AG416" s="8" t="str">
        <x:v>related</x:v>
      </x:c>
      <x:c r="AH416" s="8" t="str">
        <x:v>model-training,model-harness-coupling</x:v>
      </x:c>
      <x:c r="AI416" s="8" t="str"/>
      <x:c r="AJ416" s="8" t="str">
        <x:v>2026-10-16 AI Office survey bibliography</x:v>
      </x:c>
      <x:c r="AK416" s="13" t="d">
        <x:v>2026-10-16T00:00:00.000Z</x:v>
      </x:c>
      <x:c r="AL416" s="8" t="str">
        <x:v>从新增来源发现候选，正式题名、链接及单位以可得一手资料为准。来源书目作者串以“5 Team”开头；采用官方arXiv模型报告元数据，不照抄异常作者串。</x:v>
      </x:c>
      <x:c r="AM416" s="8" t="str"/>
    </x:row>
    <x:row r="417" ht="68" customHeight="1">
      <x:c r="A417" s="8" t="str">
        <x:v>WA-0431</x:v>
      </x:c>
      <x:c r="B417" s="8" t="str">
        <x:v>Gemini</x:v>
      </x:c>
      <x:c r="C417" s="8" t="str">
        <x:v>Gemini: A Family of Highly Capable Multimodal Models</x:v>
      </x:c>
      <x:c r="D417" s="9" t="n">
        <x:v>2023</x:v>
      </x:c>
      <x:c r="E417" s="8" t="str">
        <x:v>Google</x:v>
      </x:c>
      <x:c r="F417" s="21" t="str">
        <x:f>VLOOKUP(H417,'Taxonomy'!$A$6:$G$70,3,FALSE)</x:f>
        <x:v>优化：从工作经验到系统能力</x:v>
      </x:c>
      <x:c r="G417" s="21" t="str">
        <x:f>VLOOKUP(H417,'Taxonomy'!$A$6:$G$70,5,FALSE)</x:f>
        <x:v>模型优化</x:v>
      </x:c>
      <x:c r="H417" s="8" t="str">
        <x:v>5.2.1</x:v>
      </x:c>
      <x:c r="I417" s="21" t="str">
        <x:f>VLOOKUP(H417,'Taxonomy'!$A$6:$G$70,6,FALSE)</x:f>
        <x:v>中期训练与监督微调</x:v>
      </x:c>
      <x:c r="J417" s="8" t="str">
        <x:v>模型参数学习;对象结构、模态与语义</x:v>
      </x:c>
      <x:c r="K417" s="8" t="str">
        <x:v>感知与理解;推理与决策</x:v>
      </x:c>
      <x:c r="L417" s="8" t="str"/>
      <x:c r="M417" s="8" t="str">
        <x:v>中期训练与监督微调</x:v>
      </x:c>
      <x:c r="N417" s="8" t="str">
        <x:v>Background</x:v>
      </x:c>
      <x:c r="O417" s="11" t="str">
        <x:v>https://arxiv.org/abs/2312.11805</x:v>
      </x:c>
      <x:c r="P417" s="8" t="str">
        <x:v>报告多模态基础模型家族的训练、能力和评测。</x:v>
      </x:c>
      <x:c r="Q417" s="8" t="str">
        <x:v>用于5.2.1「中期训练与监督微调」：报告多模态基础模型家族的训练、能力和评测。</x:v>
      </x:c>
      <x:c r="R417" s="8" t="str">
        <x:v>理解、问答或表示能力是工作智能体的组成部分，不等同于可编辑文件生成、跨文件一致性或端到端验收。</x:v>
      </x:c>
      <x:c r="S417" s="8" t="str">
        <x:v>补充</x:v>
      </x:c>
      <x:c r="T417" s="22" t="str">
        <x:v>未分配</x:v>
      </x:c>
      <x:c r="U417" s="22" t="str"/>
      <x:c r="V417" s="22" t="str"/>
      <x:c r="W417" s="22" t="str"/>
      <x:c r="X417" s="8" t="str">
        <x:v>verified</x:v>
      </x:c>
      <x:c r="Y417" s="11" t="str"/>
      <x:c r="Z417" s="11" t="str"/>
      <x:c r="AA417" s="11" t="str">
        <x:v>https://arxiv.org/pdf/2312.11805</x:v>
      </x:c>
      <x:c r="AB417" s="11" t="str">
        <x:v>https://arxiv.org/abs/2312.11805</x:v>
      </x:c>
      <x:c r="AC417" s="8" t="str">
        <x:v>AIO-234</x:v>
      </x:c>
      <x:c r="AD417" s="8" t="str">
        <x:v>书目页、可得摘要与首页单位核验；未做全文精读。</x:v>
      </x:c>
      <x:c r="AE417" s="8" t="str"/>
      <x:c r="AF417" s="8" t="str">
        <x:v>按本综述5.2.1「中期训练与监督微调」的写作用途归类；报告多模态基础模型家族的训练、能力和评测。</x:v>
      </x:c>
      <x:c r="AG417" s="8" t="str">
        <x:v>related</x:v>
      </x:c>
      <x:c r="AH417" s="8" t="str">
        <x:v>model-training,object-semantics</x:v>
      </x:c>
      <x:c r="AI417" s="8" t="str"/>
      <x:c r="AJ417" s="8" t="str">
        <x:v>2026-10-16 AI Office survey bibliography</x:v>
      </x:c>
      <x:c r="AK417" s="13" t="d">
        <x:v>2026-10-16T00:00:00.000Z</x:v>
      </x:c>
      <x:c r="AL417" s="8" t="str">
        <x:v>从新增来源发现候选，正式题名、链接及单位以可得一手资料为准。</x:v>
      </x:c>
      <x:c r="AM417" s="8" t="str"/>
    </x:row>
    <x:row r="418" ht="68" customHeight="1">
      <x:c r="A418" s="8" t="str">
        <x:v>WA-0432</x:v>
      </x:c>
      <x:c r="B418" s="8" t="str">
        <x:v>Kimi K2.5</x:v>
      </x:c>
      <x:c r="C418" s="8" t="str">
        <x:v>Kimi K2.5: Visual Agentic Intelligence</x:v>
      </x:c>
      <x:c r="D418" s="9" t="n">
        <x:v>2026</x:v>
      </x:c>
      <x:c r="E418" s="8" t="str">
        <x:v>Kimi Team</x:v>
      </x:c>
      <x:c r="F418" s="21" t="str">
        <x:f>VLOOKUP(H418,'Taxonomy'!$A$6:$G$70,3,FALSE)</x:f>
        <x:v>优化：从工作经验到系统能力</x:v>
      </x:c>
      <x:c r="G418" s="21" t="str">
        <x:f>VLOOKUP(H418,'Taxonomy'!$A$6:$G$70,5,FALSE)</x:f>
        <x:v>模型—运行框架耦合优化</x:v>
      </x:c>
      <x:c r="H418" s="8" t="str">
        <x:v>5.4.1</x:v>
      </x:c>
      <x:c r="I418" s="21" t="str">
        <x:f>VLOOKUP(H418,'Taxonomy'!$A$6:$G$70,6,FALSE)</x:f>
        <x:v>运行框架感知训练</x:v>
      </x:c>
      <x:c r="J418" s="8" t="str">
        <x:v>模型参数学习;分布信息、澄清与协调;模型与运行框架耦合</x:v>
      </x:c>
      <x:c r="K418" s="8" t="str">
        <x:v>感知与理解;推理与决策;规划与协调;执行与状态管理</x:v>
      </x:c>
      <x:c r="L418" s="8" t="str">
        <x:v>2.3.3 规划与协调</x:v>
      </x:c>
      <x:c r="M418" s="8" t="str">
        <x:v>中期训练与监督微调;智能体强化学习;模型与运行框架耦合优化</x:v>
      </x:c>
      <x:c r="N418" s="8" t="str">
        <x:v>Background</x:v>
      </x:c>
      <x:c r="O418" s="11" t="str">
        <x:v>https://arxiv.org/abs/2602.02276</x:v>
      </x:c>
      <x:c r="P418" s="8" t="str">
        <x:v>联合优化视觉与语言任务，并通过Agent Swarm进行动态并行任务组织。</x:v>
      </x:c>
      <x:c r="Q418" s="8" t="str">
        <x:v>用于5.4.1「运行框架感知训练」：联合优化视觉与语言任务，并通过Agent Swarm进行动态并行任务组织。</x:v>
      </x:c>
      <x:c r="R418" s="8" t="str">
        <x:v>用于概念、训练或工作影响背景；不作为完整工作智能体已具备相应能力的直接证据。</x:v>
      </x:c>
      <x:c r="S418" s="8" t="str">
        <x:v>补充</x:v>
      </x:c>
      <x:c r="T418" s="22" t="str">
        <x:v>未分配</x:v>
      </x:c>
      <x:c r="U418" s="22" t="str"/>
      <x:c r="V418" s="22" t="str"/>
      <x:c r="W418" s="22" t="str"/>
      <x:c r="X418" s="8" t="str">
        <x:v>verified</x:v>
      </x:c>
      <x:c r="Y418" s="11" t="str"/>
      <x:c r="Z418" s="11" t="str"/>
      <x:c r="AA418" s="11" t="str">
        <x:v>https://arxiv.org/pdf/2602.02276</x:v>
      </x:c>
      <x:c r="AB418" s="11" t="str">
        <x:v>https://arxiv.org/abs/2602.02276</x:v>
      </x:c>
      <x:c r="AC418" s="8" t="str">
        <x:v>AIO-235</x:v>
      </x:c>
      <x:c r="AD418" s="8" t="str">
        <x:v>书目页、可得摘要与首页单位核验；未做全文精读。</x:v>
      </x:c>
      <x:c r="AE418" s="8" t="str"/>
      <x:c r="AF418" s="8" t="str">
        <x:v>按本综述5.4.1「运行框架感知训练」的写作用途归类；联合优化视觉与语言任务，并通过Agent Swarm进行动态并行任务组织。</x:v>
      </x:c>
      <x:c r="AG418" s="8" t="str">
        <x:v>related</x:v>
      </x:c>
      <x:c r="AH418" s="8" t="str">
        <x:v>model-training,participant-coordination,model-harness-coupling</x:v>
      </x:c>
      <x:c r="AI418" s="8" t="str"/>
      <x:c r="AJ418" s="8" t="str">
        <x:v>2026-10-16 AI Office survey bibliography</x:v>
      </x:c>
      <x:c r="AK418" s="13" t="d">
        <x:v>2026-10-16T00:00:00.000Z</x:v>
      </x:c>
      <x:c r="AL418" s="8" t="str">
        <x:v>从新增来源发现候选，正式题名、链接及单位以可得一手资料为准。单位按报告首页Kimi Team记录；没有根据作者个人背景扩展单位。</x:v>
      </x:c>
      <x:c r="AM418" s="8" t="str"/>
    </x:row>
    <x:row r="419" ht="68" customHeight="1">
      <x:c r="A419" s="8" t="str">
        <x:v>WA-0433</x:v>
      </x:c>
      <x:c r="B419" s="8" t="str">
        <x:v>Hi-VT5 / MP-DocVQA</x:v>
      </x:c>
      <x:c r="C419" s="8" t="str">
        <x:v>Hierarchical Multimodal Transformers for Multipage DocVQA</x:v>
      </x:c>
      <x:c r="D419" s="9" t="n">
        <x:v>2023</x:v>
      </x:c>
      <x:c r="E419" s="8" t="str"/>
      <x:c r="F419" s="21" t="str">
        <x:f>VLOOKUP(H419,'Taxonomy'!$A$6:$G$70,3,FALSE)</x:f>
        <x:v>基础：定义、工作条件与核心能力</x:v>
      </x:c>
      <x:c r="G419" s="21" t="str">
        <x:f>VLOOKUP(H419,'Taxonomy'!$A$6:$G$70,5,FALSE)</x:f>
        <x:v>五项核心能力</x:v>
      </x:c>
      <x:c r="H419" s="8" t="str">
        <x:v>2.3.1</x:v>
      </x:c>
      <x:c r="I419" s="21" t="str">
        <x:f>VLOOKUP(H419,'Taxonomy'!$A$6:$G$70,6,FALSE)</x:f>
        <x:v>感知与理解</x:v>
      </x:c>
      <x:c r="J419" s="8" t="str">
        <x:v>对象结构、模态与语义;材料发现与证据定位</x:v>
      </x:c>
      <x:c r="K419" s="8" t="str">
        <x:v>感知与理解;推理与决策</x:v>
      </x:c>
      <x:c r="L419" s="8" t="str">
        <x:v>3.1 响应级工作</x:v>
      </x:c>
      <x:c r="M419" s="8" t="str"/>
      <x:c r="N419" s="8" t="str">
        <x:v>Method;Benchmark</x:v>
      </x:c>
      <x:c r="O419" s="11" t="str">
        <x:v>https://doi.org/10.1016/j.patcog.2023.109834</x:v>
      </x:c>
      <x:c r="P419" s="8" t="str">
        <x:v>提出多页DocVQA数据与分层视觉语言模型，兼顾答案和来源页面定位。</x:v>
      </x:c>
      <x:c r="Q419" s="8" t="str">
        <x:v>用于2.3.1「感知与理解」：提出多页DocVQA数据与分层视觉语言模型，兼顾答案和来源页面定位。</x:v>
      </x:c>
      <x:c r="R419" s="8" t="str">
        <x:v>理解、问答或表示能力是工作智能体的组成部分，不等同于可编辑文件生成、跨文件一致性或端到端验收。</x:v>
      </x:c>
      <x:c r="S419" s="8" t="str">
        <x:v>补充</x:v>
      </x:c>
      <x:c r="T419" s="22" t="str">
        <x:v>未分配</x:v>
      </x:c>
      <x:c r="U419" s="22" t="str"/>
      <x:c r="V419" s="22" t="str"/>
      <x:c r="W419" s="22" t="str"/>
      <x:c r="X419" s="8" t="str">
        <x:v>metadata-only</x:v>
      </x:c>
      <x:c r="Y419" s="11" t="str"/>
      <x:c r="Z419" s="11" t="str"/>
      <x:c r="AA419" s="11" t="str"/>
      <x:c r="AB419" s="11" t="str">
        <x:v>https://doi.org/10.1016/j.patcog.2023.109834</x:v>
      </x:c>
      <x:c r="AC419" s="8" t="str">
        <x:v>AIO-240</x:v>
      </x:c>
      <x:c r="AD419" s="8" t="str">
        <x:v>书目页、可得摘要与首页单位核验；未做全文精读。</x:v>
      </x:c>
      <x:c r="AE419" s="8" t="str"/>
      <x:c r="AF419" s="8" t="str">
        <x:v>按本综述2.3.1「感知与理解」的写作用途归类；提出多页DocVQA数据与分层视觉语言模型，兼顾答案和来源页面定位。</x:v>
      </x:c>
      <x:c r="AG419" s="8" t="str">
        <x:v>related</x:v>
      </x:c>
      <x:c r="AH419" s="8" t="str">
        <x:v>object-semantics,evidence-discovery</x:v>
      </x:c>
      <x:c r="AI419" s="8" t="str"/>
      <x:c r="AJ419" s="8" t="str">
        <x:v>2026-10-16 AI Office survey bibliography</x:v>
      </x:c>
      <x:c r="AK419" s="13" t="d">
        <x:v>2026-10-16T00:00:00.000Z</x:v>
      </x:c>
      <x:c r="AL419" s="8" t="str">
        <x:v>从新增来源发现候选，正式题名、链接及单位以可得一手资料为准。题名、作者与DOI已核对；本轮未获得可直接核验的单位页，单位留空。</x:v>
      </x:c>
      <x:c r="AM419" s="8" t="str"/>
    </x:row>
    <x:row r="420" ht="68" customHeight="1">
      <x:c r="A420" s="8" t="str">
        <x:v>WA-0434</x:v>
      </x:c>
      <x:c r="B420" s="8" t="str">
        <x:v>Coding Assistants Longitudinal Study</x:v>
      </x:c>
      <x:c r="C420" s="8" t="str">
        <x:v>The Impact of AI Coding Assistants on Software Engineering: A Longitudinal Study</x:v>
      </x:c>
      <x:c r="D420" s="9" t="n">
        <x:v>2026</x:v>
      </x:c>
      <x:c r="E420" s="8" t="str">
        <x:v>University of Auckland</x:v>
      </x:c>
      <x:c r="F420" s="21" t="str">
        <x:f>VLOOKUP(H420,'Taxonomy'!$A$6:$G$70,3,FALSE)</x:f>
        <x:v>前沿：下一代 Working Agents</x:v>
      </x:c>
      <x:c r="G420" s="21" t="str">
        <x:f>VLOOKUP(H420,'Taxonomy'!$A$6:$G$70,5,FALSE)</x:f>
        <x:v>以工作为中心的系统</x:v>
      </x:c>
      <x:c r="H420" s="8" t="str">
        <x:v>7.4.3</x:v>
      </x:c>
      <x:c r="I420" s="21" t="str">
        <x:f>VLOOKUP(H420,'Taxonomy'!$A$6:$G$70,6,FALSE)</x:f>
        <x:v>组织集成与经济价值</x:v>
      </x:c>
      <x:c r="J420" s="8" t="str">
        <x:v>组织协作与真实生产率;质量、时间成本与使用价值</x:v>
      </x:c>
      <x:c r="K420" s="8" t="str"/>
      <x:c r="L420" s="8" t="str"/>
      <x:c r="M420" s="8" t="str"/>
      <x:c r="N420" s="8" t="str">
        <x:v>Background</x:v>
      </x:c>
      <x:c r="O420" s="11" t="str">
        <x:v>https://arxiv.org/abs/2605.23135</x:v>
      </x:c>
      <x:c r="P420" s="8" t="str">
        <x:v>以纵向研究考察AI编码助手对软件工程实践的影响。</x:v>
      </x:c>
      <x:c r="Q420" s="8" t="str">
        <x:v>用于7.4.3「组织集成与经济价值」：以纵向研究考察AI编码助手对软件工程实践的影响。</x:v>
      </x:c>
      <x:c r="R420" s="8" t="str">
        <x:v>用于概念、训练或工作影响背景；不作为完整工作智能体已具备相应能力的直接证据。</x:v>
      </x:c>
      <x:c r="S420" s="8" t="str">
        <x:v>补充</x:v>
      </x:c>
      <x:c r="T420" s="22" t="str">
        <x:v>未分配</x:v>
      </x:c>
      <x:c r="U420" s="22" t="str"/>
      <x:c r="V420" s="22" t="str"/>
      <x:c r="W420" s="22" t="str"/>
      <x:c r="X420" s="8" t="str">
        <x:v>verified</x:v>
      </x:c>
      <x:c r="Y420" s="11" t="str"/>
      <x:c r="Z420" s="11" t="str"/>
      <x:c r="AA420" s="11" t="str">
        <x:v>https://arxiv.org/pdf/2605.23135</x:v>
      </x:c>
      <x:c r="AB420" s="11" t="str">
        <x:v>https://arxiv.org/abs/2605.23135</x:v>
      </x:c>
      <x:c r="AC420" s="8" t="str">
        <x:v>AIO-243</x:v>
      </x:c>
      <x:c r="AD420" s="8" t="str">
        <x:v>书目页、可得摘要与首页单位核验；未做全文精读。</x:v>
      </x:c>
      <x:c r="AE420" s="8" t="str"/>
      <x:c r="AF420" s="8" t="str">
        <x:v>按本综述7.4.3「组织集成与经济价值」的写作用途归类；以纵向研究考察AI编码助手对软件工程实践的影响。</x:v>
      </x:c>
      <x:c r="AG420" s="8" t="str">
        <x:v>related</x:v>
      </x:c>
      <x:c r="AH420" s="8" t="str">
        <x:v>organizational-productivity,quality-cost-value</x:v>
      </x:c>
      <x:c r="AI420" s="8" t="str"/>
      <x:c r="AJ420" s="8" t="str">
        <x:v>2026-10-16 AI Office survey bibliography</x:v>
      </x:c>
      <x:c r="AK420" s="13" t="d">
        <x:v>2026-10-16T00:00:00.000Z</x:v>
      </x:c>
      <x:c r="AL420" s="8" t="str">
        <x:v>从新增来源发现候选，正式题名、链接及单位以可得一手资料为准。</x:v>
      </x:c>
      <x:c r="AM420" s="8" t="str"/>
    </x:row>
    <x:row r="421" ht="68" customHeight="1">
      <x:c r="A421" s="8" t="str">
        <x:v>WA-0435</x:v>
      </x:c>
      <x:c r="B421" s="8" t="str">
        <x:v>DocLLM</x:v>
      </x:c>
      <x:c r="C421" s="8" t="str">
        <x:v>DocLLM: A Layout-Aware Generative Language Model for Multimodal Document Understanding</x:v>
      </x:c>
      <x:c r="D421" s="9" t="n">
        <x:v>2024</x:v>
      </x:c>
      <x:c r="E421" s="8" t="str">
        <x:v>JPMorgan AI Research</x:v>
      </x:c>
      <x:c r="F421" s="21" t="str">
        <x:f>VLOOKUP(H421,'Taxonomy'!$A$6:$G$70,3,FALSE)</x:f>
        <x:v>基础：定义、工作条件与核心能力</x:v>
      </x:c>
      <x:c r="G421" s="21" t="str">
        <x:f>VLOOKUP(H421,'Taxonomy'!$A$6:$G$70,5,FALSE)</x:f>
        <x:v>五项核心能力</x:v>
      </x:c>
      <x:c r="H421" s="8" t="str">
        <x:v>2.3.1</x:v>
      </x:c>
      <x:c r="I421" s="21" t="str">
        <x:f>VLOOKUP(H421,'Taxonomy'!$A$6:$G$70,6,FALSE)</x:f>
        <x:v>感知与理解</x:v>
      </x:c>
      <x:c r="J421" s="8" t="str">
        <x:v>对象结构、模态与语义;模型参数学习</x:v>
      </x:c>
      <x:c r="K421" s="8" t="str">
        <x:v>感知与理解;推理与决策</x:v>
      </x:c>
      <x:c r="L421" s="8" t="str">
        <x:v>5.2.1 中期训练与监督微调</x:v>
      </x:c>
      <x:c r="M421" s="8" t="str"/>
      <x:c r="N421" s="8" t="str">
        <x:v>Method</x:v>
      </x:c>
      <x:c r="O421" s="11" t="str">
        <x:v>https://aclanthology.org/2024.acl-long.463/</x:v>
      </x:c>
      <x:c r="P421" s="8" t="str">
        <x:v>结合文本与布局信息进行企业文档生成式理解。</x:v>
      </x:c>
      <x:c r="Q421" s="8" t="str">
        <x:v>用于2.3.1「感知与理解」：结合文本与布局信息进行企业文档生成式理解。</x:v>
      </x:c>
      <x:c r="R421" s="8" t="str">
        <x:v>理解、问答或表示能力是工作智能体的组成部分，不等同于可编辑文件生成、跨文件一致性或端到端验收。</x:v>
      </x:c>
      <x:c r="S421" s="8" t="str">
        <x:v>补充</x:v>
      </x:c>
      <x:c r="T421" s="22" t="str">
        <x:v>未分配</x:v>
      </x:c>
      <x:c r="U421" s="22" t="str"/>
      <x:c r="V421" s="22" t="str"/>
      <x:c r="W421" s="22" t="str"/>
      <x:c r="X421" s="8" t="str">
        <x:v>verified</x:v>
      </x:c>
      <x:c r="Y421" s="11" t="str"/>
      <x:c r="Z421" s="11" t="str"/>
      <x:c r="AA421" s="11" t="str">
        <x:v>https://aclanthology.org/2024.acl-long.463.pdf</x:v>
      </x:c>
      <x:c r="AB421" s="11" t="str">
        <x:v>https://aclanthology.org/2024.acl-long.463/</x:v>
      </x:c>
      <x:c r="AC421" s="8" t="str">
        <x:v>AIO-245</x:v>
      </x:c>
      <x:c r="AD421" s="8" t="str">
        <x:v>书目页、可得摘要与首页单位核验；未做全文精读。</x:v>
      </x:c>
      <x:c r="AE421" s="8" t="str"/>
      <x:c r="AF421" s="8" t="str">
        <x:v>按本综述2.3.1「感知与理解」的写作用途归类；结合文本与布局信息进行企业文档生成式理解。</x:v>
      </x:c>
      <x:c r="AG421" s="8" t="str">
        <x:v>related</x:v>
      </x:c>
      <x:c r="AH421" s="8" t="str">
        <x:v>object-semantics,model-training</x:v>
      </x:c>
      <x:c r="AI421" s="8" t="str"/>
      <x:c r="AJ421" s="8" t="str">
        <x:v>2026-10-16 AI Office survey bibliography</x:v>
      </x:c>
      <x:c r="AK421" s="13" t="d">
        <x:v>2026-10-16T00:00:00.000Z</x:v>
      </x:c>
      <x:c r="AL421" s="8" t="str">
        <x:v>从新增来源发现候选，正式题名、链接及单位以可得一手资料为准。</x:v>
      </x:c>
      <x:c r="AM421" s="8" t="str"/>
    </x:row>
    <x:row r="422" ht="68" customHeight="1">
      <x:c r="A422" s="8" t="str">
        <x:v>WA-0436</x:v>
      </x:c>
      <x:c r="B422" s="8" t="str">
        <x:v>Chain-of-Table</x:v>
      </x:c>
      <x:c r="C422" s="8" t="str">
        <x:v>Chain-of-Table: Evolving Tables in the Reasoning Chain for Table Understanding</x:v>
      </x:c>
      <x:c r="D422" s="9" t="n">
        <x:v>2024</x:v>
      </x:c>
      <x:c r="E422" s="8" t="str">
        <x:v>University of California, San Diego; Google Cloud AI Research; Google Research</x:v>
      </x:c>
      <x:c r="F422" s="21" t="str">
        <x:f>VLOOKUP(H422,'Taxonomy'!$A$6:$G$70,3,FALSE)</x:f>
        <x:v>基础：定义、工作条件与核心能力</x:v>
      </x:c>
      <x:c r="G422" s="21" t="str">
        <x:f>VLOOKUP(H422,'Taxonomy'!$A$6:$G$70,5,FALSE)</x:f>
        <x:v>五项核心能力</x:v>
      </x:c>
      <x:c r="H422" s="8" t="str">
        <x:v>2.3.2</x:v>
      </x:c>
      <x:c r="I422" s="21" t="str">
        <x:f>VLOOKUP(H422,'Taxonomy'!$A$6:$G$70,6,FALSE)</x:f>
        <x:v>推理与决策</x:v>
      </x:c>
      <x:c r="J422" s="8" t="str">
        <x:v>证据整合与推理;工具、界面与应用执行</x:v>
      </x:c>
      <x:c r="K422" s="8" t="str">
        <x:v>感知与理解;推理与决策;执行与状态管理</x:v>
      </x:c>
      <x:c r="L422" s="8" t="str">
        <x:v>3.1 响应级工作</x:v>
      </x:c>
      <x:c r="M422" s="8" t="str"/>
      <x:c r="N422" s="8" t="str">
        <x:v>Method</x:v>
      </x:c>
      <x:c r="O422" s="11" t="str">
        <x:v>https://arxiv.org/abs/2401.04398</x:v>
      </x:c>
      <x:c r="P422" s="8" t="str">
        <x:v>在推理过程中逐步变换表格，缩小并整理回答问题所需的证据。</x:v>
      </x:c>
      <x:c r="Q422" s="8" t="str">
        <x:v>用于2.3.2「推理与决策」：在推理过程中逐步变换表格，缩小并整理回答问题所需的证据。</x:v>
      </x:c>
      <x:c r="R422" s="8" t="str">
        <x:v>支持论文所研究的规划、执行或反馈机制；跨环境可靠性仍需按原文实验设置判断。</x:v>
      </x:c>
      <x:c r="S422" s="8" t="str">
        <x:v>补充</x:v>
      </x:c>
      <x:c r="T422" s="22" t="str">
        <x:v>未分配</x:v>
      </x:c>
      <x:c r="U422" s="22" t="str"/>
      <x:c r="V422" s="22" t="str"/>
      <x:c r="W422" s="22" t="str"/>
      <x:c r="X422" s="8" t="str">
        <x:v>verified</x:v>
      </x:c>
      <x:c r="Y422" s="11" t="str"/>
      <x:c r="Z422" s="11" t="str"/>
      <x:c r="AA422" s="11" t="str">
        <x:v>https://arxiv.org/pdf/2401.04398</x:v>
      </x:c>
      <x:c r="AB422" s="11" t="str">
        <x:v>https://arxiv.org/abs/2401.04398</x:v>
      </x:c>
      <x:c r="AC422" s="8" t="str">
        <x:v>AIO-249</x:v>
      </x:c>
      <x:c r="AD422" s="8" t="str">
        <x:v>书目页、可得摘要与首页单位核验；未做全文精读。</x:v>
      </x:c>
      <x:c r="AE422" s="8" t="str"/>
      <x:c r="AF422" s="8" t="str">
        <x:v>按本综述2.3.2「推理与决策」的写作用途归类；在推理过程中逐步变换表格，缩小并整理回答问题所需的证据。</x:v>
      </x:c>
      <x:c r="AG422" s="8" t="str">
        <x:v>tool-enterprise</x:v>
      </x:c>
      <x:c r="AH422" s="8" t="str">
        <x:v>evidence-reasoning,tool-execution</x:v>
      </x:c>
      <x:c r="AI422" s="8" t="str"/>
      <x:c r="AJ422" s="8" t="str">
        <x:v>2026-10-16 AI Office survey bibliography</x:v>
      </x:c>
      <x:c r="AK422" s="13" t="d">
        <x:v>2026-10-16T00:00:00.000Z</x:v>
      </x:c>
      <x:c r="AL422" s="8" t="str">
        <x:v>从新增来源发现候选，正式题名、链接及单位以可得一手资料为准。</x:v>
      </x:c>
      <x:c r="AM422" s="8" t="str"/>
    </x:row>
    <x:row r="423" ht="68" customHeight="1">
      <x:c r="A423" s="8" t="str">
        <x:v>WA-0437</x:v>
      </x:c>
      <x:c r="B423" s="8" t="str">
        <x:v>Emergent Abilities</x:v>
      </x:c>
      <x:c r="C423" s="8" t="str">
        <x:v>Emergent Abilities of Large Language Models</x:v>
      </x:c>
      <x:c r="D423" s="9" t="n">
        <x:v>2022</x:v>
      </x:c>
      <x:c r="E423" s="8" t="str">
        <x:v>Google Research; Stanford University; University of North Carolina at Chapel Hill; DeepMind</x:v>
      </x:c>
      <x:c r="F423" s="21" t="str">
        <x:f>VLOOKUP(H423,'Taxonomy'!$A$6:$G$70,3,FALSE)</x:f>
        <x:v>优化：从工作经验到系统能力</x:v>
      </x:c>
      <x:c r="G423" s="21" t="str">
        <x:f>VLOOKUP(H423,'Taxonomy'!$A$6:$G$70,5,FALSE)</x:f>
        <x:v>模型优化</x:v>
      </x:c>
      <x:c r="H423" s="8" t="str">
        <x:v>5.2.1</x:v>
      </x:c>
      <x:c r="I423" s="21" t="str">
        <x:f>VLOOKUP(H423,'Taxonomy'!$A$6:$G$70,6,FALSE)</x:f>
        <x:v>中期训练与监督微调</x:v>
      </x:c>
      <x:c r="J423" s="8" t="str">
        <x:v>模型参数学习;任务覆盖与泛化边界</x:v>
      </x:c>
      <x:c r="K423" s="8" t="str"/>
      <x:c r="L423" s="8" t="str"/>
      <x:c r="M423" s="8" t="str">
        <x:v>中期训练与监督微调</x:v>
      </x:c>
      <x:c r="N423" s="8" t="str">
        <x:v>Background</x:v>
      </x:c>
      <x:c r="O423" s="11" t="str">
        <x:v>https://arxiv.org/abs/2206.07682</x:v>
      </x:c>
      <x:c r="P423" s="8" t="str">
        <x:v>研究随着语言模型规模增长出现的任务表现变化与可预测性问题。</x:v>
      </x:c>
      <x:c r="Q423" s="8" t="str">
        <x:v>用于5.2.1「中期训练与监督微调」：研究随着语言模型规模增长出现的任务表现变化与可预测性问题。</x:v>
      </x:c>
      <x:c r="R423" s="8" t="str">
        <x:v>用于概念、训练或工作影响背景；不作为完整工作智能体已具备相应能力的直接证据。</x:v>
      </x:c>
      <x:c r="S423" s="8" t="str">
        <x:v>补充</x:v>
      </x:c>
      <x:c r="T423" s="22" t="str">
        <x:v>未分配</x:v>
      </x:c>
      <x:c r="U423" s="22" t="str"/>
      <x:c r="V423" s="22" t="str"/>
      <x:c r="W423" s="22" t="str"/>
      <x:c r="X423" s="8" t="str">
        <x:v>verified</x:v>
      </x:c>
      <x:c r="Y423" s="11" t="str"/>
      <x:c r="Z423" s="11" t="str"/>
      <x:c r="AA423" s="11" t="str">
        <x:v>https://arxiv.org/pdf/2206.07682</x:v>
      </x:c>
      <x:c r="AB423" s="11" t="str">
        <x:v>https://arxiv.org/abs/2206.07682</x:v>
      </x:c>
      <x:c r="AC423" s="8" t="str">
        <x:v>AIO-250</x:v>
      </x:c>
      <x:c r="AD423" s="8" t="str">
        <x:v>书目页、可得摘要与首页单位核验；未做全文精读。</x:v>
      </x:c>
      <x:c r="AE423" s="8" t="str"/>
      <x:c r="AF423" s="8" t="str">
        <x:v>按本综述5.2.1「中期训练与监督微调」的写作用途归类；研究随着语言模型规模增长出现的任务表现变化与可预测性问题。</x:v>
      </x:c>
      <x:c r="AG423" s="8" t="str">
        <x:v>related</x:v>
      </x:c>
      <x:c r="AH423" s="8" t="str">
        <x:v>model-training,coverage-work-requirements</x:v>
      </x:c>
      <x:c r="AI423" s="8" t="str"/>
      <x:c r="AJ423" s="8" t="str">
        <x:v>2026-10-16 AI Office survey bibliography</x:v>
      </x:c>
      <x:c r="AK423" s="13" t="d">
        <x:v>2026-10-16T00:00:00.000Z</x:v>
      </x:c>
      <x:c r="AL423" s="8" t="str">
        <x:v>从新增来源发现候选，正式题名、链接及单位以可得一手资料为准。</x:v>
      </x:c>
      <x:c r="AM423" s="8" t="str"/>
    </x:row>
    <x:row r="424" ht="68" customHeight="1">
      <x:c r="A424" s="8" t="str">
        <x:v>WA-0438</x:v>
      </x:c>
      <x:c r="B424" s="8" t="str">
        <x:v>DesiGen</x:v>
      </x:c>
      <x:c r="C424" s="8" t="str">
        <x:v>Desigen: A Pipeline for Controllable Design Template Generation</x:v>
      </x:c>
      <x:c r="D424" s="9" t="n">
        <x:v>2024</x:v>
      </x:c>
      <x:c r="E424" s="8" t="str">
        <x:v>South China University of Technology; Microsoft; Central South University</x:v>
      </x:c>
      <x:c r="F424" s="21" t="str">
        <x:f>VLOOKUP(H424,'Taxonomy'!$A$6:$G$70,3,FALSE)</x:f>
        <x:v>基础：定义、工作条件与核心能力</x:v>
      </x:c>
      <x:c r="G424" s="21" t="str">
        <x:f>VLOOKUP(H424,'Taxonomy'!$A$6:$G$70,5,FALSE)</x:f>
        <x:v>五项核心能力</x:v>
      </x:c>
      <x:c r="H424" s="8" t="str">
        <x:v>2.3.4</x:v>
      </x:c>
      <x:c r="I424" s="21" t="str">
        <x:f>VLOOKUP(H424,'Taxonomy'!$A$6:$G$70,6,FALSE)</x:f>
        <x:v>执行与状态管理</x:v>
      </x:c>
      <x:c r="J424" s="8" t="str">
        <x:v>原生工件生成与编辑;任务分解与行动依赖</x:v>
      </x:c>
      <x:c r="K424" s="8" t="str">
        <x:v>感知与理解;规划与协调;执行与状态管理</x:v>
      </x:c>
      <x:c r="L424" s="8" t="str">
        <x:v>2.3.3 规划与协调</x:v>
      </x:c>
      <x:c r="M424" s="8" t="str"/>
      <x:c r="N424" s="8" t="str">
        <x:v>Method</x:v>
      </x:c>
      <x:c r="O424" s="11" t="str">
        <x:v>https://arxiv.org/abs/2403.09093</x:v>
      </x:c>
      <x:c r="P424" s="8" t="str">
        <x:v>把内容与布局分阶段生成，支持可控制的视觉设计模板。</x:v>
      </x:c>
      <x:c r="Q424" s="8" t="str">
        <x:v>用于2.3.4「执行与状态管理」：把内容与布局分阶段生成，支持可控制的视觉设计模板。</x:v>
      </x:c>
      <x:c r="R424" s="8" t="str">
        <x:v>限于论文评估的成果类型与编辑操作；不能据单类工件结果推断完整业务工作流可靠性。</x:v>
      </x:c>
      <x:c r="S424" s="8" t="str">
        <x:v>补充</x:v>
      </x:c>
      <x:c r="T424" s="22" t="str">
        <x:v>未分配</x:v>
      </x:c>
      <x:c r="U424" s="22" t="str"/>
      <x:c r="V424" s="22" t="str"/>
      <x:c r="W424" s="22" t="str"/>
      <x:c r="X424" s="8" t="str">
        <x:v>verified</x:v>
      </x:c>
      <x:c r="Y424" s="11" t="str"/>
      <x:c r="Z424" s="11" t="str"/>
      <x:c r="AA424" s="11" t="str">
        <x:v>https://arxiv.org/pdf/2403.09093</x:v>
      </x:c>
      <x:c r="AB424" s="11" t="str">
        <x:v>https://arxiv.org/abs/2403.09093</x:v>
      </x:c>
      <x:c r="AC424" s="8" t="str">
        <x:v>AIO-251</x:v>
      </x:c>
      <x:c r="AD424" s="8" t="str">
        <x:v>书目页、可得摘要与首页单位核验；未做全文精读。</x:v>
      </x:c>
      <x:c r="AE424" s="8" t="str"/>
      <x:c r="AF424" s="8" t="str">
        <x:v>按本综述2.3.4「执行与状态管理」的写作用途归类；把内容与布局分阶段生成，支持可控制的视觉设计模板。</x:v>
      </x:c>
      <x:c r="AG424" s="8" t="str">
        <x:v>artifact</x:v>
      </x:c>
      <x:c r="AH424" s="8" t="str">
        <x:v>artifact-editing,planning-dependencies</x:v>
      </x:c>
      <x:c r="AI424" s="8" t="str"/>
      <x:c r="AJ424" s="8" t="str">
        <x:v>2026-10-16 AI Office survey bibliography</x:v>
      </x:c>
      <x:c r="AK424" s="13" t="d">
        <x:v>2026-10-16T00:00:00.000Z</x:v>
      </x:c>
      <x:c r="AL424" s="8" t="str">
        <x:v>从新增来源发现候选，正式题名、链接及单位以可得一手资料为准。</x:v>
      </x:c>
      <x:c r="AM424" s="8" t="str"/>
    </x:row>
    <x:row r="425" ht="68" customHeight="1">
      <x:c r="A425" s="8" t="str">
        <x:v>WA-0439</x:v>
      </x:c>
      <x:c r="B425" s="8" t="str">
        <x:v>TableBench</x:v>
      </x:c>
      <x:c r="C425" s="8" t="str">
        <x:v>TableBench: A Comprehensive and Complex Benchmark for Table Question Answering</x:v>
      </x:c>
      <x:c r="D425" s="9" t="n">
        <x:v>2024</x:v>
      </x:c>
      <x:c r="E425" s="8" t="str">
        <x:v>Beihang University; M-A-P; Fudan University; Beijing Information Science and Technology University</x:v>
      </x:c>
      <x:c r="F425" s="21" t="str">
        <x:f>VLOOKUP(H425,'Taxonomy'!$A$6:$G$70,3,FALSE)</x:f>
        <x:v>评估与资源：如何检验工作完成</x:v>
      </x:c>
      <x:c r="G425" s="21" t="str">
        <x:f>VLOOKUP(H425,'Taxonomy'!$A$6:$G$70,5,FALSE)</x:f>
        <x:v>基准与任务构造</x:v>
      </x:c>
      <x:c r="H425" s="8" t="str">
        <x:v>6.1.2</x:v>
      </x:c>
      <x:c r="I425" s="21" t="str">
        <x:f>VLOOKUP(H425,'Taxonomy'!$A$6:$G$70,6,FALSE)</x:f>
        <x:v>领域覆盖与工作要求</x:v>
      </x:c>
      <x:c r="J425" s="8" t="str">
        <x:v>任务覆盖与泛化边界;对象结构、模态与语义</x:v>
      </x:c>
      <x:c r="K425" s="8" t="str">
        <x:v>感知与理解;推理与决策</x:v>
      </x:c>
      <x:c r="L425" s="8" t="str">
        <x:v>2.3.1 感知与理解</x:v>
      </x:c>
      <x:c r="M425" s="8" t="str"/>
      <x:c r="N425" s="8" t="str">
        <x:v>Benchmark</x:v>
      </x:c>
      <x:c r="O425" s="11" t="str">
        <x:v>https://arxiv.org/abs/2408.09174</x:v>
      </x:c>
      <x:c r="P425" s="8" t="str">
        <x:v>提供包含复杂表格问答与多样分析要求的评测。</x:v>
      </x:c>
      <x:c r="Q425" s="8" t="str">
        <x:v>用于6.1.2「领域覆盖与工作要求」：提供包含复杂表格问答与多样分析要求的评测。</x:v>
      </x:c>
      <x:c r="R425" s="8" t="str">
        <x:v>理解、问答或表示能力是工作智能体的组成部分，不等同于可编辑文件生成、跨文件一致性或端到端验收。</x:v>
      </x:c>
      <x:c r="S425" s="8" t="str">
        <x:v>补充</x:v>
      </x:c>
      <x:c r="T425" s="22" t="str">
        <x:v>未分配</x:v>
      </x:c>
      <x:c r="U425" s="22" t="str"/>
      <x:c r="V425" s="22" t="str"/>
      <x:c r="W425" s="22" t="str"/>
      <x:c r="X425" s="8" t="str">
        <x:v>verified</x:v>
      </x:c>
      <x:c r="Y425" s="11" t="str"/>
      <x:c r="Z425" s="11" t="str"/>
      <x:c r="AA425" s="11" t="str">
        <x:v>https://arxiv.org/pdf/2408.09174</x:v>
      </x:c>
      <x:c r="AB425" s="11" t="str">
        <x:v>https://arxiv.org/abs/2408.09174</x:v>
      </x:c>
      <x:c r="AC425" s="8" t="str">
        <x:v>AIO-254</x:v>
      </x:c>
      <x:c r="AD425" s="8" t="str">
        <x:v>书目页、可得摘要与首页单位核验；未做全文精读。</x:v>
      </x:c>
      <x:c r="AE425" s="8" t="str"/>
      <x:c r="AF425" s="8" t="str">
        <x:v>按本综述6.1.2「领域覆盖与工作要求」的写作用途归类；提供包含复杂表格问答与多样分析要求的评测。</x:v>
      </x:c>
      <x:c r="AG425" s="8" t="str">
        <x:v>workspace</x:v>
      </x:c>
      <x:c r="AH425" s="8" t="str">
        <x:v>coverage-work-requirements,object-semantics</x:v>
      </x:c>
      <x:c r="AI425" s="8" t="str"/>
      <x:c r="AJ425" s="8" t="str">
        <x:v>2026-10-16 AI Office survey bibliography</x:v>
      </x:c>
      <x:c r="AK425" s="13" t="d">
        <x:v>2026-10-16T00:00:00.000Z</x:v>
      </x:c>
      <x:c r="AL425" s="8" t="str">
        <x:v>从新增来源发现候选，正式题名、链接及单位以可得一手资料为准。</x:v>
      </x:c>
      <x:c r="AM425" s="8" t="str"/>
    </x:row>
    <x:row r="426" ht="68" customHeight="1">
      <x:c r="A426" s="8" t="str">
        <x:v>WA-0440</x:v>
      </x:c>
      <x:c r="B426" s="8" t="str">
        <x:v>Agent Skills Survey</x:v>
      </x:c>
      <x:c r="C426" s="8" t="str">
        <x:v>Agent Skills for Large Language Models: Architecture, Acquisition, Security, and the Path Forward</x:v>
      </x:c>
      <x:c r="D426" s="9" t="n">
        <x:v>2026</x:v>
      </x:c>
      <x:c r="E426" s="8" t="str">
        <x:v>Westlake University</x:v>
      </x:c>
      <x:c r="F426" s="21" t="str">
        <x:f>VLOOKUP(H426,'Taxonomy'!$A$6:$G$70,3,FALSE)</x:f>
        <x:v>优化：从工作经验到系统能力</x:v>
      </x:c>
      <x:c r="G426" s="21" t="str">
        <x:f>VLOOKUP(H426,'Taxonomy'!$A$6:$G$70,5,FALSE)</x:f>
        <x:v>运行框架优化</x:v>
      </x:c>
      <x:c r="H426" s="8" t="str">
        <x:v>5.3.3</x:v>
      </x:c>
      <x:c r="I426" s="21" t="str">
        <x:f>VLOOKUP(H426,'Taxonomy'!$A$6:$G$70,6,FALSE)</x:f>
        <x:v>记忆与技能优化</x:v>
      </x:c>
      <x:c r="J426" s="8" t="str">
        <x:v>经验记忆与技能优化;安全、隐私与授权边界;范式与自主性边界</x:v>
      </x:c>
      <x:c r="K426" s="8" t="str"/>
      <x:c r="L426" s="8" t="str"/>
      <x:c r="M426" s="8" t="str"/>
      <x:c r="N426" s="8" t="str">
        <x:v>Survey</x:v>
      </x:c>
      <x:c r="O426" s="11" t="str">
        <x:v>https://arxiv.org/abs/2602.12430</x:v>
      </x:c>
      <x:c r="P426" s="8" t="str">
        <x:v>整理大模型智能体技能的架构、获得方式、安全风险与发展方向。</x:v>
      </x:c>
      <x:c r="Q426" s="8" t="str">
        <x:v>用于5.3.3「记忆与技能优化」：整理大模型智能体技能的架构、获得方式、安全风险与发展方向。</x:v>
      </x:c>
      <x:c r="R426" s="8" t="str">
        <x:v>作为研究覆盖与术语背景；具体性能结论应回到其引用的一手论文。</x:v>
      </x:c>
      <x:c r="S426" s="8" t="str">
        <x:v>补充</x:v>
      </x:c>
      <x:c r="T426" s="22" t="str">
        <x:v>未分配</x:v>
      </x:c>
      <x:c r="U426" s="22" t="str"/>
      <x:c r="V426" s="22" t="str"/>
      <x:c r="W426" s="22" t="str"/>
      <x:c r="X426" s="8" t="str">
        <x:v>verified</x:v>
      </x:c>
      <x:c r="Y426" s="11" t="str"/>
      <x:c r="Z426" s="11" t="str"/>
      <x:c r="AA426" s="11" t="str">
        <x:v>https://arxiv.org/pdf/2602.12430</x:v>
      </x:c>
      <x:c r="AB426" s="11" t="str">
        <x:v>https://arxiv.org/abs/2602.12430</x:v>
      </x:c>
      <x:c r="AC426" s="8" t="str">
        <x:v>AIO-257</x:v>
      </x:c>
      <x:c r="AD426" s="8" t="str">
        <x:v>书目页、可得摘要与首页单位核验；未做全文精读。</x:v>
      </x:c>
      <x:c r="AE426" s="8" t="str"/>
      <x:c r="AF426" s="8" t="str">
        <x:v>按本综述5.3.3「记忆与技能优化」的写作用途归类；整理大模型智能体技能的架构、获得方式、安全风险与发展方向。</x:v>
      </x:c>
      <x:c r="AG426" s="8" t="str">
        <x:v>related</x:v>
      </x:c>
      <x:c r="AH426" s="8" t="str">
        <x:v>memory-skill,safety-authorization,paradigm-comparison</x:v>
      </x:c>
      <x:c r="AI426" s="8" t="str"/>
      <x:c r="AJ426" s="8" t="str">
        <x:v>2026-10-16 AI Office survey bibliography</x:v>
      </x:c>
      <x:c r="AK426" s="13" t="d">
        <x:v>2026-10-16T00:00:00.000Z</x:v>
      </x:c>
      <x:c r="AL426" s="8" t="str">
        <x:v>从新增来源发现候选，正式题名、链接及单位以可得一手资料为准。年份按所链接的arXiv首次公开时间，与来源中的会议出版年份可能不同。</x:v>
      </x:c>
      <x:c r="AM426" s="8" t="str"/>
    </x:row>
    <x:row r="427" ht="68" customHeight="1">
      <x:c r="A427" s="8" t="str">
        <x:v>WA-0441</x:v>
      </x:c>
      <x:c r="B427" s="8" t="str">
        <x:v>LayoutLMv2</x:v>
      </x:c>
      <x:c r="C427" s="8" t="str">
        <x:v>LayoutLMv2: Multi-modal Pre-training for Visually-rich Document Understanding</x:v>
      </x:c>
      <x:c r="D427" s="9" t="n">
        <x:v>2021</x:v>
      </x:c>
      <x:c r="E427" s="8" t="str">
        <x:v>Harbin Institute of Technology; Microsoft Research Asia; Microsoft Azure AI; Soochow University</x:v>
      </x:c>
      <x:c r="F427" s="21" t="str">
        <x:f>VLOOKUP(H427,'Taxonomy'!$A$6:$G$70,3,FALSE)</x:f>
        <x:v>基础：定义、工作条件与核心能力</x:v>
      </x:c>
      <x:c r="G427" s="21" t="str">
        <x:f>VLOOKUP(H427,'Taxonomy'!$A$6:$G$70,5,FALSE)</x:f>
        <x:v>五项核心能力</x:v>
      </x:c>
      <x:c r="H427" s="8" t="str">
        <x:v>2.3.1</x:v>
      </x:c>
      <x:c r="I427" s="21" t="str">
        <x:f>VLOOKUP(H427,'Taxonomy'!$A$6:$G$70,6,FALSE)</x:f>
        <x:v>感知与理解</x:v>
      </x:c>
      <x:c r="J427" s="8" t="str">
        <x:v>对象结构、模态与语义;模型参数学习</x:v>
      </x:c>
      <x:c r="K427" s="8" t="str">
        <x:v>感知与理解</x:v>
      </x:c>
      <x:c r="L427" s="8" t="str">
        <x:v>5.2.1 中期训练与监督微调</x:v>
      </x:c>
      <x:c r="M427" s="8" t="str"/>
      <x:c r="N427" s="8" t="str">
        <x:v>Method</x:v>
      </x:c>
      <x:c r="O427" s="11" t="str">
        <x:v>https://aclanthology.org/2021.acl-long.201/</x:v>
      </x:c>
      <x:c r="P427" s="8" t="str">
        <x:v>通过文本、视觉与布局联合预训练改善视觉丰富文档理解。</x:v>
      </x:c>
      <x:c r="Q427" s="8" t="str">
        <x:v>用于2.3.1「感知与理解」：通过文本、视觉与布局联合预训练改善视觉丰富文档理解。</x:v>
      </x:c>
      <x:c r="R427" s="8" t="str">
        <x:v>理解、问答或表示能力是工作智能体的组成部分，不等同于可编辑文件生成、跨文件一致性或端到端验收。</x:v>
      </x:c>
      <x:c r="S427" s="8" t="str">
        <x:v>补充</x:v>
      </x:c>
      <x:c r="T427" s="22" t="str">
        <x:v>未分配</x:v>
      </x:c>
      <x:c r="U427" s="22" t="str"/>
      <x:c r="V427" s="22" t="str"/>
      <x:c r="W427" s="22" t="str"/>
      <x:c r="X427" s="8" t="str">
        <x:v>verified</x:v>
      </x:c>
      <x:c r="Y427" s="11" t="str"/>
      <x:c r="Z427" s="11" t="str"/>
      <x:c r="AA427" s="11" t="str">
        <x:v>https://aclanthology.org/2021.acl-long.201.pdf</x:v>
      </x:c>
      <x:c r="AB427" s="11" t="str">
        <x:v>https://aclanthology.org/2021.acl-long.201/</x:v>
      </x:c>
      <x:c r="AC427" s="8" t="str">
        <x:v>AIO-258</x:v>
      </x:c>
      <x:c r="AD427" s="8" t="str">
        <x:v>书目页、可得摘要与首页单位核验；未做全文精读。</x:v>
      </x:c>
      <x:c r="AE427" s="8" t="str"/>
      <x:c r="AF427" s="8" t="str">
        <x:v>按本综述2.3.1「感知与理解」的写作用途归类；通过文本、视觉与布局联合预训练改善视觉丰富文档理解。</x:v>
      </x:c>
      <x:c r="AG427" s="8" t="str">
        <x:v>related</x:v>
      </x:c>
      <x:c r="AH427" s="8" t="str">
        <x:v>object-semantics,model-training</x:v>
      </x:c>
      <x:c r="AI427" s="8" t="str"/>
      <x:c r="AJ427" s="8" t="str">
        <x:v>2026-10-16 AI Office survey bibliography</x:v>
      </x:c>
      <x:c r="AK427" s="13" t="d">
        <x:v>2026-10-16T00:00:00.000Z</x:v>
      </x:c>
      <x:c r="AL427" s="8" t="str">
        <x:v>从新增来源发现候选，正式题名、链接及单位以可得一手资料为准。</x:v>
      </x:c>
      <x:c r="AM427" s="8" t="str"/>
    </x:row>
    <x:row r="428" ht="68" customHeight="1">
      <x:c r="A428" s="8" t="str">
        <x:v>WA-0442</x:v>
      </x:c>
      <x:c r="B428" s="8" t="str">
        <x:v>AIDABench</x:v>
      </x:c>
      <x:c r="C428" s="8" t="str">
        <x:v>AIDABench: AI Data Analytics Benchmark</x:v>
      </x:c>
      <x:c r="D428" s="9" t="n">
        <x:v>2026</x:v>
      </x:c>
      <x:c r="E428" s="8" t="str">
        <x:v>SenseTime Research; Shanghai AI Laboratory; The Chinese University of Hong Kong</x:v>
      </x:c>
      <x:c r="F428" s="21" t="str">
        <x:f>VLOOKUP(H428,'Taxonomy'!$A$6:$G$70,3,FALSE)</x:f>
        <x:v>评估与资源：如何检验工作完成</x:v>
      </x:c>
      <x:c r="G428" s="21" t="str">
        <x:f>VLOOKUP(H428,'Taxonomy'!$A$6:$G$70,5,FALSE)</x:f>
        <x:v>基准与任务构造</x:v>
      </x:c>
      <x:c r="H428" s="8" t="str">
        <x:v>6.1.2</x:v>
      </x:c>
      <x:c r="I428" s="21" t="str">
        <x:f>VLOOKUP(H428,'Taxonomy'!$A$6:$G$70,6,FALSE)</x:f>
        <x:v>领域覆盖与工作要求</x:v>
      </x:c>
      <x:c r="J428" s="8" t="str">
        <x:v>任务覆盖与泛化边界;答案、产物、状态与过程证据</x:v>
      </x:c>
      <x:c r="K428" s="8" t="str">
        <x:v>感知与理解;推理与决策;规划与协调;执行与状态管理;验证、恢复与重新规划</x:v>
      </x:c>
      <x:c r="L428" s="8" t="str">
        <x:v>2.3.4 执行与状态管理;6.2.1 评估目标与可观察证据</x:v>
      </x:c>
      <x:c r="M428" s="8" t="str"/>
      <x:c r="N428" s="8" t="str">
        <x:v>Benchmark</x:v>
      </x:c>
      <x:c r="O428" s="11" t="str">
        <x:v>https://arxiv.org/abs/2603.15636</x:v>
      </x:c>
      <x:c r="P428" s="8" t="str">
        <x:v>在文档与数据分析场景中同时评估问答、可视化和文件生成。</x:v>
      </x:c>
      <x:c r="Q428" s="8" t="str">
        <x:v>用于6.1.2「领域覆盖与工作要求」：在文档与数据分析场景中同时评估问答、可视化和文件生成。</x:v>
      </x:c>
      <x:c r="R428" s="8" t="str">
        <x:v>按该评测的任务、接口与验收协议解释；能力标签表示任务需求，不是模型已经具备该能力。</x:v>
      </x:c>
      <x:c r="S428" s="8" t="str">
        <x:v>补充</x:v>
      </x:c>
      <x:c r="T428" s="22" t="str">
        <x:v>未分配</x:v>
      </x:c>
      <x:c r="U428" s="22" t="str"/>
      <x:c r="V428" s="22" t="str"/>
      <x:c r="W428" s="22" t="str"/>
      <x:c r="X428" s="8" t="str">
        <x:v>verified</x:v>
      </x:c>
      <x:c r="Y428" s="11" t="str">
        <x:v>https://github.com/MichaelYang-lyx/AIDABench</x:v>
      </x:c>
      <x:c r="Z428" s="11" t="str"/>
      <x:c r="AA428" s="11" t="str">
        <x:v>https://arxiv.org/pdf/2603.15636</x:v>
      </x:c>
      <x:c r="AB428" s="11" t="str">
        <x:v>https://arxiv.org/abs/2603.15636</x:v>
      </x:c>
      <x:c r="AC428" s="8" t="str">
        <x:v>AIO-266</x:v>
      </x:c>
      <x:c r="AD428" s="8" t="str">
        <x:v>书目页、可得摘要与首页单位核验；未做全文精读。</x:v>
      </x:c>
      <x:c r="AE428" s="8" t="str"/>
      <x:c r="AF428" s="8" t="str">
        <x:v>按本综述6.1.2「领域覆盖与工作要求」的写作用途归类；在文档与数据分析场景中同时评估问答、可视化和文件生成。</x:v>
      </x:c>
      <x:c r="AG428" s="8" t="str">
        <x:v>workspace</x:v>
      </x:c>
      <x:c r="AH428" s="8" t="str">
        <x:v>coverage-work-requirements,observable-evidence</x:v>
      </x:c>
      <x:c r="AI428" s="8" t="str"/>
      <x:c r="AJ428" s="8" t="str">
        <x:v>2026-10-16 AI Office survey bibliography</x:v>
      </x:c>
      <x:c r="AK428" s="13" t="d">
        <x:v>2026-10-16T00:00:00.000Z</x:v>
      </x:c>
      <x:c r="AL428" s="8" t="str">
        <x:v>从新增来源发现候选，正式题名、链接及单位以可得一手资料为准。</x:v>
      </x:c>
      <x:c r="AM428" s="8" t="str"/>
    </x:row>
    <x:row r="429" ht="68" customHeight="1">
      <x:c r="A429" s="8" t="str">
        <x:v>WA-0443</x:v>
      </x:c>
      <x:c r="B429" s="8" t="str">
        <x:v>UltraCUA</x:v>
      </x:c>
      <x:c r="C429" s="8" t="str">
        <x:v>UltraCUA: A Foundation Model for Computer Use Agents with Hybrid Action</x:v>
      </x:c>
      <x:c r="D429" s="9" t="n">
        <x:v>2025</x:v>
      </x:c>
      <x:c r="E429" s="8" t="str">
        <x:v>Apple; The University of Hong Kong</x:v>
      </x:c>
      <x:c r="F429" s="21" t="str">
        <x:f>VLOOKUP(H429,'Taxonomy'!$A$6:$G$70,3,FALSE)</x:f>
        <x:v>优化：从工作经验到系统能力</x:v>
      </x:c>
      <x:c r="G429" s="21" t="str">
        <x:f>VLOOKUP(H429,'Taxonomy'!$A$6:$G$70,5,FALSE)</x:f>
        <x:v>模型—运行框架耦合优化</x:v>
      </x:c>
      <x:c r="H429" s="8" t="str">
        <x:v>5.4.1</x:v>
      </x:c>
      <x:c r="I429" s="21" t="str">
        <x:f>VLOOKUP(H429,'Taxonomy'!$A$6:$G$70,6,FALSE)</x:f>
        <x:v>运行框架感知训练</x:v>
      </x:c>
      <x:c r="J429" s="8" t="str">
        <x:v>模型参数学习;接口与观测优化;模型与运行框架耦合</x:v>
      </x:c>
      <x:c r="K429" s="8" t="str">
        <x:v>感知与理解;执行与状态管理</x:v>
      </x:c>
      <x:c r="L429" s="8" t="str">
        <x:v>2.4.2 计算机使用智能体;5.3.1 接口与工具优化</x:v>
      </x:c>
      <x:c r="M429" s="8" t="str">
        <x:v>中期训练与监督微调;智能体强化学习;接口与工具优化</x:v>
      </x:c>
      <x:c r="N429" s="8" t="str">
        <x:v>Method</x:v>
      </x:c>
      <x:c r="O429" s="11" t="str">
        <x:v>https://arxiv.org/abs/2510.17790</x:v>
      </x:c>
      <x:c r="P429" s="8" t="str">
        <x:v>训练能在GUI基本动作与高层程序工具之间切换的计算机使用模型。</x:v>
      </x:c>
      <x:c r="Q429" s="8" t="str">
        <x:v>用于5.4.1「运行框架感知训练」：训练能在GUI基本动作与高层程序工具之间切换的计算机使用模型。</x:v>
      </x:c>
      <x:c r="R429" s="8" t="str">
        <x:v>支持论文所研究的规划、执行或反馈机制；跨环境可靠性仍需按原文实验设置判断。</x:v>
      </x:c>
      <x:c r="S429" s="8" t="str">
        <x:v>补充</x:v>
      </x:c>
      <x:c r="T429" s="22" t="str">
        <x:v>未分配</x:v>
      </x:c>
      <x:c r="U429" s="22" t="str"/>
      <x:c r="V429" s="22" t="str"/>
      <x:c r="W429" s="22" t="str"/>
      <x:c r="X429" s="8" t="str">
        <x:v>verified</x:v>
      </x:c>
      <x:c r="Y429" s="11" t="str"/>
      <x:c r="Z429" s="11" t="str"/>
      <x:c r="AA429" s="11" t="str">
        <x:v>https://arxiv.org/pdf/2510.17790</x:v>
      </x:c>
      <x:c r="AB429" s="11" t="str">
        <x:v>https://arxiv.org/abs/2510.17790</x:v>
      </x:c>
      <x:c r="AC429" s="8" t="str">
        <x:v>AIO-267</x:v>
      </x:c>
      <x:c r="AD429" s="8" t="str">
        <x:v>书目页、可得摘要与首页单位核验；未做全文精读。</x:v>
      </x:c>
      <x:c r="AE429" s="8" t="str"/>
      <x:c r="AF429" s="8" t="str">
        <x:v>按本综述5.4.1「运行框架感知训练」的写作用途归类；训练能在GUI基本动作与高层程序工具之间切换的计算机使用模型。</x:v>
      </x:c>
      <x:c r="AG429" s="8" t="str">
        <x:v>harness</x:v>
      </x:c>
      <x:c r="AH429" s="8" t="str">
        <x:v>model-training,tool-interface,model-harness-coupling</x:v>
      </x:c>
      <x:c r="AI429" s="8" t="str"/>
      <x:c r="AJ429" s="8" t="str">
        <x:v>2026-10-16 AI Office survey bibliography</x:v>
      </x:c>
      <x:c r="AK429" s="13" t="d">
        <x:v>2026-10-16T00:00:00.000Z</x:v>
      </x:c>
      <x:c r="AL429" s="8" t="str">
        <x:v>从新增来源发现候选，正式题名、链接及单位以可得一手资料为准。</x:v>
      </x:c>
      <x:c r="AM429" s="8" t="str"/>
    </x:row>
    <x:row r="430" ht="68" customHeight="1">
      <x:c r="A430" s="8" t="str">
        <x:v>WA-0444</x:v>
      </x:c>
      <x:c r="B430" s="8" t="str">
        <x:v>mPLUG-DocOwl</x:v>
      </x:c>
      <x:c r="C430" s="8" t="str">
        <x:v>mPLUG-DocOwl: Modularized Multimodal Large Language Model for Document Understanding</x:v>
      </x:c>
      <x:c r="D430" s="9" t="n">
        <x:v>2023</x:v>
      </x:c>
      <x:c r="E430" s="8" t="str">
        <x:v>Alibaba DAMO Academy</x:v>
      </x:c>
      <x:c r="F430" s="21" t="str">
        <x:f>VLOOKUP(H430,'Taxonomy'!$A$6:$G$70,3,FALSE)</x:f>
        <x:v>基础：定义、工作条件与核心能力</x:v>
      </x:c>
      <x:c r="G430" s="21" t="str">
        <x:f>VLOOKUP(H430,'Taxonomy'!$A$6:$G$70,5,FALSE)</x:f>
        <x:v>五项核心能力</x:v>
      </x:c>
      <x:c r="H430" s="8" t="str">
        <x:v>2.3.1</x:v>
      </x:c>
      <x:c r="I430" s="21" t="str">
        <x:f>VLOOKUP(H430,'Taxonomy'!$A$6:$G$70,6,FALSE)</x:f>
        <x:v>感知与理解</x:v>
      </x:c>
      <x:c r="J430" s="8" t="str">
        <x:v>对象结构、模态与语义;模型参数学习</x:v>
      </x:c>
      <x:c r="K430" s="8" t="str">
        <x:v>感知与理解</x:v>
      </x:c>
      <x:c r="L430" s="8" t="str">
        <x:v>5.2.1 中期训练与监督微调</x:v>
      </x:c>
      <x:c r="M430" s="8" t="str"/>
      <x:c r="N430" s="8" t="str">
        <x:v>Method</x:v>
      </x:c>
      <x:c r="O430" s="11" t="str">
        <x:v>https://arxiv.org/abs/2307.02499</x:v>
      </x:c>
      <x:c r="P430" s="8" t="str">
        <x:v>以模块化多模态建模支持文档、表格和图表理解。</x:v>
      </x:c>
      <x:c r="Q430" s="8" t="str">
        <x:v>用于2.3.1「感知与理解」：以模块化多模态建模支持文档、表格和图表理解。</x:v>
      </x:c>
      <x:c r="R430" s="8" t="str">
        <x:v>理解、问答或表示能力是工作智能体的组成部分，不等同于可编辑文件生成、跨文件一致性或端到端验收。</x:v>
      </x:c>
      <x:c r="S430" s="8" t="str">
        <x:v>补充</x:v>
      </x:c>
      <x:c r="T430" s="22" t="str">
        <x:v>未分配</x:v>
      </x:c>
      <x:c r="U430" s="22" t="str"/>
      <x:c r="V430" s="22" t="str"/>
      <x:c r="W430" s="22" t="str"/>
      <x:c r="X430" s="8" t="str">
        <x:v>verified</x:v>
      </x:c>
      <x:c r="Y430" s="11" t="str"/>
      <x:c r="Z430" s="11" t="str"/>
      <x:c r="AA430" s="11" t="str">
        <x:v>https://arxiv.org/pdf/2307.02499</x:v>
      </x:c>
      <x:c r="AB430" s="11" t="str">
        <x:v>https://arxiv.org/abs/2307.02499</x:v>
      </x:c>
      <x:c r="AC430" s="8" t="str">
        <x:v>AIO-269</x:v>
      </x:c>
      <x:c r="AD430" s="8" t="str">
        <x:v>书目页、可得摘要与首页单位核验；未做全文精读。</x:v>
      </x:c>
      <x:c r="AE430" s="8" t="str"/>
      <x:c r="AF430" s="8" t="str">
        <x:v>按本综述2.3.1「感知与理解」的写作用途归类；以模块化多模态建模支持文档、表格和图表理解。</x:v>
      </x:c>
      <x:c r="AG430" s="8" t="str">
        <x:v>related</x:v>
      </x:c>
      <x:c r="AH430" s="8" t="str">
        <x:v>object-semantics,model-training</x:v>
      </x:c>
      <x:c r="AI430" s="8" t="str"/>
      <x:c r="AJ430" s="8" t="str">
        <x:v>2026-10-16 AI Office survey bibliography</x:v>
      </x:c>
      <x:c r="AK430" s="13" t="d">
        <x:v>2026-10-16T00:00:00.000Z</x:v>
      </x:c>
      <x:c r="AL430" s="8" t="str">
        <x:v>从新增来源发现候选，正式题名、链接及单位以可得一手资料为准。</x:v>
      </x:c>
      <x:c r="AM430" s="8" t="str"/>
    </x:row>
    <x:row r="431" ht="68" customHeight="1">
      <x:c r="A431" s="8" t="str">
        <x:v>WA-0445</x:v>
      </x:c>
      <x:c r="B431" s="8" t="str">
        <x:v>Dater</x:v>
      </x:c>
      <x:c r="C431" s="8" t="str">
        <x:v>Large Language Models are Versatile Decomposers: Decompose Evidence and Questions for Table-based Reasoning</x:v>
      </x:c>
      <x:c r="D431" s="9" t="n">
        <x:v>2023</x:v>
      </x:c>
      <x:c r="E431" s="8" t="str">
        <x:v>University of Science and Technology of China; Shenzhen Institute of Advanced Technology, Chinese Academy of Sciences; Alibaba DAMO Academy</x:v>
      </x:c>
      <x:c r="F431" s="21" t="str">
        <x:f>VLOOKUP(H431,'Taxonomy'!$A$6:$G$70,3,FALSE)</x:f>
        <x:v>基础：定义、工作条件与核心能力</x:v>
      </x:c>
      <x:c r="G431" s="21" t="str">
        <x:f>VLOOKUP(H431,'Taxonomy'!$A$6:$G$70,5,FALSE)</x:f>
        <x:v>五项核心能力</x:v>
      </x:c>
      <x:c r="H431" s="8" t="str">
        <x:v>2.3.2</x:v>
      </x:c>
      <x:c r="I431" s="21" t="str">
        <x:f>VLOOKUP(H431,'Taxonomy'!$A$6:$G$70,6,FALSE)</x:f>
        <x:v>推理与决策</x:v>
      </x:c>
      <x:c r="J431" s="8" t="str">
        <x:v>材料发现与证据定位;证据整合与推理</x:v>
      </x:c>
      <x:c r="K431" s="8" t="str">
        <x:v>感知与理解;推理与决策</x:v>
      </x:c>
      <x:c r="L431" s="8" t="str">
        <x:v>3.1 响应级工作</x:v>
      </x:c>
      <x:c r="M431" s="8" t="str"/>
      <x:c r="N431" s="8" t="str">
        <x:v>Method</x:v>
      </x:c>
      <x:c r="O431" s="11" t="str">
        <x:v>https://arxiv.org/abs/2301.13808</x:v>
      </x:c>
      <x:c r="P431" s="8" t="str">
        <x:v>把大表格证据与复杂问题分别分解，再进行解析、执行和答案补全。</x:v>
      </x:c>
      <x:c r="Q431" s="8" t="str">
        <x:v>用于2.3.2「推理与决策」：把大表格证据与复杂问题分别分解，再进行解析、执行和答案补全。</x:v>
      </x:c>
      <x:c r="R431" s="8" t="str">
        <x:v>支持论文所研究的规划、执行或反馈机制；跨环境可靠性仍需按原文实验设置判断。</x:v>
      </x:c>
      <x:c r="S431" s="8" t="str">
        <x:v>补充</x:v>
      </x:c>
      <x:c r="T431" s="22" t="str">
        <x:v>未分配</x:v>
      </x:c>
      <x:c r="U431" s="22" t="str"/>
      <x:c r="V431" s="22" t="str"/>
      <x:c r="W431" s="22" t="str"/>
      <x:c r="X431" s="8" t="str">
        <x:v>verified</x:v>
      </x:c>
      <x:c r="Y431" s="11" t="str"/>
      <x:c r="Z431" s="11" t="str"/>
      <x:c r="AA431" s="11" t="str">
        <x:v>https://arxiv.org/pdf/2301.13808</x:v>
      </x:c>
      <x:c r="AB431" s="11" t="str">
        <x:v>https://arxiv.org/abs/2301.13808</x:v>
      </x:c>
      <x:c r="AC431" s="8" t="str">
        <x:v>AIO-270</x:v>
      </x:c>
      <x:c r="AD431" s="8" t="str">
        <x:v>书目页、可得摘要与首页单位核验；未做全文精读。</x:v>
      </x:c>
      <x:c r="AE431" s="8" t="str"/>
      <x:c r="AF431" s="8" t="str">
        <x:v>按本综述2.3.2「推理与决策」的写作用途归类；把大表格证据与复杂问题分别分解，再进行解析、执行和答案补全。</x:v>
      </x:c>
      <x:c r="AG431" s="8" t="str">
        <x:v>related</x:v>
      </x:c>
      <x:c r="AH431" s="8" t="str">
        <x:v>evidence-discovery,evidence-reasoning</x:v>
      </x:c>
      <x:c r="AI431" s="8" t="str"/>
      <x:c r="AJ431" s="8" t="str">
        <x:v>2026-10-16 AI Office survey bibliography</x:v>
      </x:c>
      <x:c r="AK431" s="13" t="d">
        <x:v>2026-10-16T00:00:00.000Z</x:v>
      </x:c>
      <x:c r="AL431" s="8" t="str">
        <x:v>从新增来源发现候选，正式题名、链接及单位以可得一手资料为准。</x:v>
      </x:c>
      <x:c r="AM431" s="8" t="str"/>
    </x:row>
    <x:row r="432" ht="68" customHeight="1">
      <x:c r="A432" s="8" t="str">
        <x:v>WA-0446</x:v>
      </x:c>
      <x:c r="B432" s="8" t="str">
        <x:v>MBABench</x:v>
      </x:c>
      <x:c r="C432" s="8" t="str">
        <x:v>MBABench: Evaluating LLM Agents on End-to-End Spreadsheet Tasks in Finance</x:v>
      </x:c>
      <x:c r="D432" s="9" t="n">
        <x:v>2026</x:v>
      </x:c>
      <x:c r="E432" s="8" t="str">
        <x:v>Columbia Business School; Reutlingen University</x:v>
      </x:c>
      <x:c r="F432" s="21" t="str">
        <x:f>VLOOKUP(H432,'Taxonomy'!$A$6:$G$70,3,FALSE)</x:f>
        <x:v>评估与资源：如何检验工作完成</x:v>
      </x:c>
      <x:c r="G432" s="21" t="str">
        <x:f>VLOOKUP(H432,'Taxonomy'!$A$6:$G$70,5,FALSE)</x:f>
        <x:v>基准与任务构造</x:v>
      </x:c>
      <x:c r="H432" s="8" t="str">
        <x:v>6.1.2</x:v>
      </x:c>
      <x:c r="I432" s="21" t="str">
        <x:f>VLOOKUP(H432,'Taxonomy'!$A$6:$G$70,6,FALSE)</x:f>
        <x:v>领域覆盖与工作要求</x:v>
      </x:c>
      <x:c r="J432" s="8" t="str">
        <x:v>任务覆盖与泛化边界;原生工件生成与编辑;标准、量规与裁判</x:v>
      </x:c>
      <x:c r="K432" s="8" t="str">
        <x:v>感知与理解;推理与决策;规划与协调;执行与状态管理;验证、恢复与重新规划</x:v>
      </x:c>
      <x:c r="L432" s="8" t="str">
        <x:v>2.3.2 推理与决策;6.2.2 评判程序</x:v>
      </x:c>
      <x:c r="M432" s="8" t="str"/>
      <x:c r="N432" s="8" t="str">
        <x:v>Benchmark</x:v>
      </x:c>
      <x:c r="O432" s="11" t="str">
        <x:v>https://arxiv.org/abs/2605.22664</x:v>
      </x:c>
      <x:c r="P432" s="8" t="str">
        <x:v>以金融业务要求评估端到端电子表格成果的创建质量。</x:v>
      </x:c>
      <x:c r="Q432" s="8" t="str">
        <x:v>用于6.1.2「领域覆盖与工作要求」：以金融业务要求评估端到端电子表格成果的创建质量。</x:v>
      </x:c>
      <x:c r="R432" s="8" t="str">
        <x:v>自动评分和量规受任务分布、裁判偏差与校准方式影响，不作为通用成果质量保证。</x:v>
      </x:c>
      <x:c r="S432" s="8" t="str">
        <x:v>补充</x:v>
      </x:c>
      <x:c r="T432" s="22" t="str">
        <x:v>未分配</x:v>
      </x:c>
      <x:c r="U432" s="22" t="str"/>
      <x:c r="V432" s="22" t="str"/>
      <x:c r="W432" s="22" t="str"/>
      <x:c r="X432" s="8" t="str">
        <x:v>verified</x:v>
      </x:c>
      <x:c r="Y432" s="11" t="str"/>
      <x:c r="Z432" s="11" t="str"/>
      <x:c r="AA432" s="11" t="str">
        <x:v>https://arxiv.org/pdf/2605.22664</x:v>
      </x:c>
      <x:c r="AB432" s="11" t="str">
        <x:v>https://arxiv.org/abs/2605.22664</x:v>
      </x:c>
      <x:c r="AC432" s="8" t="str">
        <x:v>AIO-271</x:v>
      </x:c>
      <x:c r="AD432" s="8" t="str">
        <x:v>书目页、可得摘要与首页单位核验；未做全文精读。</x:v>
      </x:c>
      <x:c r="AE432" s="8" t="str"/>
      <x:c r="AF432" s="8" t="str">
        <x:v>按本综述6.1.2「领域覆盖与工作要求」的写作用途归类；以金融业务要求评估端到端电子表格成果的创建质量。</x:v>
      </x:c>
      <x:c r="AG432" s="8" t="str">
        <x:v>artifact</x:v>
      </x:c>
      <x:c r="AH432" s="8" t="str">
        <x:v>coverage-work-requirements,artifact-editing,rubric-judging</x:v>
      </x:c>
      <x:c r="AI432" s="8" t="str"/>
      <x:c r="AJ432" s="8" t="str">
        <x:v>2026-10-16 AI Office survey bibliography</x:v>
      </x:c>
      <x:c r="AK432" s="13" t="d">
        <x:v>2026-10-16T00:00:00.000Z</x:v>
      </x:c>
      <x:c r="AL432" s="8" t="str">
        <x:v>从新增来源发现候选，正式题名、链接及单位以可得一手资料为准。</x:v>
      </x:c>
      <x:c r="AM432" s="8" t="str"/>
    </x:row>
    <x:row r="433" ht="68" customHeight="1">
      <x:c r="A433" s="8" t="str">
        <x:v>WA-0447</x:v>
      </x:c>
      <x:c r="B433" s="8" t="str">
        <x:v>Spider</x:v>
      </x:c>
      <x:c r="C433" s="8" t="str">
        <x:v>Spider: A Large-Scale Human-Labeled Dataset for Complex and Cross-Domain Semantic Parsing and Text-to-SQL Task</x:v>
      </x:c>
      <x:c r="D433" s="9" t="n">
        <x:v>2018</x:v>
      </x:c>
      <x:c r="E433" s="8" t="str">
        <x:v>Yale University</x:v>
      </x:c>
      <x:c r="F433" s="21" t="str">
        <x:f>VLOOKUP(H433,'Taxonomy'!$A$6:$G$70,3,FALSE)</x:f>
        <x:v>评估与资源：如何检验工作完成</x:v>
      </x:c>
      <x:c r="G433" s="21" t="str">
        <x:f>VLOOKUP(H433,'Taxonomy'!$A$6:$G$70,5,FALSE)</x:f>
        <x:v>基准与任务构造</x:v>
      </x:c>
      <x:c r="H433" s="8" t="str">
        <x:v>6.1.2</x:v>
      </x:c>
      <x:c r="I433" s="21" t="str">
        <x:f>VLOOKUP(H433,'Taxonomy'!$A$6:$G$70,6,FALSE)</x:f>
        <x:v>领域覆盖与工作要求</x:v>
      </x:c>
      <x:c r="J433" s="8" t="str">
        <x:v>任务覆盖与泛化边界;证据整合与推理</x:v>
      </x:c>
      <x:c r="K433" s="8" t="str">
        <x:v>感知与理解;推理与决策</x:v>
      </x:c>
      <x:c r="L433" s="8" t="str">
        <x:v>2.3.2 推理与决策</x:v>
      </x:c>
      <x:c r="M433" s="8" t="str"/>
      <x:c r="N433" s="8" t="str">
        <x:v>Benchmark</x:v>
      </x:c>
      <x:c r="O433" s="11" t="str">
        <x:v>https://aclanthology.org/D18-1425/</x:v>
      </x:c>
      <x:c r="P433" s="8" t="str">
        <x:v>提供跨数据库、复杂SQL查询的语义解析评测。</x:v>
      </x:c>
      <x:c r="Q433" s="8" t="str">
        <x:v>用于6.1.2「领域覆盖与工作要求」：提供跨数据库、复杂SQL查询的语义解析评测。</x:v>
      </x:c>
      <x:c r="R433" s="8" t="str">
        <x:v>按该评测的任务、接口与验收协议解释；能力标签表示任务需求，不是模型已经具备该能力。</x:v>
      </x:c>
      <x:c r="S433" s="8" t="str">
        <x:v>补充</x:v>
      </x:c>
      <x:c r="T433" s="22" t="str">
        <x:v>未分配</x:v>
      </x:c>
      <x:c r="U433" s="22" t="str"/>
      <x:c r="V433" s="22" t="str"/>
      <x:c r="W433" s="22" t="str"/>
      <x:c r="X433" s="8" t="str">
        <x:v>verified</x:v>
      </x:c>
      <x:c r="Y433" s="11" t="str"/>
      <x:c r="Z433" s="11" t="str"/>
      <x:c r="AA433" s="11" t="str">
        <x:v>https://aclanthology.org/D18-1425.pdf</x:v>
      </x:c>
      <x:c r="AB433" s="11" t="str">
        <x:v>https://aclanthology.org/D18-1425/</x:v>
      </x:c>
      <x:c r="AC433" s="8" t="str">
        <x:v>AIO-273</x:v>
      </x:c>
      <x:c r="AD433" s="8" t="str">
        <x:v>书目页、可得摘要与首页单位核验；未做全文精读。</x:v>
      </x:c>
      <x:c r="AE433" s="8" t="str"/>
      <x:c r="AF433" s="8" t="str">
        <x:v>按本综述6.1.2「领域覆盖与工作要求」的写作用途归类；提供跨数据库、复杂SQL查询的语义解析评测。</x:v>
      </x:c>
      <x:c r="AG433" s="8" t="str">
        <x:v>workspace</x:v>
      </x:c>
      <x:c r="AH433" s="8" t="str">
        <x:v>coverage-work-requirements,evidence-reasoning</x:v>
      </x:c>
      <x:c r="AI433" s="8" t="str"/>
      <x:c r="AJ433" s="8" t="str">
        <x:v>2026-10-16 AI Office survey bibliography</x:v>
      </x:c>
      <x:c r="AK433" s="13" t="d">
        <x:v>2026-10-16T00:00:00.000Z</x:v>
      </x:c>
      <x:c r="AL433" s="8" t="str">
        <x:v>从新增来源发现候选，正式题名、链接及单位以可得一手资料为准。</x:v>
      </x:c>
      <x:c r="AM433" s="8" t="str"/>
    </x:row>
    <x:row r="434" ht="68" customHeight="1">
      <x:c r="A434" s="8" t="str">
        <x:v>WA-0448</x:v>
      </x:c>
      <x:c r="B434" s="8" t="str">
        <x:v>SlideTailor</x:v>
      </x:c>
      <x:c r="C434" s="8" t="str">
        <x:v>SlideTailor: Personalized Presentation Slide Generation for Scientific Papers</x:v>
      </x:c>
      <x:c r="D434" s="9" t="n">
        <x:v>2025</x:v>
      </x:c>
      <x:c r="E434" s="8" t="str">
        <x:v>National University of Singapore</x:v>
      </x:c>
      <x:c r="F434" s="21" t="str">
        <x:f>VLOOKUP(H434,'Taxonomy'!$A$6:$G$70,3,FALSE)</x:f>
        <x:v>基础：定义、工作条件与核心能力</x:v>
      </x:c>
      <x:c r="G434" s="21" t="str">
        <x:f>VLOOKUP(H434,'Taxonomy'!$A$6:$G$70,5,FALSE)</x:f>
        <x:v>五项核心能力</x:v>
      </x:c>
      <x:c r="H434" s="8" t="str">
        <x:v>2.3.4</x:v>
      </x:c>
      <x:c r="I434" s="21" t="str">
        <x:f>VLOOKUP(H434,'Taxonomy'!$A$6:$G$70,6,FALSE)</x:f>
        <x:v>执行与状态管理</x:v>
      </x:c>
      <x:c r="J434" s="8" t="str">
        <x:v>原生工件生成与编辑;跨任务个性化与自演化</x:v>
      </x:c>
      <x:c r="K434" s="8" t="str">
        <x:v>感知与理解;规划与协调;执行与状态管理</x:v>
      </x:c>
      <x:c r="L434" s="8" t="str">
        <x:v>7.2.3 持续个性化与自我演化</x:v>
      </x:c>
      <x:c r="M434" s="8" t="str"/>
      <x:c r="N434" s="8" t="str">
        <x:v>Method</x:v>
      </x:c>
      <x:c r="O434" s="11" t="str">
        <x:v>https://arxiv.org/abs/2512.20292</x:v>
      </x:c>
      <x:c r="P434" s="8" t="str">
        <x:v>根据用户偏好把科学论文转为个性化演示幻灯片。</x:v>
      </x:c>
      <x:c r="Q434" s="8" t="str">
        <x:v>用于2.3.4「执行与状态管理」：根据用户偏好把科学论文转为个性化演示幻灯片。</x:v>
      </x:c>
      <x:c r="R434" s="8" t="str">
        <x:v>限于论文评估的成果类型与编辑操作；不能据单类工件结果推断完整业务工作流可靠性。</x:v>
      </x:c>
      <x:c r="S434" s="8" t="str">
        <x:v>补充</x:v>
      </x:c>
      <x:c r="T434" s="22" t="str">
        <x:v>未分配</x:v>
      </x:c>
      <x:c r="U434" s="22" t="str"/>
      <x:c r="V434" s="22" t="str"/>
      <x:c r="W434" s="22" t="str"/>
      <x:c r="X434" s="8" t="str">
        <x:v>verified</x:v>
      </x:c>
      <x:c r="Y434" s="11" t="str"/>
      <x:c r="Z434" s="11" t="str"/>
      <x:c r="AA434" s="11" t="str">
        <x:v>https://arxiv.org/pdf/2512.20292</x:v>
      </x:c>
      <x:c r="AB434" s="11" t="str">
        <x:v>https://arxiv.org/abs/2512.20292</x:v>
      </x:c>
      <x:c r="AC434" s="8" t="str">
        <x:v>AIO-277</x:v>
      </x:c>
      <x:c r="AD434" s="8" t="str">
        <x:v>书目页、可得摘要与首页单位核验；未做全文精读。</x:v>
      </x:c>
      <x:c r="AE434" s="8" t="str"/>
      <x:c r="AF434" s="8" t="str">
        <x:v>按本综述2.3.4「执行与状态管理」的写作用途归类；根据用户偏好把科学论文转为个性化演示幻灯片。</x:v>
      </x:c>
      <x:c r="AG434" s="8" t="str">
        <x:v>artifact</x:v>
      </x:c>
      <x:c r="AH434" s="8" t="str">
        <x:v>artifact-editing,continual-adaptation</x:v>
      </x:c>
      <x:c r="AI434" s="8" t="str"/>
      <x:c r="AJ434" s="8" t="str">
        <x:v>2026-10-16 AI Office survey bibliography</x:v>
      </x:c>
      <x:c r="AK434" s="13" t="d">
        <x:v>2026-10-16T00:00:00.000Z</x:v>
      </x:c>
      <x:c r="AL434" s="8" t="str">
        <x:v>从新增来源发现候选，正式题名、链接及单位以可得一手资料为准。</x:v>
      </x:c>
      <x:c r="AM434" s="8" t="str"/>
    </x:row>
    <x:row r="435" ht="68" customHeight="1">
      <x:c r="A435" s="8" t="str">
        <x:v>WA-0449</x:v>
      </x:c>
      <x:c r="B435" s="8" t="str">
        <x:v>UFO</x:v>
      </x:c>
      <x:c r="C435" s="8" t="str">
        <x:v>UFO: A UI-Focused Agent for Windows OS Interaction</x:v>
      </x:c>
      <x:c r="D435" s="9" t="n">
        <x:v>2024</x:v>
      </x:c>
      <x:c r="E435" s="8" t="str">
        <x:v>Microsoft</x:v>
      </x:c>
      <x:c r="F435" s="21" t="str">
        <x:f>VLOOKUP(H435,'Taxonomy'!$A$6:$G$70,3,FALSE)</x:f>
        <x:v>基础：定义、工作条件与核心能力</x:v>
      </x:c>
      <x:c r="G435" s="21" t="str">
        <x:f>VLOOKUP(H435,'Taxonomy'!$A$6:$G$70,5,FALSE)</x:f>
        <x:v>相关智能体范式</x:v>
      </x:c>
      <x:c r="H435" s="8" t="str">
        <x:v>2.4.2</x:v>
      </x:c>
      <x:c r="I435" s="21" t="str">
        <x:f>VLOOKUP(H435,'Taxonomy'!$A$6:$G$70,6,FALSE)</x:f>
        <x:v>计算机使用智能体</x:v>
      </x:c>
      <x:c r="J435" s="8" t="str">
        <x:v>工具、界面与应用执行;任务分解与行动依赖;分布信息、澄清与协调</x:v>
      </x:c>
      <x:c r="K435" s="8" t="str">
        <x:v>感知与理解;规划与协调;执行与状态管理</x:v>
      </x:c>
      <x:c r="L435" s="8" t="str">
        <x:v>2.3.3 规划与协调</x:v>
      </x:c>
      <x:c r="M435" s="8" t="str"/>
      <x:c r="N435" s="8" t="str">
        <x:v>Framework</x:v>
      </x:c>
      <x:c r="O435" s="11" t="str">
        <x:v>https://arxiv.org/abs/2402.07939</x:v>
      </x:c>
      <x:c r="P435" s="8" t="str">
        <x:v>以应用选择与界面控件操作的分工执行Windows任务。</x:v>
      </x:c>
      <x:c r="Q435" s="8" t="str">
        <x:v>用于2.4.2「计算机使用智能体」：以应用选择与界面控件操作的分工执行Windows任务。</x:v>
      </x:c>
      <x:c r="R435" s="8" t="str">
        <x:v>支持论文所研究的规划、执行或反馈机制；跨环境可靠性仍需按原文实验设置判断。</x:v>
      </x:c>
      <x:c r="S435" s="8" t="str">
        <x:v>补充</x:v>
      </x:c>
      <x:c r="T435" s="22" t="str">
        <x:v>未分配</x:v>
      </x:c>
      <x:c r="U435" s="22" t="str"/>
      <x:c r="V435" s="22" t="str"/>
      <x:c r="W435" s="22" t="str"/>
      <x:c r="X435" s="8" t="str">
        <x:v>verified</x:v>
      </x:c>
      <x:c r="Y435" s="11" t="str">
        <x:v>https://github.com/microsoft/UFO</x:v>
      </x:c>
      <x:c r="Z435" s="11" t="str"/>
      <x:c r="AA435" s="11" t="str">
        <x:v>https://arxiv.org/pdf/2402.07939</x:v>
      </x:c>
      <x:c r="AB435" s="11" t="str">
        <x:v>https://arxiv.org/abs/2402.07939</x:v>
      </x:c>
      <x:c r="AC435" s="8" t="str">
        <x:v>AIO-278</x:v>
      </x:c>
      <x:c r="AD435" s="8" t="str">
        <x:v>书目页、可得摘要与首页单位核验；未做全文精读。</x:v>
      </x:c>
      <x:c r="AE435" s="8" t="str"/>
      <x:c r="AF435" s="8" t="str">
        <x:v>按本综述2.4.2「计算机使用智能体」的写作用途归类；以应用选择与界面控件操作的分工执行Windows任务。</x:v>
      </x:c>
      <x:c r="AG435" s="8" t="str">
        <x:v>computer-use</x:v>
      </x:c>
      <x:c r="AH435" s="8" t="str">
        <x:v>tool-execution,planning-dependencies,participant-coordination</x:v>
      </x:c>
      <x:c r="AI435" s="8" t="str"/>
      <x:c r="AJ435" s="8" t="str">
        <x:v>2026-10-16 AI Office survey bibliography</x:v>
      </x:c>
      <x:c r="AK435" s="13" t="d">
        <x:v>2026-10-16T00:00:00.000Z</x:v>
      </x:c>
      <x:c r="AL435" s="8" t="str">
        <x:v>从新增来源发现候选，正式题名、链接及单位以可得一手资料为准。年份按所链接的arXiv首次公开时间，与来源中的会议出版年份可能不同。</x:v>
      </x:c>
      <x:c r="AM435" s="8" t="str"/>
    </x:row>
    <x:row r="436" ht="68" customHeight="1">
      <x:c r="A436" s="8" t="str">
        <x:v>WA-0450</x:v>
      </x:c>
      <x:c r="B436" s="8" t="str">
        <x:v>OmegaUse</x:v>
      </x:c>
      <x:c r="C436" s="8" t="str">
        <x:v>OmegaUse: Building a General-Purpose GUI Agent for Autonomous Task Execution</x:v>
      </x:c>
      <x:c r="D436" s="9" t="n">
        <x:v>2026</x:v>
      </x:c>
      <x:c r="E436" s="8" t="str">
        <x:v>Baidu</x:v>
      </x:c>
      <x:c r="F436" s="21" t="str">
        <x:f>VLOOKUP(H436,'Taxonomy'!$A$6:$G$70,3,FALSE)</x:f>
        <x:v>基础：定义、工作条件与核心能力</x:v>
      </x:c>
      <x:c r="G436" s="21" t="str">
        <x:f>VLOOKUP(H436,'Taxonomy'!$A$6:$G$70,5,FALSE)</x:f>
        <x:v>相关智能体范式</x:v>
      </x:c>
      <x:c r="H436" s="8" t="str">
        <x:v>2.4.2</x:v>
      </x:c>
      <x:c r="I436" s="21" t="str">
        <x:f>VLOOKUP(H436,'Taxonomy'!$A$6:$G$70,6,FALSE)</x:f>
        <x:v>计算机使用智能体</x:v>
      </x:c>
      <x:c r="J436" s="8" t="str">
        <x:v>模型参数学习;工具、界面与应用执行</x:v>
      </x:c>
      <x:c r="K436" s="8" t="str">
        <x:v>感知与理解;执行与状态管理</x:v>
      </x:c>
      <x:c r="L436" s="8" t="str">
        <x:v>5.2.1 中期训练与监督微调</x:v>
      </x:c>
      <x:c r="M436" s="8" t="str"/>
      <x:c r="N436" s="8" t="str">
        <x:v>Method</x:v>
      </x:c>
      <x:c r="O436" s="11" t="str">
        <x:v>https://arxiv.org/abs/2601.20380</x:v>
      </x:c>
      <x:c r="P436" s="8" t="str">
        <x:v>报告面向通用GUI任务执行的模型与训练方法。</x:v>
      </x:c>
      <x:c r="Q436" s="8" t="str">
        <x:v>用于2.4.2「计算机使用智能体」：报告面向通用GUI任务执行的模型与训练方法。</x:v>
      </x:c>
      <x:c r="R436" s="8" t="str">
        <x:v>支持论文所研究的规划、执行或反馈机制；跨环境可靠性仍需按原文实验设置判断。</x:v>
      </x:c>
      <x:c r="S436" s="8" t="str">
        <x:v>补充</x:v>
      </x:c>
      <x:c r="T436" s="22" t="str">
        <x:v>未分配</x:v>
      </x:c>
      <x:c r="U436" s="22" t="str"/>
      <x:c r="V436" s="22" t="str"/>
      <x:c r="W436" s="22" t="str"/>
      <x:c r="X436" s="8" t="str">
        <x:v>verified</x:v>
      </x:c>
      <x:c r="Y436" s="11" t="str"/>
      <x:c r="Z436" s="11" t="str"/>
      <x:c r="AA436" s="11" t="str">
        <x:v>https://arxiv.org/pdf/2601.20380</x:v>
      </x:c>
      <x:c r="AB436" s="11" t="str">
        <x:v>https://arxiv.org/abs/2601.20380</x:v>
      </x:c>
      <x:c r="AC436" s="8" t="str">
        <x:v>AIO-280</x:v>
      </x:c>
      <x:c r="AD436" s="8" t="str">
        <x:v>书目页、可得摘要与首页单位核验；未做全文精读。</x:v>
      </x:c>
      <x:c r="AE436" s="8" t="str"/>
      <x:c r="AF436" s="8" t="str">
        <x:v>按本综述2.4.2「计算机使用智能体」的写作用途归类；报告面向通用GUI任务执行的模型与训练方法。</x:v>
      </x:c>
      <x:c r="AG436" s="8" t="str">
        <x:v>computer-use</x:v>
      </x:c>
      <x:c r="AH436" s="8" t="str">
        <x:v>model-training,tool-execution</x:v>
      </x:c>
      <x:c r="AI436" s="8" t="str"/>
      <x:c r="AJ436" s="8" t="str">
        <x:v>2026-10-16 AI Office survey bibliography</x:v>
      </x:c>
      <x:c r="AK436" s="13" t="d">
        <x:v>2026-10-16T00:00:00.000Z</x:v>
      </x:c>
      <x:c r="AL436" s="8" t="str">
        <x:v>从新增来源发现候选，正式题名、链接及单位以可得一手资料为准。年份按所链接的arXiv首次公开时间，与来源中的会议出版年份可能不同。</x:v>
      </x:c>
      <x:c r="AM436" s="8" t="str"/>
    </x:row>
    <x:row r="437" ht="68" customHeight="1">
      <x:c r="A437" s="8" t="str">
        <x:v>WA-0451</x:v>
      </x:c>
      <x:c r="B437" s="8" t="str">
        <x:v>TableLlama</x:v>
      </x:c>
      <x:c r="C437" s="8" t="str">
        <x:v>TableLlama: Towards Open Large Generalist Models for Tables</x:v>
      </x:c>
      <x:c r="D437" s="9" t="n">
        <x:v>2024</x:v>
      </x:c>
      <x:c r="E437" s="8" t="str">
        <x:v>The Ohio State University</x:v>
      </x:c>
      <x:c r="F437" s="21" t="str">
        <x:f>VLOOKUP(H437,'Taxonomy'!$A$6:$G$70,3,FALSE)</x:f>
        <x:v>优化：从工作经验到系统能力</x:v>
      </x:c>
      <x:c r="G437" s="21" t="str">
        <x:f>VLOOKUP(H437,'Taxonomy'!$A$6:$G$70,5,FALSE)</x:f>
        <x:v>模型优化</x:v>
      </x:c>
      <x:c r="H437" s="8" t="str">
        <x:v>5.2.1</x:v>
      </x:c>
      <x:c r="I437" s="21" t="str">
        <x:f>VLOOKUP(H437,'Taxonomy'!$A$6:$G$70,6,FALSE)</x:f>
        <x:v>中期训练与监督微调</x:v>
      </x:c>
      <x:c r="J437" s="8" t="str">
        <x:v>模型参数学习;对象结构、模态与语义</x:v>
      </x:c>
      <x:c r="K437" s="8" t="str">
        <x:v>感知与理解;推理与决策</x:v>
      </x:c>
      <x:c r="L437" s="8" t="str">
        <x:v>2.3.1 感知与理解</x:v>
      </x:c>
      <x:c r="M437" s="8" t="str">
        <x:v>中期训练与监督微调</x:v>
      </x:c>
      <x:c r="N437" s="8" t="str">
        <x:v>Method</x:v>
      </x:c>
      <x:c r="O437" s="11" t="str">
        <x:v>https://aclanthology.org/2024.naacl-long.335/</x:v>
      </x:c>
      <x:c r="P437" s="8" t="str">
        <x:v>通过多种表格指令任务训练开放的表格通用模型。</x:v>
      </x:c>
      <x:c r="Q437" s="8" t="str">
        <x:v>用于5.2.1「中期训练与监督微调」：通过多种表格指令任务训练开放的表格通用模型。</x:v>
      </x:c>
      <x:c r="R437" s="8" t="str">
        <x:v>理解、问答或表示能力是工作智能体的组成部分，不等同于可编辑文件生成、跨文件一致性或端到端验收。</x:v>
      </x:c>
      <x:c r="S437" s="8" t="str">
        <x:v>补充</x:v>
      </x:c>
      <x:c r="T437" s="22" t="str">
        <x:v>未分配</x:v>
      </x:c>
      <x:c r="U437" s="22" t="str"/>
      <x:c r="V437" s="22" t="str"/>
      <x:c r="W437" s="22" t="str"/>
      <x:c r="X437" s="8" t="str">
        <x:v>verified</x:v>
      </x:c>
      <x:c r="Y437" s="11" t="str"/>
      <x:c r="Z437" s="11" t="str"/>
      <x:c r="AA437" s="11" t="str">
        <x:v>https://aclanthology.org/2024.naacl-long.335.pdf</x:v>
      </x:c>
      <x:c r="AB437" s="11" t="str">
        <x:v>https://aclanthology.org/2024.naacl-long.335/</x:v>
      </x:c>
      <x:c r="AC437" s="8" t="str">
        <x:v>AIO-281</x:v>
      </x:c>
      <x:c r="AD437" s="8" t="str">
        <x:v>书目页、可得摘要与首页单位核验；未做全文精读。</x:v>
      </x:c>
      <x:c r="AE437" s="8" t="str"/>
      <x:c r="AF437" s="8" t="str">
        <x:v>按本综述5.2.1「中期训练与监督微调」的写作用途归类；通过多种表格指令任务训练开放的表格通用模型。</x:v>
      </x:c>
      <x:c r="AG437" s="8" t="str">
        <x:v>harness</x:v>
      </x:c>
      <x:c r="AH437" s="8" t="str">
        <x:v>model-training,object-semantics</x:v>
      </x:c>
      <x:c r="AI437" s="8" t="str"/>
      <x:c r="AJ437" s="8" t="str">
        <x:v>2026-10-16 AI Office survey bibliography</x:v>
      </x:c>
      <x:c r="AK437" s="13" t="d">
        <x:v>2026-10-16T00:00:00.000Z</x:v>
      </x:c>
      <x:c r="AL437" s="8" t="str">
        <x:v>从新增来源发现候选，正式题名、链接及单位以可得一手资料为准。</x:v>
      </x:c>
      <x:c r="AM437" s="8" t="str"/>
    </x:row>
    <x:row r="438" ht="68" customHeight="1">
      <x:c r="A438" s="8" t="str">
        <x:v>WA-0452</x:v>
      </x:c>
      <x:c r="B438" s="8" t="str">
        <x:v>Data-Copilot</x:v>
      </x:c>
      <x:c r="C438" s="8" t="str">
        <x:v>Data-Copilot: Bridging Billions of Data and Humans with Autonomous Workflow</x:v>
      </x:c>
      <x:c r="D438" s="9" t="n">
        <x:v>2023</x:v>
      </x:c>
      <x:c r="E438" s="8" t="str">
        <x:v>Zhejiang University</x:v>
      </x:c>
      <x:c r="F438" s="21" t="str">
        <x:f>VLOOKUP(H438,'Taxonomy'!$A$6:$G$70,3,FALSE)</x:f>
        <x:v>基础：定义、工作条件与核心能力</x:v>
      </x:c>
      <x:c r="G438" s="21" t="str">
        <x:f>VLOOKUP(H438,'Taxonomy'!$A$6:$G$70,5,FALSE)</x:f>
        <x:v>五项核心能力</x:v>
      </x:c>
      <x:c r="H438" s="8" t="str">
        <x:v>2.3.3</x:v>
      </x:c>
      <x:c r="I438" s="21" t="str">
        <x:f>VLOOKUP(H438,'Taxonomy'!$A$6:$G$70,6,FALSE)</x:f>
        <x:v>规划与协调</x:v>
      </x:c>
      <x:c r="J438" s="8" t="str">
        <x:v>任务分解与行动依赖;工具、界面与应用执行;经验记忆与技能优化</x:v>
      </x:c>
      <x:c r="K438" s="8" t="str">
        <x:v>推理与决策;规划与协调;执行与状态管理</x:v>
      </x:c>
      <x:c r="L438" s="8" t="str">
        <x:v>5.3.1 接口与工具优化</x:v>
      </x:c>
      <x:c r="M438" s="8" t="str">
        <x:v>接口与工具优化;记忆与技能优化</x:v>
      </x:c>
      <x:c r="N438" s="8" t="str">
        <x:v>Framework</x:v>
      </x:c>
      <x:c r="O438" s="11" t="str">
        <x:v>https://arxiv.org/abs/2306.07209</x:v>
      </x:c>
      <x:c r="P438" s="8" t="str">
        <x:v>把数据分析接口组织为可选择和组合的工具工作流。</x:v>
      </x:c>
      <x:c r="Q438" s="8" t="str">
        <x:v>用于2.3.3「规划与协调」：把数据分析接口组织为可选择和组合的工具工作流。</x:v>
      </x:c>
      <x:c r="R438" s="8" t="str">
        <x:v>外部记忆或技能改进不自动意味着基础模型权重学习，也不证明持续责任或跨领域泛化。</x:v>
      </x:c>
      <x:c r="S438" s="8" t="str">
        <x:v>补充</x:v>
      </x:c>
      <x:c r="T438" s="22" t="str">
        <x:v>未分配</x:v>
      </x:c>
      <x:c r="U438" s="22" t="str"/>
      <x:c r="V438" s="22" t="str"/>
      <x:c r="W438" s="22" t="str"/>
      <x:c r="X438" s="8" t="str">
        <x:v>verified</x:v>
      </x:c>
      <x:c r="Y438" s="11" t="str"/>
      <x:c r="Z438" s="11" t="str"/>
      <x:c r="AA438" s="11" t="str">
        <x:v>https://arxiv.org/pdf/2306.07209</x:v>
      </x:c>
      <x:c r="AB438" s="11" t="str">
        <x:v>https://arxiv.org/abs/2306.07209</x:v>
      </x:c>
      <x:c r="AC438" s="8" t="str">
        <x:v>AIO-282</x:v>
      </x:c>
      <x:c r="AD438" s="8" t="str">
        <x:v>书目页、可得摘要与首页单位核验；未做全文精读。</x:v>
      </x:c>
      <x:c r="AE438" s="8" t="str"/>
      <x:c r="AF438" s="8" t="str">
        <x:v>按本综述2.3.3「规划与协调」的写作用途归类；把数据分析接口组织为可选择和组合的工具工作流。</x:v>
      </x:c>
      <x:c r="AG438" s="8" t="str">
        <x:v>tool-enterprise</x:v>
      </x:c>
      <x:c r="AH438" s="8" t="str">
        <x:v>planning-dependencies,tool-execution,memory-skill</x:v>
      </x:c>
      <x:c r="AI438" s="8" t="str"/>
      <x:c r="AJ438" s="8" t="str">
        <x:v>2026-10-16 AI Office survey bibliography</x:v>
      </x:c>
      <x:c r="AK438" s="13" t="d">
        <x:v>2026-10-16T00:00:00.000Z</x:v>
      </x:c>
      <x:c r="AL438" s="8" t="str">
        <x:v>从新增来源发现候选，正式题名、链接及单位以可得一手资料为准。</x:v>
      </x:c>
      <x:c r="AM438" s="8" t="str"/>
    </x:row>
    <x:row r="439" ht="68" customHeight="1">
      <x:c r="A439" s="8" t="str">
        <x:v>WA-0453</x:v>
      </x:c>
      <x:c r="B439" s="8" t="str">
        <x:v>PosterGen</x:v>
      </x:c>
      <x:c r="C439" s="8" t="str">
        <x:v>PosterGen: Aesthetic-Aware Multi-Modal Paper-to-Poster Generation via Multi-Agent LLMs</x:v>
      </x:c>
      <x:c r="D439" s="9" t="n">
        <x:v>2025</x:v>
      </x:c>
      <x:c r="E439" s="8" t="str">
        <x:v>Stony Brook University; New York University; University of British Columbia; Zhejiang University; University of California, Los Angeles</x:v>
      </x:c>
      <x:c r="F439" s="21" t="str">
        <x:f>VLOOKUP(H439,'Taxonomy'!$A$6:$G$70,3,FALSE)</x:f>
        <x:v>基础：定义、工作条件与核心能力</x:v>
      </x:c>
      <x:c r="G439" s="21" t="str">
        <x:f>VLOOKUP(H439,'Taxonomy'!$A$6:$G$70,5,FALSE)</x:f>
        <x:v>五项核心能力</x:v>
      </x:c>
      <x:c r="H439" s="8" t="str">
        <x:v>2.3.4</x:v>
      </x:c>
      <x:c r="I439" s="21" t="str">
        <x:f>VLOOKUP(H439,'Taxonomy'!$A$6:$G$70,6,FALSE)</x:f>
        <x:v>执行与状态管理</x:v>
      </x:c>
      <x:c r="J439" s="8" t="str">
        <x:v>原生工件生成与编辑;分布信息、澄清与协调</x:v>
      </x:c>
      <x:c r="K439" s="8" t="str">
        <x:v>感知与理解;规划与协调;执行与状态管理;验证、恢复与重新规划</x:v>
      </x:c>
      <x:c r="L439" s="8" t="str">
        <x:v>2.3.5 验证、恢复与重新规划</x:v>
      </x:c>
      <x:c r="M439" s="8" t="str"/>
      <x:c r="N439" s="8" t="str">
        <x:v>Method</x:v>
      </x:c>
      <x:c r="O439" s="11" t="str">
        <x:v>https://arxiv.org/abs/2508.17188</x:v>
      </x:c>
      <x:c r="P439" s="8" t="str">
        <x:v>以多智能体协作与美学反馈从论文生成学术海报。</x:v>
      </x:c>
      <x:c r="Q439" s="8" t="str">
        <x:v>用于2.3.4「执行与状态管理」：以多智能体协作与美学反馈从论文生成学术海报。</x:v>
      </x:c>
      <x:c r="R439" s="8" t="str">
        <x:v>限于论文评估的成果类型与编辑操作；不能据单类工件结果推断完整业务工作流可靠性。</x:v>
      </x:c>
      <x:c r="S439" s="8" t="str">
        <x:v>补充</x:v>
      </x:c>
      <x:c r="T439" s="22" t="str">
        <x:v>未分配</x:v>
      </x:c>
      <x:c r="U439" s="22" t="str"/>
      <x:c r="V439" s="22" t="str"/>
      <x:c r="W439" s="22" t="str"/>
      <x:c r="X439" s="8" t="str">
        <x:v>verified</x:v>
      </x:c>
      <x:c r="Y439" s="11" t="str"/>
      <x:c r="Z439" s="11" t="str"/>
      <x:c r="AA439" s="11" t="str">
        <x:v>https://arxiv.org/pdf/2508.17188</x:v>
      </x:c>
      <x:c r="AB439" s="11" t="str">
        <x:v>https://arxiv.org/abs/2508.17188</x:v>
      </x:c>
      <x:c r="AC439" s="8" t="str">
        <x:v>AIO-283</x:v>
      </x:c>
      <x:c r="AD439" s="8" t="str">
        <x:v>书目页、可得摘要与首页单位核验；未做全文精读。</x:v>
      </x:c>
      <x:c r="AE439" s="8" t="str"/>
      <x:c r="AF439" s="8" t="str">
        <x:v>按本综述2.3.4「执行与状态管理」的写作用途归类；以多智能体协作与美学反馈从论文生成学术海报。</x:v>
      </x:c>
      <x:c r="AG439" s="8" t="str">
        <x:v>artifact</x:v>
      </x:c>
      <x:c r="AH439" s="8" t="str">
        <x:v>artifact-editing,participant-coordination</x:v>
      </x:c>
      <x:c r="AI439" s="8" t="str"/>
      <x:c r="AJ439" s="8" t="str">
        <x:v>2026-10-16 AI Office survey bibliography</x:v>
      </x:c>
      <x:c r="AK439" s="13" t="d">
        <x:v>2026-10-16T00:00:00.000Z</x:v>
      </x:c>
      <x:c r="AL439" s="8" t="str">
        <x:v>从新增来源发现候选，正式题名、链接及单位以可得一手资料为准。</x:v>
      </x:c>
      <x:c r="AM439" s="8" t="str"/>
    </x:row>
    <x:row r="440" ht="68" customHeight="1">
      <x:c r="A440" s="8" t="str">
        <x:v>WA-0454</x:v>
      </x:c>
      <x:c r="B440" s="8" t="str">
        <x:v>NL2Formula</x:v>
      </x:c>
      <x:c r="C440" s="8" t="str">
        <x:v>NL2Formula: Generating Spreadsheet Formulas from Natural Language Queries</x:v>
      </x:c>
      <x:c r="D440" s="9" t="n">
        <x:v>2024</x:v>
      </x:c>
      <x:c r="E440" s="8" t="str">
        <x:v>Huazhong University of Science and Technology; Microsoft; Chongqing University; University of New South Wales</x:v>
      </x:c>
      <x:c r="F440" s="21" t="str">
        <x:f>VLOOKUP(H440,'Taxonomy'!$A$6:$G$70,3,FALSE)</x:f>
        <x:v>工作形态：代理承担什么工作</x:v>
      </x:c>
      <x:c r="G440" s="21" t="str">
        <x:f>VLOOKUP(H440,'Taxonomy'!$A$6:$G$70,5,FALSE)</x:f>
        <x:v>原子动作级工作</x:v>
      </x:c>
      <x:c r="H440" s="8" t="str">
        <x:v>3.2</x:v>
      </x:c>
      <x:c r="I440" s="21" t="str">
        <x:f>VLOOKUP(H440,'Taxonomy'!$A$6:$G$70,6,FALSE)</x:f>
        <x:v>原子动作级工作</x:v>
      </x:c>
      <x:c r="J440" s="8" t="str">
        <x:v>原生工件生成与编辑;接口与观测优化</x:v>
      </x:c>
      <x:c r="K440" s="8" t="str">
        <x:v>推理与决策;执行与状态管理</x:v>
      </x:c>
      <x:c r="L440" s="8" t="str">
        <x:v>2.3.4 执行与状态管理</x:v>
      </x:c>
      <x:c r="M440" s="8" t="str"/>
      <x:c r="N440" s="8" t="str">
        <x:v>Method;Benchmark</x:v>
      </x:c>
      <x:c r="O440" s="11" t="str">
        <x:v>https://aclanthology.org/2024.findings-eacl.158/</x:v>
      </x:c>
      <x:c r="P440" s="8" t="str">
        <x:v>由自然语言要求生成电子表格公式，并提供配套数据集。</x:v>
      </x:c>
      <x:c r="Q440" s="8" t="str">
        <x:v>用于3.2「原子动作级工作」：由自然语言要求生成电子表格公式，并提供配套数据集。</x:v>
      </x:c>
      <x:c r="R440" s="8" t="str">
        <x:v>按该评测的任务、接口与验收协议解释；能力标签表示任务需求，不是模型已经具备该能力。</x:v>
      </x:c>
      <x:c r="S440" s="8" t="str">
        <x:v>补充</x:v>
      </x:c>
      <x:c r="T440" s="22" t="str">
        <x:v>未分配</x:v>
      </x:c>
      <x:c r="U440" s="22" t="str"/>
      <x:c r="V440" s="22" t="str"/>
      <x:c r="W440" s="22" t="str"/>
      <x:c r="X440" s="8" t="str">
        <x:v>verified</x:v>
      </x:c>
      <x:c r="Y440" s="11" t="str"/>
      <x:c r="Z440" s="11" t="str"/>
      <x:c r="AA440" s="11" t="str">
        <x:v>https://aclanthology.org/2024.findings-eacl.158.pdf</x:v>
      </x:c>
      <x:c r="AB440" s="11" t="str">
        <x:v>https://aclanthology.org/2024.findings-eacl.158/</x:v>
      </x:c>
      <x:c r="AC440" s="8" t="str">
        <x:v>AIO-284</x:v>
      </x:c>
      <x:c r="AD440" s="8" t="str">
        <x:v>书目页、可得摘要与首页单位核验；未做全文精读。</x:v>
      </x:c>
      <x:c r="AE440" s="8" t="str"/>
      <x:c r="AF440" s="8" t="str">
        <x:v>按本综述3.2「原子动作级工作」的写作用途归类；由自然语言要求生成电子表格公式，并提供配套数据集。</x:v>
      </x:c>
      <x:c r="AG440" s="8" t="str">
        <x:v>artifact</x:v>
      </x:c>
      <x:c r="AH440" s="8" t="str">
        <x:v>artifact-editing,tool-interface</x:v>
      </x:c>
      <x:c r="AI440" s="8" t="str"/>
      <x:c r="AJ440" s="8" t="str">
        <x:v>2026-10-16 AI Office survey bibliography</x:v>
      </x:c>
      <x:c r="AK440" s="13" t="d">
        <x:v>2026-10-16T00:00:00.000Z</x:v>
      </x:c>
      <x:c r="AL440" s="8" t="str">
        <x:v>从新增来源发现候选，正式题名、链接及单位以可得一手资料为准。</x:v>
      </x:c>
      <x:c r="AM440" s="8" t="str"/>
    </x:row>
    <x:row r="441" ht="68" customHeight="1">
      <x:c r="A441" s="8" t="str">
        <x:v>WA-0455</x:v>
      </x:c>
      <x:c r="B441" s="8" t="str">
        <x:v>SheetMind</x:v>
      </x:c>
      <x:c r="C441" s="8" t="str">
        <x:v>SheetMind: Actions Set Accuracy, Agents Set the Failure Mode</x:v>
      </x:c>
      <x:c r="D441" s="9" t="n">
        <x:v>2025</x:v>
      </x:c>
      <x:c r="E441" s="8" t="str">
        <x:v>Carnegie Mellon University; Cornell University; University of Waterloo; University of California, Berkeley; University of Michigan; HKUST (Guangzhou); Georgia Institute of Technology</x:v>
      </x:c>
      <x:c r="F441" s="21" t="str">
        <x:f>VLOOKUP(H441,'Taxonomy'!$A$6:$G$70,3,FALSE)</x:f>
        <x:v>优化：从工作经验到系统能力</x:v>
      </x:c>
      <x:c r="G441" s="21" t="str">
        <x:f>VLOOKUP(H441,'Taxonomy'!$A$6:$G$70,5,FALSE)</x:f>
        <x:v>运行框架优化</x:v>
      </x:c>
      <x:c r="H441" s="8" t="str">
        <x:v>5.3.1</x:v>
      </x:c>
      <x:c r="I441" s="21" t="str">
        <x:f>VLOOKUP(H441,'Taxonomy'!$A$6:$G$70,6,FALSE)</x:f>
        <x:v>接口与工具优化</x:v>
      </x:c>
      <x:c r="J441" s="8" t="str">
        <x:v>接口与观测优化;原生工件生成与编辑;验证证据的有效性</x:v>
      </x:c>
      <x:c r="K441" s="8" t="str">
        <x:v>感知与理解;执行与状态管理;验证、恢复与重新规划</x:v>
      </x:c>
      <x:c r="L441" s="8" t="str">
        <x:v>2.3.4 执行与状态管理;6.2.1 评估目标与可观察证据</x:v>
      </x:c>
      <x:c r="M441" s="8" t="str">
        <x:v>接口与工具优化</x:v>
      </x:c>
      <x:c r="N441" s="8" t="str">
        <x:v>Framework</x:v>
      </x:c>
      <x:c r="O441" s="11" t="str">
        <x:v>https://arxiv.org/abs/2506.12339</x:v>
      </x:c>
      <x:c r="P441" s="8" t="str">
        <x:v>在同一动作接口下比较不同智能体架构，区分动作接口与架构对表格自动化的影响。</x:v>
      </x:c>
      <x:c r="Q441" s="8" t="str">
        <x:v>用于5.3.1「接口与工具优化」：在同一动作接口下比较不同智能体架构，区分动作接口与架构对表格自动化的影响。</x:v>
      </x:c>
      <x:c r="R441" s="8" t="str">
        <x:v>受控动作接口和既定任务集中的比较，不证明所有多智能体架构都无效。</x:v>
      </x:c>
      <x:c r="S441" s="8" t="str">
        <x:v>补充</x:v>
      </x:c>
      <x:c r="T441" s="22" t="str">
        <x:v>未分配</x:v>
      </x:c>
      <x:c r="U441" s="22" t="str"/>
      <x:c r="V441" s="22" t="str"/>
      <x:c r="W441" s="22" t="str"/>
      <x:c r="X441" s="8" t="str">
        <x:v>verified</x:v>
      </x:c>
      <x:c r="Y441" s="11" t="str"/>
      <x:c r="Z441" s="11" t="str"/>
      <x:c r="AA441" s="11" t="str">
        <x:v>https://arxiv.org/pdf/2506.12339</x:v>
      </x:c>
      <x:c r="AB441" s="11" t="str">
        <x:v>https://arxiv.org/abs/2506.12339</x:v>
      </x:c>
      <x:c r="AC441" s="8" t="str">
        <x:v>AIO-290</x:v>
      </x:c>
      <x:c r="AD441" s="8" t="str">
        <x:v>书目页、可得摘要与首页单位核验；未做全文精读。</x:v>
      </x:c>
      <x:c r="AE441" s="8" t="str"/>
      <x:c r="AF441" s="8" t="str">
        <x:v>按本综述5.3.1「接口与工具优化」的写作用途归类；在同一动作接口下比较不同智能体架构，区分动作接口与架构对表格自动化的影响。</x:v>
      </x:c>
      <x:c r="AG441" s="8" t="str">
        <x:v>artifact</x:v>
      </x:c>
      <x:c r="AH441" s="8" t="str">
        <x:v>tool-interface,artifact-editing,verification-validity</x:v>
      </x:c>
      <x:c r="AI441" s="8" t="str"/>
      <x:c r="AJ441" s="8" t="str">
        <x:v>2026-10-16 AI Office survey bibliography</x:v>
      </x:c>
      <x:c r="AK441" s="13" t="d">
        <x:v>2026-10-16T00:00:00.000Z</x:v>
      </x:c>
      <x:c r="AL441" s="8" t="str">
        <x:v>从新增来源发现候选，正式题名、链接及单位以可得一手资料为准。同一arXiv:2506.12339在后续版本改题为“SheetMind: Actions Set Accuracy, Agents Set the Failure Mode”；保留来源旧题名作为别名，不另计论文。</x:v>
      </x:c>
      <x:c r="AM441" s="8" t="str"/>
    </x:row>
    <x:row r="442" ht="68" customHeight="1">
      <x:c r="A442" s="8" t="str">
        <x:v>WA-0456</x:v>
      </x:c>
      <x:c r="B442" s="8" t="str">
        <x:v>LLM-KG4QA</x:v>
      </x:c>
      <x:c r="C442" s="8" t="str">
        <x:v>Large Language Models Meet Knowledge Graphs for Question Answering: Synthesis and Opportunities</x:v>
      </x:c>
      <x:c r="D442" s="9" t="n">
        <x:v>2025</x:v>
      </x:c>
      <x:c r="E442" s="8" t="str">
        <x:v>Aalborg University; Southeast University; Bowling Green State University; Tongji University</x:v>
      </x:c>
      <x:c r="F442" s="21" t="str">
        <x:f>VLOOKUP(H442,'Taxonomy'!$A$6:$G$70,3,FALSE)</x:f>
        <x:v>工作形态：代理承担什么工作</x:v>
      </x:c>
      <x:c r="G442" s="21" t="str">
        <x:f>VLOOKUP(H442,'Taxonomy'!$A$6:$G$70,5,FALSE)</x:f>
        <x:v>响应级工作</x:v>
      </x:c>
      <x:c r="H442" s="8" t="str">
        <x:v>3.1</x:v>
      </x:c>
      <x:c r="I442" s="21" t="str">
        <x:f>VLOOKUP(H442,'Taxonomy'!$A$6:$G$70,6,FALSE)</x:f>
        <x:v>响应级工作</x:v>
      </x:c>
      <x:c r="J442" s="8" t="str">
        <x:v>工作形态与验收组织;证据整合与推理</x:v>
      </x:c>
      <x:c r="K442" s="8" t="str">
        <x:v>感知与理解;推理与决策</x:v>
      </x:c>
      <x:c r="L442" s="8" t="str">
        <x:v>2.3.2 推理与决策</x:v>
      </x:c>
      <x:c r="M442" s="8" t="str"/>
      <x:c r="N442" s="8" t="str">
        <x:v>Survey</x:v>
      </x:c>
      <x:c r="O442" s="11" t="str">
        <x:v>https://arxiv.org/abs/2505.20099</x:v>
      </x:c>
      <x:c r="P442" s="8" t="str">
        <x:v>整理大模型与知识图谱结合进行问答的方法、任务、限制和评测。</x:v>
      </x:c>
      <x:c r="Q442" s="8" t="str">
        <x:v>用于3.1「响应级工作」：整理大模型与知识图谱结合进行问答的方法、任务、限制和评测。</x:v>
      </x:c>
      <x:c r="R442" s="8" t="str">
        <x:v>作为研究覆盖与术语背景；具体性能结论应回到其引用的一手论文。</x:v>
      </x:c>
      <x:c r="S442" s="8" t="str">
        <x:v>补充</x:v>
      </x:c>
      <x:c r="T442" s="22" t="str">
        <x:v>未分配</x:v>
      </x:c>
      <x:c r="U442" s="22" t="str"/>
      <x:c r="V442" s="22" t="str"/>
      <x:c r="W442" s="22" t="str"/>
      <x:c r="X442" s="8" t="str">
        <x:v>verified</x:v>
      </x:c>
      <x:c r="Y442" s="11" t="str"/>
      <x:c r="Z442" s="11" t="str"/>
      <x:c r="AA442" s="11" t="str">
        <x:v>https://arxiv.org/pdf/2505.20099</x:v>
      </x:c>
      <x:c r="AB442" s="11" t="str">
        <x:v>https://arxiv.org/abs/2505.20099</x:v>
      </x:c>
      <x:c r="AC442" s="8" t="str">
        <x:v>DR-001</x:v>
      </x:c>
      <x:c r="AD442" s="8" t="str">
        <x:v>书目页、可得摘要与首页单位核验；未做全文精读。</x:v>
      </x:c>
      <x:c r="AE442" s="8" t="str">
        <x:v>3.1</x:v>
      </x:c>
      <x:c r="AF442" s="8" t="str">
        <x:v>按本综述3.1「响应级工作」的写作用途归类；整理大模型与知识图谱结合进行问答的方法、任务、限制和评测。</x:v>
      </x:c>
      <x:c r="AG442" s="8" t="str">
        <x:v>related</x:v>
      </x:c>
      <x:c r="AH442" s="8" t="str">
        <x:v>work-composition,evidence-reasoning</x:v>
      </x:c>
      <x:c r="AI442" s="8" t="str"/>
      <x:c r="AJ442" s="8" t="str">
        <x:v>2026-10-16 work-form deep research report</x:v>
      </x:c>
      <x:c r="AK442" s="13" t="d">
        <x:v>2026-10-16T00:00:00.000Z</x:v>
      </x:c>
      <x:c r="AL442" s="8" t="str">
        <x:v>从新增来源发现候选，正式题名、链接及单位以可得一手资料为准。</x:v>
      </x:c>
      <x:c r="AM442" s="8" t="str"/>
    </x:row>
    <x:row r="443" ht="68" customHeight="1">
      <x:c r="A443" s="8" t="str">
        <x:v>WA-0457</x:v>
      </x:c>
      <x:c r="B443" s="8" t="str">
        <x:v>Tool-to-Agent Retrieval</x:v>
      </x:c>
      <x:c r="C443" s="8" t="str">
        <x:v>Tool-to-Agent Retrieval: Bridging Tools and Agents for Scalable LLM Multi-Agent Systems</x:v>
      </x:c>
      <x:c r="D443" s="9" t="n">
        <x:v>2025</x:v>
      </x:c>
      <x:c r="E443" s="8" t="str">
        <x:v>PricewaterhouseCoopers U.S.A.</x:v>
      </x:c>
      <x:c r="F443" s="21" t="str">
        <x:f>VLOOKUP(H443,'Taxonomy'!$A$6:$G$70,3,FALSE)</x:f>
        <x:v>工作形态：代理承担什么工作</x:v>
      </x:c>
      <x:c r="G443" s="21" t="str">
        <x:f>VLOOKUP(H443,'Taxonomy'!$A$6:$G$70,5,FALSE)</x:f>
        <x:v>原子动作级工作</x:v>
      </x:c>
      <x:c r="H443" s="8" t="str">
        <x:v>3.2</x:v>
      </x:c>
      <x:c r="I443" s="21" t="str">
        <x:f>VLOOKUP(H443,'Taxonomy'!$A$6:$G$70,6,FALSE)</x:f>
        <x:v>原子动作级工作</x:v>
      </x:c>
      <x:c r="J443" s="8" t="str">
        <x:v>接口与观测优化;材料发现与证据定位</x:v>
      </x:c>
      <x:c r="K443" s="8" t="str">
        <x:v>感知与理解</x:v>
      </x:c>
      <x:c r="L443" s="8" t="str">
        <x:v>5.3.1 接口与工具优化</x:v>
      </x:c>
      <x:c r="M443" s="8" t="str">
        <x:v>接口与工具优化</x:v>
      </x:c>
      <x:c r="N443" s="8" t="str">
        <x:v>Method</x:v>
      </x:c>
      <x:c r="O443" s="11" t="str">
        <x:v>https://arxiv.org/abs/2511.01854</x:v>
      </x:c>
      <x:c r="P443" s="8" t="str">
        <x:v>在共享向量空间关联工具与所属智能体，支持不同粒度的检索和路由。</x:v>
      </x:c>
      <x:c r="Q443" s="8" t="str">
        <x:v>用于3.2「原子动作级工作」：在共享向量空间关联工具与所属智能体，支持不同粒度的检索和路由。</x:v>
      </x:c>
      <x:c r="R443" s="8" t="str">
        <x:v>主要测量检索与路由质量；检索到工具不等于工具执行成功。</x:v>
      </x:c>
      <x:c r="S443" s="8" t="str">
        <x:v>补充</x:v>
      </x:c>
      <x:c r="T443" s="22" t="str">
        <x:v>未分配</x:v>
      </x:c>
      <x:c r="U443" s="22" t="str"/>
      <x:c r="V443" s="22" t="str"/>
      <x:c r="W443" s="22" t="str"/>
      <x:c r="X443" s="8" t="str">
        <x:v>verified</x:v>
      </x:c>
      <x:c r="Y443" s="11" t="str"/>
      <x:c r="Z443" s="11" t="str"/>
      <x:c r="AA443" s="11" t="str">
        <x:v>https://arxiv.org/pdf/2511.01854</x:v>
      </x:c>
      <x:c r="AB443" s="11" t="str">
        <x:v>https://arxiv.org/abs/2511.01854</x:v>
      </x:c>
      <x:c r="AC443" s="8" t="str">
        <x:v>DR-002</x:v>
      </x:c>
      <x:c r="AD443" s="8" t="str">
        <x:v>书目页、可得摘要与首页单位核验；未做全文精读。</x:v>
      </x:c>
      <x:c r="AE443" s="8" t="str">
        <x:v>3.2</x:v>
      </x:c>
      <x:c r="AF443" s="8" t="str">
        <x:v>按本综述3.2「原子动作级工作」的写作用途归类；在共享向量空间关联工具与所属智能体，支持不同粒度的检索和路由。</x:v>
      </x:c>
      <x:c r="AG443" s="8" t="str">
        <x:v>tool-enterprise</x:v>
      </x:c>
      <x:c r="AH443" s="8" t="str">
        <x:v>tool-interface,evidence-discovery</x:v>
      </x:c>
      <x:c r="AI443" s="8" t="str"/>
      <x:c r="AJ443" s="8" t="str">
        <x:v>2026-10-16 work-form deep research report</x:v>
      </x:c>
      <x:c r="AK443" s="13" t="d">
        <x:v>2026-10-16T00:00:00.000Z</x:v>
      </x:c>
      <x:c r="AL443" s="8" t="str">
        <x:v>从新增来源发现候选，正式题名、链接及单位以可得一手资料为准。</x:v>
      </x:c>
      <x:c r="AM443" s="8" t="str"/>
    </x:row>
    <x:row r="444" ht="68" customHeight="1">
      <x:c r="A444" s="8" t="str">
        <x:v>WA-0458</x:v>
      </x:c>
      <x:c r="B444" s="8" t="str">
        <x:v>ToolMaker</x:v>
      </x:c>
      <x:c r="C444" s="8" t="str">
        <x:v>LLM Agents Making Agent Tools</x:v>
      </x:c>
      <x:c r="D444" s="9" t="n">
        <x:v>2025</x:v>
      </x:c>
      <x:c r="E444" s="8" t="str">
        <x:v>TU Dresden; University of St Andrews; Synagen AI; Heidelberg University Hospital; University Hospital Aachen; University Hospital Dresden</x:v>
      </x:c>
      <x:c r="F444" s="21" t="str">
        <x:f>VLOOKUP(H444,'Taxonomy'!$A$6:$G$70,3,FALSE)</x:f>
        <x:v>优化：从工作经验到系统能力</x:v>
      </x:c>
      <x:c r="G444" s="21" t="str">
        <x:f>VLOOKUP(H444,'Taxonomy'!$A$6:$G$70,5,FALSE)</x:f>
        <x:v>运行框架优化</x:v>
      </x:c>
      <x:c r="H444" s="8" t="str">
        <x:v>5.3.1</x:v>
      </x:c>
      <x:c r="I444" s="21" t="str">
        <x:f>VLOOKUP(H444,'Taxonomy'!$A$6:$G$70,6,FALSE)</x:f>
        <x:v>接口与工具优化</x:v>
      </x:c>
      <x:c r="J444" s="8" t="str">
        <x:v>接口与观测优化;工具、界面与应用执行;回滚、补偿与路径调整</x:v>
      </x:c>
      <x:c r="K444" s="8" t="str">
        <x:v>规划与协调;执行与状态管理;验证、恢复与重新规划</x:v>
      </x:c>
      <x:c r="L444" s="8" t="str">
        <x:v>3.2 原子动作级工作;2.3.5 验证、恢复与重新规划</x:v>
      </x:c>
      <x:c r="M444" s="8" t="str">
        <x:v>接口与工具优化</x:v>
      </x:c>
      <x:c r="N444" s="8" t="str">
        <x:v>Framework</x:v>
      </x:c>
      <x:c r="O444" s="11" t="str">
        <x:v>https://aclanthology.org/2025.acl-long.1266/</x:v>
      </x:c>
      <x:c r="P444" s="8" t="str">
        <x:v>根据代码仓库与任务说明安装依赖、生成接口并调试可调用的科研工具。</x:v>
      </x:c>
      <x:c r="Q444" s="8" t="str">
        <x:v>用于5.3.1「接口与工具优化」：根据代码仓库与任务说明安装依赖、生成接口并调试可调用的科研工具。</x:v>
      </x:c>
      <x:c r="R444" s="8" t="str">
        <x:v>工具构建过程本身是多步闭环；只在工具生成后的一次调用层面关联3.2，不能把整套框架描述为单一原子动作。</x:v>
      </x:c>
      <x:c r="S444" s="8" t="str">
        <x:v>核心</x:v>
      </x:c>
      <x:c r="T444" s="22" t="str">
        <x:v>未分配</x:v>
      </x:c>
      <x:c r="U444" s="22" t="str"/>
      <x:c r="V444" s="22" t="str"/>
      <x:c r="W444" s="22" t="str"/>
      <x:c r="X444" s="8" t="str">
        <x:v>verified</x:v>
      </x:c>
      <x:c r="Y444" s="11" t="str"/>
      <x:c r="Z444" s="11" t="str"/>
      <x:c r="AA444" s="11" t="str">
        <x:v>https://aclanthology.org/2025.acl-long.1266.pdf</x:v>
      </x:c>
      <x:c r="AB444" s="11" t="str">
        <x:v>https://aclanthology.org/2025.acl-long.1266/</x:v>
      </x:c>
      <x:c r="AC444" s="8" t="str">
        <x:v>DR-003</x:v>
      </x:c>
      <x:c r="AD444" s="8" t="str">
        <x:v>书目页、可得摘要与首页单位核验；未做全文精读。</x:v>
      </x:c>
      <x:c r="AE444" s="8" t="str">
        <x:v>3.2</x:v>
      </x:c>
      <x:c r="AF444" s="8" t="str">
        <x:v>按本综述5.3.1「接口与工具优化」的写作用途归类；根据代码仓库与任务说明安装依赖、生成接口并调试可调用的科研工具。</x:v>
      </x:c>
      <x:c r="AG444" s="8" t="str">
        <x:v>harness</x:v>
      </x:c>
      <x:c r="AH444" s="8" t="str">
        <x:v>tool-interface,tool-execution,recovery-replanning</x:v>
      </x:c>
      <x:c r="AI444" s="8" t="str"/>
      <x:c r="AJ444" s="8" t="str">
        <x:v>2026-10-16 work-form deep research report</x:v>
      </x:c>
      <x:c r="AK444" s="13" t="d">
        <x:v>2026-10-16T00:00:00.000Z</x:v>
      </x:c>
      <x:c r="AL444" s="8" t="str">
        <x:v>从新增来源发现候选，正式题名、链接及单位以可得一手资料为准。</x:v>
      </x:c>
      <x:c r="AM444" s="8" t="str"/>
    </x:row>
    <x:row r="445" ht="68" customHeight="1">
      <x:c r="A445" s="8" t="str">
        <x:v>WA-0459</x:v>
      </x:c>
      <x:c r="B445" s="8" t="str">
        <x:v>Tool Learning Survey</x:v>
      </x:c>
      <x:c r="C445" s="8" t="str">
        <x:v>LLM-Based Agents for Tool Learning: A Survey</x:v>
      </x:c>
      <x:c r="D445" s="9" t="n">
        <x:v>2025</x:v>
      </x:c>
      <x:c r="E445" s="8" t="str">
        <x:v>University of Electronic Science and Technology of China</x:v>
      </x:c>
      <x:c r="F445" s="21" t="str">
        <x:f>VLOOKUP(H445,'Taxonomy'!$A$6:$G$70,3,FALSE)</x:f>
        <x:v>工作形态：代理承担什么工作</x:v>
      </x:c>
      <x:c r="G445" s="21" t="str">
        <x:f>VLOOKUP(H445,'Taxonomy'!$A$6:$G$70,5,FALSE)</x:f>
        <x:v>原子动作级工作</x:v>
      </x:c>
      <x:c r="H445" s="8" t="str">
        <x:v>3.2</x:v>
      </x:c>
      <x:c r="I445" s="21" t="str">
        <x:f>VLOOKUP(H445,'Taxonomy'!$A$6:$G$70,6,FALSE)</x:f>
        <x:v>原子动作级工作</x:v>
      </x:c>
      <x:c r="J445" s="8" t="str">
        <x:v>工作形态与验收组织;工具、界面与应用执行;范式与自主性边界</x:v>
      </x:c>
      <x:c r="K445" s="8" t="str">
        <x:v>推理与决策;规划与协调;执行与状态管理</x:v>
      </x:c>
      <x:c r="L445" s="8" t="str">
        <x:v>5.3.1 接口与工具优化</x:v>
      </x:c>
      <x:c r="M445" s="8" t="str"/>
      <x:c r="N445" s="8" t="str">
        <x:v>Survey</x:v>
      </x:c>
      <x:c r="O445" s="11" t="str">
        <x:v>https://link.springer.com/article/10.1007/s41019-025-00296-9</x:v>
      </x:c>
      <x:c r="P445" s="8" t="str">
        <x:v>按是否使用工具、检索哪个工具及如何使用工具梳理工具学习研究。</x:v>
      </x:c>
      <x:c r="Q445" s="8" t="str">
        <x:v>用于3.2「原子动作级工作」：按是否使用工具、检索哪个工具及如何使用工具梳理工具学习研究。</x:v>
      </x:c>
      <x:c r="R445" s="8" t="str">
        <x:v>作为研究覆盖与术语背景；具体性能结论应回到其引用的一手论文。</x:v>
      </x:c>
      <x:c r="S445" s="8" t="str">
        <x:v>补充</x:v>
      </x:c>
      <x:c r="T445" s="22" t="str">
        <x:v>未分配</x:v>
      </x:c>
      <x:c r="U445" s="22" t="str"/>
      <x:c r="V445" s="22" t="str"/>
      <x:c r="W445" s="22" t="str"/>
      <x:c r="X445" s="8" t="str">
        <x:v>verified</x:v>
      </x:c>
      <x:c r="Y445" s="11" t="str"/>
      <x:c r="Z445" s="11" t="str"/>
      <x:c r="AA445" s="11" t="str">
        <x:v>https://link.springer.com/content/pdf/10.1007/s41019-025-00296-9.pdf</x:v>
      </x:c>
      <x:c r="AB445" s="11" t="str">
        <x:v>https://link.springer.com/article/10.1007/s41019-025-00296-9</x:v>
      </x:c>
      <x:c r="AC445" s="8" t="str">
        <x:v>DR-004</x:v>
      </x:c>
      <x:c r="AD445" s="8" t="str">
        <x:v>书目页、可得摘要与首页单位核验；未做全文精读。</x:v>
      </x:c>
      <x:c r="AE445" s="8" t="str">
        <x:v>3.2</x:v>
      </x:c>
      <x:c r="AF445" s="8" t="str">
        <x:v>按本综述3.2「原子动作级工作」的写作用途归类；按是否使用工具、检索哪个工具及如何使用工具梳理工具学习研究。</x:v>
      </x:c>
      <x:c r="AG445" s="8" t="str">
        <x:v>related</x:v>
      </x:c>
      <x:c r="AH445" s="8" t="str">
        <x:v>work-composition,tool-execution,paradigm-comparison</x:v>
      </x:c>
      <x:c r="AI445" s="8" t="str"/>
      <x:c r="AJ445" s="8" t="str">
        <x:v>2026-10-16 work-form deep research report</x:v>
      </x:c>
      <x:c r="AK445" s="13" t="d">
        <x:v>2026-10-16T00:00:00.000Z</x:v>
      </x:c>
      <x:c r="AL445" s="8" t="str">
        <x:v>从新增来源发现候选，正式题名、链接及单位以可得一手资料为准。报告写“Fu等”；按期刊、Three Ws定义与原文内容匹配到Xu等的LLM-Based Agents for Tool Learning: A Survey。报告未给完整题名，保留匹配依据，不把作者简写照抄为正式元数据。</x:v>
      </x:c>
      <x:c r="AM445" s="8" t="str"/>
    </x:row>
    <x:row r="446" ht="68" customHeight="1">
      <x:c r="A446" s="8" t="str">
        <x:v>WA-0460</x:v>
      </x:c>
      <x:c r="B446" s="8" t="str">
        <x:v>Plan-and-Act</x:v>
      </x:c>
      <x:c r="C446" s="8" t="str">
        <x:v>Plan-and-Act: Improving Planning of Agents for Long-Horizon Tasks</x:v>
      </x:c>
      <x:c r="D446" s="9" t="n">
        <x:v>2025</x:v>
      </x:c>
      <x:c r="E446" s="8" t="str">
        <x:v>University of California, Berkeley; The University of Tokyo; International Computer Science Institute</x:v>
      </x:c>
      <x:c r="F446" s="21" t="str">
        <x:f>VLOOKUP(H446,'Taxonomy'!$A$6:$G$70,3,FALSE)</x:f>
        <x:v>工作形态：代理承担什么工作</x:v>
      </x:c>
      <x:c r="G446" s="21" t="str">
        <x:f>VLOOKUP(H446,'Taxonomy'!$A$6:$G$70,5,FALSE)</x:f>
        <x:v>多步骤级工作</x:v>
      </x:c>
      <x:c r="H446" s="8" t="str">
        <x:v>3.3</x:v>
      </x:c>
      <x:c r="I446" s="21" t="str">
        <x:f>VLOOKUP(H446,'Taxonomy'!$A$6:$G$70,6,FALSE)</x:f>
        <x:v>多步骤级工作</x:v>
      </x:c>
      <x:c r="J446" s="8" t="str">
        <x:v>任务分解与行动依赖;模型参数学习;轨迹采集与策划</x:v>
      </x:c>
      <x:c r="K446" s="8" t="str">
        <x:v>规划与协调;执行与状态管理</x:v>
      </x:c>
      <x:c r="L446" s="8" t="str">
        <x:v>2.3.3 规划与协调;5.2.1 中期训练与监督微调;5.1.2 轨迹采集与筛选</x:v>
      </x:c>
      <x:c r="M446" s="8" t="str">
        <x:v>中期训练与监督微调;轨迹收集与筛选</x:v>
      </x:c>
      <x:c r="N446" s="8" t="str">
        <x:v>Method</x:v>
      </x:c>
      <x:c r="O446" s="11" t="str">
        <x:v>https://arxiv.org/abs/2503.09572</x:v>
      </x:c>
      <x:c r="P446" s="8" t="str">
        <x:v>分离高层Planner和环境Executor，并通过合成计划数据训练规划模型。</x:v>
      </x:c>
      <x:c r="Q446" s="8" t="str">
        <x:v>用于3.3「多步骤级工作」：分离高层Planner和环境Executor，并通过合成计划数据训练规划模型。</x:v>
      </x:c>
      <x:c r="R446" s="8" t="str">
        <x:v>支持论文所研究的规划、执行或反馈机制；跨环境可靠性仍需按原文实验设置判断。</x:v>
      </x:c>
      <x:c r="S446" s="8" t="str">
        <x:v>核心</x:v>
      </x:c>
      <x:c r="T446" s="22" t="str">
        <x:v>未分配</x:v>
      </x:c>
      <x:c r="U446" s="22" t="str"/>
      <x:c r="V446" s="22" t="str"/>
      <x:c r="W446" s="22" t="str"/>
      <x:c r="X446" s="8" t="str">
        <x:v>verified</x:v>
      </x:c>
      <x:c r="Y446" s="11" t="str"/>
      <x:c r="Z446" s="11" t="str"/>
      <x:c r="AA446" s="11" t="str">
        <x:v>https://arxiv.org/pdf/2503.09572</x:v>
      </x:c>
      <x:c r="AB446" s="11" t="str">
        <x:v>https://arxiv.org/abs/2503.09572</x:v>
      </x:c>
      <x:c r="AC446" s="8" t="str">
        <x:v>DR-005</x:v>
      </x:c>
      <x:c r="AD446" s="8" t="str">
        <x:v>书目页、可得摘要与首页单位核验；未做全文精读。</x:v>
      </x:c>
      <x:c r="AE446" s="8" t="str">
        <x:v>3.3</x:v>
      </x:c>
      <x:c r="AF446" s="8" t="str">
        <x:v>按本综述3.3「多步骤级工作」的写作用途归类；分离高层Planner和环境Executor，并通过合成计划数据训练规划模型。</x:v>
      </x:c>
      <x:c r="AG446" s="8" t="str">
        <x:v>related</x:v>
      </x:c>
      <x:c r="AH446" s="8" t="str">
        <x:v>planning-dependencies,model-training,trajectory-curation</x:v>
      </x:c>
      <x:c r="AI446" s="8" t="str"/>
      <x:c r="AJ446" s="8" t="str">
        <x:v>2026-10-16 work-form deep research report</x:v>
      </x:c>
      <x:c r="AK446" s="13" t="d">
        <x:v>2026-10-16T00:00:00.000Z</x:v>
      </x:c>
      <x:c r="AL446" s="8" t="str">
        <x:v>从新增来源发现候选，正式题名、链接及单位以可得一手资料为准。</x:v>
      </x:c>
      <x:c r="AM446" s="8" t="str"/>
    </x:row>
    <x:row r="447" ht="68" customHeight="1">
      <x:c r="A447" s="8" t="str">
        <x:v>WA-0461</x:v>
      </x:c>
      <x:c r="B447" s="8" t="str">
        <x:v>GoalAct</x:v>
      </x:c>
      <x:c r="C447" s="8" t="str">
        <x:v>Enhancing LLM-Based Agents via Global Planning and Hierarchical Execution</x:v>
      </x:c>
      <x:c r="D447" s="9" t="n">
        <x:v>2025</x:v>
      </x:c>
      <x:c r="E447" s="8" t="str">
        <x:v>Tsinghua University</x:v>
      </x:c>
      <x:c r="F447" s="21" t="str">
        <x:f>VLOOKUP(H447,'Taxonomy'!$A$6:$G$70,3,FALSE)</x:f>
        <x:v>工作形态：代理承担什么工作</x:v>
      </x:c>
      <x:c r="G447" s="21" t="str">
        <x:f>VLOOKUP(H447,'Taxonomy'!$A$6:$G$70,5,FALSE)</x:f>
        <x:v>多步骤级工作</x:v>
      </x:c>
      <x:c r="H447" s="8" t="str">
        <x:v>3.3</x:v>
      </x:c>
      <x:c r="I447" s="21" t="str">
        <x:f>VLOOKUP(H447,'Taxonomy'!$A$6:$G$70,6,FALSE)</x:f>
        <x:v>多步骤级工作</x:v>
      </x:c>
      <x:c r="J447" s="8" t="str">
        <x:v>任务分解与行动依赖;经验记忆与技能优化;回滚、补偿与路径调整</x:v>
      </x:c>
      <x:c r="K447" s="8" t="str">
        <x:v>推理与决策;规划与协调;执行与状态管理;验证、恢复与重新规划</x:v>
      </x:c>
      <x:c r="L447" s="8" t="str">
        <x:v>2.3.3 规划与协调;5.3.2 提示与工作流优化</x:v>
      </x:c>
      <x:c r="M447" s="8" t="str">
        <x:v>提示与工作流优化;记忆与技能优化</x:v>
      </x:c>
      <x:c r="N447" s="8" t="str">
        <x:v>Framework</x:v>
      </x:c>
      <x:c r="O447" s="11" t="str">
        <x:v>https://arxiv.org/abs/2504.16563</x:v>
      </x:c>
      <x:c r="P447" s="8" t="str">
        <x:v>持续更新全局计划并以高层技能分层执行，在LegalAgentBench评估。</x:v>
      </x:c>
      <x:c r="Q447" s="8" t="str">
        <x:v>用于3.3「多步骤级工作」：持续更新全局计划并以高层技能分层执行，在LegalAgentBench评估。</x:v>
      </x:c>
      <x:c r="R447" s="8" t="str">
        <x:v>外部记忆或技能改进不自动意味着基础模型权重学习，也不证明持续责任或跨领域泛化。</x:v>
      </x:c>
      <x:c r="S447" s="8" t="str">
        <x:v>补充</x:v>
      </x:c>
      <x:c r="T447" s="22" t="str">
        <x:v>未分配</x:v>
      </x:c>
      <x:c r="U447" s="22" t="str"/>
      <x:c r="V447" s="22" t="str"/>
      <x:c r="W447" s="22" t="str"/>
      <x:c r="X447" s="8" t="str">
        <x:v>verified</x:v>
      </x:c>
      <x:c r="Y447" s="11" t="str"/>
      <x:c r="Z447" s="11" t="str"/>
      <x:c r="AA447" s="11" t="str">
        <x:v>https://arxiv.org/pdf/2504.16563</x:v>
      </x:c>
      <x:c r="AB447" s="11" t="str">
        <x:v>https://arxiv.org/abs/2504.16563</x:v>
      </x:c>
      <x:c r="AC447" s="8" t="str">
        <x:v>DR-006</x:v>
      </x:c>
      <x:c r="AD447" s="8" t="str">
        <x:v>书目页、可得摘要与首页单位核验；未做全文精读。</x:v>
      </x:c>
      <x:c r="AE447" s="8" t="str">
        <x:v>3.3</x:v>
      </x:c>
      <x:c r="AF447" s="8" t="str">
        <x:v>按本综述3.3「多步骤级工作」的写作用途归类；持续更新全局计划并以高层技能分层执行，在LegalAgentBench评估。</x:v>
      </x:c>
      <x:c r="AG447" s="8" t="str">
        <x:v>related</x:v>
      </x:c>
      <x:c r="AH447" s="8" t="str">
        <x:v>planning-dependencies,memory-skill,recovery-replanning</x:v>
      </x:c>
      <x:c r="AI447" s="8" t="str"/>
      <x:c r="AJ447" s="8" t="str">
        <x:v>2026-10-16 work-form deep research report</x:v>
      </x:c>
      <x:c r="AK447" s="13" t="d">
        <x:v>2026-10-16T00:00:00.000Z</x:v>
      </x:c>
      <x:c r="AL447" s="8" t="str">
        <x:v>从新增来源发现候选，正式题名、链接及单位以可得一手资料为准。报告写“Tian等”；对应GoalAct原文第一作者为Junjie Chen。LegalAgentBench包含需要工具调用的法律任务，不能仅称法律问答。</x:v>
      </x:c>
      <x:c r="AM447" s="8" t="str"/>
    </x:row>
    <x:row r="448" ht="68" customHeight="1">
      <x:c r="A448" s="8" t="str">
        <x:v>WA-0462</x:v>
      </x:c>
      <x:c r="B448" s="8" t="str">
        <x:v>MAP</x:v>
      </x:c>
      <x:c r="C448" s="8" t="str">
        <x:v>A brain-inspired agentic architecture to improve planning with LLMs</x:v>
      </x:c>
      <x:c r="D448" s="9" t="n">
        <x:v>2025</x:v>
      </x:c>
      <x:c r="E448" s="8" t="str">
        <x:v>Universite de Montreal; Mila; Princeton University; Microsoft Research</x:v>
      </x:c>
      <x:c r="F448" s="21" t="str">
        <x:f>VLOOKUP(H448,'Taxonomy'!$A$6:$G$70,3,FALSE)</x:f>
        <x:v>工作形态：代理承担什么工作</x:v>
      </x:c>
      <x:c r="G448" s="21" t="str">
        <x:f>VLOOKUP(H448,'Taxonomy'!$A$6:$G$70,5,FALSE)</x:f>
        <x:v>多步骤级工作</x:v>
      </x:c>
      <x:c r="H448" s="8" t="str">
        <x:v>3.3</x:v>
      </x:c>
      <x:c r="I448" s="21" t="str">
        <x:f>VLOOKUP(H448,'Taxonomy'!$A$6:$G$70,6,FALSE)</x:f>
        <x:v>多步骤级工作</x:v>
      </x:c>
      <x:c r="J448" s="8" t="str">
        <x:v>任务分解与行动依赖;提示、流程与 harness 搜索</x:v>
      </x:c>
      <x:c r="K448" s="8" t="str">
        <x:v>推理与决策;规划与协调</x:v>
      </x:c>
      <x:c r="L448" s="8" t="str">
        <x:v>2.3.3 规划与协调;5.3.2 提示与工作流优化</x:v>
      </x:c>
      <x:c r="M448" s="8" t="str">
        <x:v>提示与工作流优化</x:v>
      </x:c>
      <x:c r="N448" s="8" t="str">
        <x:v>Method</x:v>
      </x:c>
      <x:c r="O448" s="11" t="str">
        <x:v>https://www.nature.com/articles/s41467-025-63804-5</x:v>
      </x:c>
      <x:c r="P448" s="8" t="str">
        <x:v>把错误监测、状态预测、评价、分解和协调组织为模块化规划器。</x:v>
      </x:c>
      <x:c r="Q448" s="8" t="str">
        <x:v>用于3.3「多步骤级工作」：把错误监测、状态预测、评价、分解和协调组织为模块化规划器。</x:v>
      </x:c>
      <x:c r="R448" s="8" t="str">
        <x:v>支持论文所研究的规划、执行或反馈机制；跨环境可靠性仍需按原文实验设置判断。</x:v>
      </x:c>
      <x:c r="S448" s="8" t="str">
        <x:v>补充</x:v>
      </x:c>
      <x:c r="T448" s="22" t="str">
        <x:v>未分配</x:v>
      </x:c>
      <x:c r="U448" s="22" t="str"/>
      <x:c r="V448" s="22" t="str"/>
      <x:c r="W448" s="22" t="str"/>
      <x:c r="X448" s="8" t="str">
        <x:v>verified</x:v>
      </x:c>
      <x:c r="Y448" s="11" t="str"/>
      <x:c r="Z448" s="11" t="str"/>
      <x:c r="AA448" s="11" t="str">
        <x:v>https://www.microsoft.com/en-us/research/wp-content/uploads/2025/10/s41467-025-63804-5.pdf</x:v>
      </x:c>
      <x:c r="AB448" s="11" t="str">
        <x:v>https://www.nature.com/articles/s41467-025-63804-5</x:v>
      </x:c>
      <x:c r="AC448" s="8" t="str">
        <x:v>DR-007</x:v>
      </x:c>
      <x:c r="AD448" s="8" t="str">
        <x:v>书目页、可得摘要与首页单位核验；未做全文精读。</x:v>
      </x:c>
      <x:c r="AE448" s="8" t="str">
        <x:v>3.3</x:v>
      </x:c>
      <x:c r="AF448" s="8" t="str">
        <x:v>按本综述3.3「多步骤级工作」的写作用途归类；把错误监测、状态预测、评价、分解和协调组织为模块化规划器。</x:v>
      </x:c>
      <x:c r="AG448" s="8" t="str">
        <x:v>related</x:v>
      </x:c>
      <x:c r="AH448" s="8" t="str">
        <x:v>planning-dependencies,prompt-workflow</x:v>
      </x:c>
      <x:c r="AI448" s="8" t="str"/>
      <x:c r="AJ448" s="8" t="str">
        <x:v>2026-10-16 work-form deep research report</x:v>
      </x:c>
      <x:c r="AK448" s="13" t="d">
        <x:v>2026-10-16T00:00:00.000Z</x:v>
      </x:c>
      <x:c r="AL448" s="8" t="str">
        <x:v>从新增来源发现候选，正式题名、链接及单位以可得一手资料为准。</x:v>
      </x:c>
      <x:c r="AM448" s="8" t="str"/>
    </x:row>
    <x:row r="449" ht="68" customHeight="1">
      <x:c r="A449" s="8" t="str">
        <x:v>WA-0463</x:v>
      </x:c>
      <x:c r="B449" s="8" t="str">
        <x:v>HiAgent</x:v>
      </x:c>
      <x:c r="C449" s="8" t="str">
        <x:v>HiAgent: Hierarchical Working Memory Management for Solving Long-Horizon Agent Tasks with Large Language Model</x:v>
      </x:c>
      <x:c r="D449" s="9" t="n">
        <x:v>2025</x:v>
      </x:c>
      <x:c r="E449" s="8" t="str">
        <x:v>The University of Hong Kong; Harbin Institute of Technology</x:v>
      </x:c>
      <x:c r="F449" s="21" t="str">
        <x:f>VLOOKUP(H449,'Taxonomy'!$A$6:$G$70,3,FALSE)</x:f>
        <x:v>工作形态：代理承担什么工作</x:v>
      </x:c>
      <x:c r="G449" s="21" t="str">
        <x:f>VLOOKUP(H449,'Taxonomy'!$A$6:$G$70,5,FALSE)</x:f>
        <x:v>多步骤级工作</x:v>
      </x:c>
      <x:c r="H449" s="8" t="str">
        <x:v>3.3</x:v>
      </x:c>
      <x:c r="I449" s="21" t="str">
        <x:f>VLOOKUP(H449,'Taxonomy'!$A$6:$G$70,6,FALSE)</x:f>
        <x:v>多步骤级工作</x:v>
      </x:c>
      <x:c r="J449" s="8" t="str">
        <x:v>上下文与记忆管理;任务分解与行动依赖</x:v>
      </x:c>
      <x:c r="K449" s="8" t="str">
        <x:v>规划与协调;执行与状态管理</x:v>
      </x:c>
      <x:c r="L449" s="8" t="str">
        <x:v>2.3.3 规划与协调;5.3.3 记忆与技能优化</x:v>
      </x:c>
      <x:c r="M449" s="8" t="str">
        <x:v>记忆与技能优化</x:v>
      </x:c>
      <x:c r="N449" s="8" t="str">
        <x:v>Method</x:v>
      </x:c>
      <x:c r="O449" s="11" t="str">
        <x:v>https://aclanthology.org/2025.acl-long.1575/</x:v>
      </x:c>
      <x:c r="P449" s="8" t="str">
        <x:v>以子目标组织和总结工作记忆，支持长序列任务执行。</x:v>
      </x:c>
      <x:c r="Q449" s="8" t="str">
        <x:v>用于3.3「多步骤级工作」：以子目标组织和总结工作记忆，支持长序列任务执行。</x:v>
      </x:c>
      <x:c r="R449" s="8" t="str">
        <x:v>支持论文所研究的规划、执行或反馈机制；跨环境可靠性仍需按原文实验设置判断。</x:v>
      </x:c>
      <x:c r="S449" s="8" t="str">
        <x:v>核心</x:v>
      </x:c>
      <x:c r="T449" s="22" t="str">
        <x:v>未分配</x:v>
      </x:c>
      <x:c r="U449" s="22" t="str"/>
      <x:c r="V449" s="22" t="str"/>
      <x:c r="W449" s="22" t="str"/>
      <x:c r="X449" s="8" t="str">
        <x:v>verified</x:v>
      </x:c>
      <x:c r="Y449" s="11" t="str"/>
      <x:c r="Z449" s="11" t="str"/>
      <x:c r="AA449" s="11" t="str">
        <x:v>https://aclanthology.org/2025.acl-long.1575.pdf</x:v>
      </x:c>
      <x:c r="AB449" s="11" t="str">
        <x:v>https://aclanthology.org/2025.acl-long.1575/</x:v>
      </x:c>
      <x:c r="AC449" s="8" t="str">
        <x:v>DR-008</x:v>
      </x:c>
      <x:c r="AD449" s="8" t="str">
        <x:v>书目页、可得摘要与首页单位核验；未做全文精读。</x:v>
      </x:c>
      <x:c r="AE449" s="8" t="str">
        <x:v>3.3</x:v>
      </x:c>
      <x:c r="AF449" s="8" t="str">
        <x:v>按本综述3.3「多步骤级工作」的写作用途归类；以子目标组织和总结工作记忆，支持长序列任务执行。</x:v>
      </x:c>
      <x:c r="AG449" s="8" t="str">
        <x:v>related</x:v>
      </x:c>
      <x:c r="AH449" s="8" t="str">
        <x:v>context-memory,planning-dependencies</x:v>
      </x:c>
      <x:c r="AI449" s="8" t="str"/>
      <x:c r="AJ449" s="8" t="str">
        <x:v>2026-10-16 work-form deep research report</x:v>
      </x:c>
      <x:c r="AK449" s="13" t="d">
        <x:v>2026-10-16T00:00:00.000Z</x:v>
      </x:c>
      <x:c r="AL449" s="8" t="str">
        <x:v>从新增来源发现候选，正式题名、链接及单位以可得一手资料为准。</x:v>
      </x:c>
      <x:c r="AM449" s="8" t="str"/>
    </x:row>
    <x:row r="450" ht="68" customHeight="1">
      <x:c r="A450" s="8" t="str">
        <x:v>WA-0464</x:v>
      </x:c>
      <x:c r="B450" s="8" t="str">
        <x:v>DGAP</x:v>
      </x:c>
      <x:c r="C450" s="8" t="str">
        <x:v>Discriminator-Guided Embodied Planning for LLM Agent</x:v>
      </x:c>
      <x:c r="D450" s="9" t="n">
        <x:v>2025</x:v>
      </x:c>
      <x:c r="E450" s="8" t="str">
        <x:v>Zhejiang University; TeleAI, China Telecom; Yuhang Humanoid Robot Industry Innovation Center; Shenzhen Research Institute of Northwestern Polytechnical University</x:v>
      </x:c>
      <x:c r="F450" s="21" t="str">
        <x:f>VLOOKUP(H450,'Taxonomy'!$A$6:$G$70,3,FALSE)</x:f>
        <x:v>工作形态：代理承担什么工作</x:v>
      </x:c>
      <x:c r="G450" s="21" t="str">
        <x:f>VLOOKUP(H450,'Taxonomy'!$A$6:$G$70,5,FALSE)</x:f>
        <x:v>多步骤级工作</x:v>
      </x:c>
      <x:c r="H450" s="8" t="str">
        <x:v>3.3</x:v>
      </x:c>
      <x:c r="I450" s="21" t="str">
        <x:f>VLOOKUP(H450,'Taxonomy'!$A$6:$G$70,6,FALSE)</x:f>
        <x:v>多步骤级工作</x:v>
      </x:c>
      <x:c r="J450" s="8" t="str">
        <x:v>任务分解与行动依赖;训练奖励与可验证信号;提示、流程与 harness 搜索</x:v>
      </x:c>
      <x:c r="K450" s="8" t="str">
        <x:v>推理与决策;规划与协调;验证、恢复与重新规划</x:v>
      </x:c>
      <x:c r="L450" s="8" t="str">
        <x:v>2.3.3 规划与协调;5.1.3 奖励与验证信号;5.3.2 提示与工作流优化</x:v>
      </x:c>
      <x:c r="M450" s="8" t="str">
        <x:v>奖励与验证信号;中期训练与监督微调;提示与工作流优化</x:v>
      </x:c>
      <x:c r="N450" s="8" t="str">
        <x:v>Method</x:v>
      </x:c>
      <x:c r="O450" s="11" t="str">
        <x:v>https://proceedings.iclr.cc/paper_files/paper/2025/hash/e6f2b968c4ee8ba260cd7077e39590dd-Abstract-Conference.html</x:v>
      </x:c>
      <x:c r="P450" s="8" t="str">
        <x:v>学习动作判别器并用逐步评分与历史动作轨迹引导行动规划。</x:v>
      </x:c>
      <x:c r="Q450" s="8" t="str">
        <x:v>用于3.3「多步骤级工作」：学习动作判别器并用逐步评分与历史动作轨迹引导行动规划。</x:v>
      </x:c>
      <x:c r="R450" s="8" t="str">
        <x:v>支持论文所研究的规划、执行或反馈机制；跨环境可靠性仍需按原文实验设置判断。</x:v>
      </x:c>
      <x:c r="S450" s="8" t="str">
        <x:v>补充</x:v>
      </x:c>
      <x:c r="T450" s="22" t="str">
        <x:v>未分配</x:v>
      </x:c>
      <x:c r="U450" s="22" t="str"/>
      <x:c r="V450" s="22" t="str"/>
      <x:c r="W450" s="22" t="str"/>
      <x:c r="X450" s="8" t="str">
        <x:v>verified</x:v>
      </x:c>
      <x:c r="Y450" s="11" t="str"/>
      <x:c r="Z450" s="11" t="str"/>
      <x:c r="AA450" s="11" t="str">
        <x:v>https://proceedings.iclr.cc/paper_files/paper/2025/file/e6f2b968c4ee8ba260cd7077e39590dd-Paper-Conference.pdf</x:v>
      </x:c>
      <x:c r="AB450" s="11" t="str">
        <x:v>https://proceedings.iclr.cc/paper_files/paper/2025/hash/e6f2b968c4ee8ba260cd7077e39590dd-Abstract-Conference.html</x:v>
      </x:c>
      <x:c r="AC450" s="8" t="str">
        <x:v>DR-009</x:v>
      </x:c>
      <x:c r="AD450" s="8" t="str">
        <x:v>书目页、可得摘要与首页单位核验；未做全文精读。</x:v>
      </x:c>
      <x:c r="AE450" s="8" t="str">
        <x:v>3.3</x:v>
      </x:c>
      <x:c r="AF450" s="8" t="str">
        <x:v>按本综述3.3「多步骤级工作」的写作用途归类；学习动作判别器并用逐步评分与历史动作轨迹引导行动规划。</x:v>
      </x:c>
      <x:c r="AG450" s="8" t="str">
        <x:v>related</x:v>
      </x:c>
      <x:c r="AH450" s="8" t="str">
        <x:v>planning-dependencies,reward-verification,prompt-workflow</x:v>
      </x:c>
      <x:c r="AI450" s="8" t="str"/>
      <x:c r="AJ450" s="8" t="str">
        <x:v>2026-10-16 work-form deep research report</x:v>
      </x:c>
      <x:c r="AK450" s="13" t="d">
        <x:v>2026-10-16T00:00:00.000Z</x:v>
      </x:c>
      <x:c r="AL450" s="8" t="str">
        <x:v>从新增来源发现候选，正式题名、链接及单位以可得一手资料为准。DGAP的正式论文题名为Discriminator-Guided Embodied Planning for LLM Agent；判别器学习和推理时反馈分开记录。</x:v>
      </x:c>
      <x:c r="AM450" s="8" t="str"/>
    </x:row>
    <x:row r="451" ht="68" customHeight="1">
      <x:c r="A451" s="8" t="str">
        <x:v>WA-0465</x:v>
      </x:c>
      <x:c r="B451" s="8" t="str">
        <x:v>Production-Grade Agentic Workflows</x:v>
      </x:c>
      <x:c r="C451" s="8" t="str">
        <x:v>A Practical Guide for Designing, Developing, and Deploying Production-Grade Agentic AI Workflows</x:v>
      </x:c>
      <x:c r="D451" s="9" t="n">
        <x:v>2025</x:v>
      </x:c>
      <x:c r="E451" s="8" t="str">
        <x:v>Old Dominion University; Deloitte &amp; Touche; Florida International University; Nanyang Technological University; University of Colombo; IcicleLabs.AI; AnaletIQ; Effectz.AI</x:v>
      </x:c>
      <x:c r="F451" s="21" t="str">
        <x:f>VLOOKUP(H451,'Taxonomy'!$A$6:$G$70,3,FALSE)</x:f>
        <x:v>工作形态：代理承担什么工作</x:v>
      </x:c>
      <x:c r="G451" s="21" t="str">
        <x:f>VLOOKUP(H451,'Taxonomy'!$A$6:$G$70,5,FALSE)</x:f>
        <x:v>工作流级工作</x:v>
      </x:c>
      <x:c r="H451" s="8" t="str">
        <x:v>3.4</x:v>
      </x:c>
      <x:c r="I451" s="21" t="str">
        <x:f>VLOOKUP(H451,'Taxonomy'!$A$6:$G$70,6,FALSE)</x:f>
        <x:v>工作流级工作</x:v>
      </x:c>
      <x:c r="J451" s="8" t="str">
        <x:v>工作形态与验收组织;分布信息、澄清与协调;执行平台、隔离与规模化</x:v>
      </x:c>
      <x:c r="K451" s="8" t="str">
        <x:v>规划与协调;执行与状态管理;验证、恢复与重新规划</x:v>
      </x:c>
      <x:c r="L451" s="8" t="str">
        <x:v>5.3.2 提示与工作流优化;6.4 开放框架与执行环境</x:v>
      </x:c>
      <x:c r="M451" s="8" t="str"/>
      <x:c r="N451" s="8" t="str">
        <x:v>Survey</x:v>
      </x:c>
      <x:c r="O451" s="11" t="str">
        <x:v>https://arxiv.org/abs/2512.08769</x:v>
      </x:c>
      <x:c r="P451" s="8" t="str">
        <x:v>从工作流分解、工具接口、确定性编排到部署给出工程生命周期与案例。</x:v>
      </x:c>
      <x:c r="Q451" s="8" t="str">
        <x:v>用于3.4「工作流级工作」：从工作流分解、工具接口、确定性编排到部署给出工程生命周期与案例。</x:v>
      </x:c>
      <x:c r="R451" s="8" t="str">
        <x:v>工程指南与案例，非跨场景可靠性或生产率的因果实证。</x:v>
      </x:c>
      <x:c r="S451" s="8" t="str">
        <x:v>补充</x:v>
      </x:c>
      <x:c r="T451" s="22" t="str">
        <x:v>未分配</x:v>
      </x:c>
      <x:c r="U451" s="22" t="str"/>
      <x:c r="V451" s="22" t="str"/>
      <x:c r="W451" s="22" t="str"/>
      <x:c r="X451" s="8" t="str">
        <x:v>verified</x:v>
      </x:c>
      <x:c r="Y451" s="11" t="str"/>
      <x:c r="Z451" s="11" t="str"/>
      <x:c r="AA451" s="11" t="str">
        <x:v>https://arxiv.org/pdf/2512.08769</x:v>
      </x:c>
      <x:c r="AB451" s="11" t="str">
        <x:v>https://arxiv.org/abs/2512.08769</x:v>
      </x:c>
      <x:c r="AC451" s="8" t="str">
        <x:v>DR-010</x:v>
      </x:c>
      <x:c r="AD451" s="8" t="str">
        <x:v>书目页、可得摘要与首页单位核验；未做全文精读。</x:v>
      </x:c>
      <x:c r="AE451" s="8" t="str">
        <x:v>3.4</x:v>
      </x:c>
      <x:c r="AF451" s="8" t="str">
        <x:v>按本综述3.4「工作流级工作」的写作用途归类；从工作流分解、工具接口、确定性编排到部署给出工程生命周期与案例。</x:v>
      </x:c>
      <x:c r="AG451" s="8" t="str">
        <x:v>related</x:v>
      </x:c>
      <x:c r="AH451" s="8" t="str">
        <x:v>work-composition,participant-coordination,runtime-infrastructure</x:v>
      </x:c>
      <x:c r="AI451" s="8" t="str"/>
      <x:c r="AJ451" s="8" t="str">
        <x:v>2026-10-16 work-form deep research report</x:v>
      </x:c>
      <x:c r="AK451" s="13" t="d">
        <x:v>2026-10-16T00:00:00.000Z</x:v>
      </x:c>
      <x:c r="AL451" s="8" t="str">
        <x:v>从新增来源发现候选，正式题名、链接及单位以可得一手资料为准。</x:v>
      </x:c>
      <x:c r="AM451" s="8" t="str"/>
    </x:row>
    <x:row r="452" ht="68" customHeight="1">
      <x:c r="A452" s="8" t="str">
        <x:v>WA-0466</x:v>
      </x:c>
      <x:c r="B452" s="8" t="str">
        <x:v>Workspace Optimization / DreamTeam</x:v>
      </x:c>
      <x:c r="C452" s="8" t="str">
        <x:v>Workspace Optimization: How to Train Your Agent</x:v>
      </x:c>
      <x:c r="D452" s="9" t="n">
        <x:v>2026</x:v>
      </x:c>
      <x:c r="E452" s="8" t="str">
        <x:v>NVIDIA; Technion</x:v>
      </x:c>
      <x:c r="F452" s="21" t="str">
        <x:f>VLOOKUP(H452,'Taxonomy'!$A$6:$G$70,3,FALSE)</x:f>
        <x:v>优化：从工作经验到系统能力</x:v>
      </x:c>
      <x:c r="G452" s="21" t="str">
        <x:f>VLOOKUP(H452,'Taxonomy'!$A$6:$G$70,5,FALSE)</x:f>
        <x:v>运行框架优化</x:v>
      </x:c>
      <x:c r="H452" s="8" t="str">
        <x:v>5.3.3</x:v>
      </x:c>
      <x:c r="I452" s="21" t="str">
        <x:f>VLOOKUP(H452,'Taxonomy'!$A$6:$G$70,6,FALSE)</x:f>
        <x:v>记忆与技能优化</x:v>
      </x:c>
      <x:c r="J452" s="8" t="str">
        <x:v>经验记忆与技能优化;上下文与记忆管理;任务分解与行动依赖</x:v>
      </x:c>
      <x:c r="K452" s="8" t="str">
        <x:v>推理与决策;规划与协调;验证、恢复与重新规划</x:v>
      </x:c>
      <x:c r="L452" s="8" t="str">
        <x:v>3.3 多步骤级工作;2.3.3 规划与协调;7.2.3 持续个性化与自我演化</x:v>
      </x:c>
      <x:c r="M452" s="8" t="str">
        <x:v>记忆与技能优化;提示与工作流优化</x:v>
      </x:c>
      <x:c r="N452" s="8" t="str">
        <x:v>Method</x:v>
      </x:c>
      <x:c r="O452" s="11" t="str">
        <x:v>https://arxiv.org/abs/2605.09650</x:v>
      </x:c>
      <x:c r="P452" s="8" t="str">
        <x:v>在模型权重固定时，持续修改和测试外部世界模型、计划与假设以适应交互环境。</x:v>
      </x:c>
      <x:c r="Q452" s="8" t="str">
        <x:v>用于5.3.3「记忆与技能优化」：在模型权重固定时，持续修改和测试外部世界模型、计划与假设以适应交互环境。</x:v>
      </x:c>
      <x:c r="R452" s="8" t="str">
        <x:v>ARC-AGI-3交互游戏中的外部状态优化；不能直接外推为跨应用办公交付能力或跨请求持续责任。</x:v>
      </x:c>
      <x:c r="S452" s="8" t="str">
        <x:v>核心</x:v>
      </x:c>
      <x:c r="T452" s="22" t="str">
        <x:v>未分配</x:v>
      </x:c>
      <x:c r="U452" s="22" t="str"/>
      <x:c r="V452" s="22" t="str"/>
      <x:c r="W452" s="22" t="str"/>
      <x:c r="X452" s="8" t="str">
        <x:v>verified</x:v>
      </x:c>
      <x:c r="Y452" s="11" t="str"/>
      <x:c r="Z452" s="11" t="str"/>
      <x:c r="AA452" s="11" t="str">
        <x:v>https://arxiv.org/pdf/2605.09650</x:v>
      </x:c>
      <x:c r="AB452" s="11" t="str">
        <x:v>https://arxiv.org/abs/2605.09650</x:v>
      </x:c>
      <x:c r="AC452" s="8" t="str">
        <x:v>DR-011</x:v>
      </x:c>
      <x:c r="AD452" s="8" t="str">
        <x:v>书目页、可得摘要与首页单位核验；未做全文精读。</x:v>
      </x:c>
      <x:c r="AE452" s="8" t="str">
        <x:v>3.5</x:v>
      </x:c>
      <x:c r="AF452" s="8" t="str">
        <x:v>按本综述5.3.3「记忆与技能优化」的写作用途归类；在模型权重固定时，持续修改和测试外部世界模型、计划与假设以适应交互环境。</x:v>
      </x:c>
      <x:c r="AG452" s="8" t="str">
        <x:v>harness</x:v>
      </x:c>
      <x:c r="AH452" s="8" t="str">
        <x:v>memory-skill,context-memory,planning-dependencies</x:v>
      </x:c>
      <x:c r="AI452" s="8" t="str"/>
      <x:c r="AJ452" s="8" t="str">
        <x:v>2026-10-16 work-form deep research report</x:v>
      </x:c>
      <x:c r="AK452" s="13" t="d">
        <x:v>2026-10-16T00:00:00.000Z</x:v>
      </x:c>
      <x:c r="AL452" s="8" t="str">
        <x:v>从新增来源发现候选，正式题名、链接及单位以可得一手资料为准。报告建议3.5工作区级；这里的workspace是游戏智能体的外部可修改状态。作为运行框架/记忆优化相关方法收录，不作为真实跨办公文件工作区任务的直接证据，也不采用“首次”断言。</x:v>
      </x:c>
      <x:c r="AM452" s="8" t="str"/>
    </x:row>
  </x:sheetData>
  <x:conditionalFormatting sqref="A2:AM341">
    <x:cfRule type="expression" dxfId="0" priority="1">
      <x:formula>$X2="pending"</x:formula>
    </x:cfRule>
  </x:conditionalFormatting>
  <x:conditionalFormatting sqref="X2:X341">
    <x:cfRule type="containsText" dxfId="1" priority="2" operator="containsText" text="metadata-only"/>
  </x:conditionalFormatting>
  <x:conditionalFormatting sqref="A342:AM452">
    <x:cfRule type="expression" dxfId="4" priority="3">
      <x:formula>$X342="pending"</x:formula>
    </x:cfRule>
  </x:conditionalFormatting>
  <x:conditionalFormatting sqref="X342:X452">
    <x:cfRule type="containsText" dxfId="5" priority="4" operator="containsText" text="metadata-only"/>
  </x:conditionalFormatting>
  <x:dataValidations count="8">
    <x:dataValidation type="list" sqref="H2:H341">
      <x:formula1>'Taxonomy'!$A$6:$A$70</x:formula1>
    </x:dataValidation>
    <x:dataValidation type="list" sqref="T2:T341">
      <x:formula1>"未分配,待读,阅读中,已读"</x:formula1>
    </x:dataValidation>
    <x:dataValidation type="list" sqref="S2:S341">
      <x:formula1>"核心,补充,候选"</x:formula1>
    </x:dataValidation>
    <x:dataValidation type="list" sqref="X2:X341">
      <x:formula1>"verified,metadata-only,pending"</x:formula1>
    </x:dataValidation>
    <x:dataValidation type="list" sqref="H342:H452">
      <x:formula1>'Taxonomy'!$A$6:$A$70</x:formula1>
    </x:dataValidation>
    <x:dataValidation type="list" sqref="T342:T452">
      <x:formula1>"未分配,待读,阅读中,已读"</x:formula1>
    </x:dataValidation>
    <x:dataValidation type="list" sqref="S342:S452">
      <x:formula1>"核心,补充,候选"</x:formula1>
    </x:dataValidation>
    <x:dataValidation type="list" sqref="X342:X452">
      <x:formula1>"verified,metadata-only,pending"</x:formula1>
    </x:dataValidation>
  </x:dataValidations>
  <x:pageMargins left="0.7" right="0.7" top="0.75" bottom="0.75" header="0.3" footer="0.3"/>
  <x:tableParts count="1">
    <x:tablePart xmlns:r="http://schemas.openxmlformats.org/officeDocument/2006/relationships" r:id="R5834a2cb328d461c"/>
  </x:tableParts>
</x:worksheet>
</file>

<file path=xl/worksheets/sheet3.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14" hidden="0" customWidth="1"/>
    <x:col min="2" max="2" width="25" hidden="0" customWidth="1"/>
    <x:col min="3" max="3" width="64" hidden="0" customWidth="1"/>
    <x:col min="4" max="4" width="8" hidden="0" customWidth="1"/>
    <x:col min="5" max="5" width="48" hidden="0" customWidth="1"/>
    <x:col min="6" max="6" width="32" hidden="0" customWidth="1"/>
    <x:col min="7" max="7" width="34" hidden="0" customWidth="1"/>
    <x:col min="8" max="8" width="16" hidden="0" customWidth="1"/>
    <x:col min="9" max="9" width="38" hidden="0" customWidth="1"/>
    <x:col min="10" max="10" width="44" hidden="0" customWidth="1"/>
    <x:col min="11" max="11" width="42" hidden="0" customWidth="1"/>
    <x:col min="12" max="12" width="48" hidden="0" customWidth="1"/>
    <x:col min="13" max="13" width="38" hidden="0" customWidth="1"/>
    <x:col min="14" max="14" width="24" hidden="0" customWidth="1"/>
    <x:col min="15" max="15" width="48" hidden="0" customWidth="1"/>
    <x:col min="16" max="16" width="64" hidden="0" customWidth="1"/>
    <x:col min="17" max="17" width="68" hidden="0" customWidth="1"/>
    <x:col min="18" max="18" width="75" hidden="0" customWidth="1"/>
    <x:col min="19" max="19" width="20" hidden="0" customWidth="1"/>
    <x:col min="20" max="20" width="16" hidden="0" customWidth="1"/>
    <x:col min="21" max="21" width="18" hidden="0" customWidth="1"/>
    <x:col min="22" max="22" width="22" hidden="0" customWidth="1"/>
    <x:col min="23" max="23" width="62" hidden="0" customWidth="1"/>
    <x:col min="24" max="24" width="20" hidden="0" customWidth="1"/>
    <x:col min="25" max="25" width="48" hidden="0" customWidth="1"/>
    <x:col min="26" max="26" width="48" hidden="0" customWidth="1"/>
    <x:col min="27" max="27" width="55" hidden="0" customWidth="1"/>
    <x:col min="28" max="28" width="55" hidden="0" customWidth="1"/>
    <x:col min="29" max="29" width="20" hidden="0" customWidth="1"/>
    <x:col min="30" max="30" width="46" hidden="0" customWidth="1"/>
    <x:col min="31" max="31" width="62" hidden="0" customWidth="1"/>
    <x:col min="32" max="32" width="68" hidden="0" customWidth="1"/>
    <x:col min="33" max="33" width="24" hidden="0" customWidth="1"/>
    <x:col min="34" max="34" width="38" hidden="0" customWidth="1"/>
    <x:col min="35" max="35" width="18" hidden="0" customWidth="1"/>
    <x:col min="36" max="36" width="38" hidden="0" customWidth="1"/>
    <x:col min="37" max="37" width="16" hidden="0" customWidth="1"/>
    <x:col min="38" max="38" width="78" hidden="0" customWidth="1"/>
    <x:col min="39" max="39" width="30" hidden="0" customWidth="1"/>
  </x:cols>
  <x:sheetData>
    <x:row r="1" ht="32" customHeight="1">
      <x:c r="A1" s="7" t="str">
        <x:v>ID</x:v>
      </x:c>
      <x:c r="B1" s="7" t="str">
        <x:v>简称</x:v>
      </x:c>
      <x:c r="C1" s="7" t="str">
        <x:v>论文名称</x:v>
      </x:c>
      <x:c r="D1" s="7" t="str">
        <x:v>年份</x:v>
      </x:c>
      <x:c r="E1" s="7" t="str">
        <x:v>单位</x:v>
      </x:c>
      <x:c r="F1" s="7" t="str">
        <x:v>论文一级分类</x:v>
      </x:c>
      <x:c r="G1" s="7" t="str">
        <x:v>论文二级分类</x:v>
      </x:c>
      <x:c r="H1" s="7" t="str">
        <x:v>主归属章节</x:v>
      </x:c>
      <x:c r="I1" s="7" t="str">
        <x:v>具体小节名称</x:v>
      </x:c>
      <x:c r="J1" s="7" t="str">
        <x:v>细分研究类型</x:v>
      </x:c>
      <x:c r="K1" s="7" t="str">
        <x:v>五项核心能力</x:v>
      </x:c>
      <x:c r="L1" s="7" t="str">
        <x:v>其他关联章节</x:v>
      </x:c>
      <x:c r="M1" s="7" t="str">
        <x:v>优化机制</x:v>
      </x:c>
      <x:c r="N1" s="7" t="str">
        <x:v>条目类型</x:v>
      </x:c>
      <x:c r="O1" s="7" t="str">
        <x:v>论文链接</x:v>
      </x:c>
      <x:c r="P1" s="7" t="str">
        <x:v>核心贡献</x:v>
      </x:c>
      <x:c r="Q1" s="7" t="str">
        <x:v>对综述的用途</x:v>
      </x:c>
      <x:c r="R1" s="7" t="str">
        <x:v>适用边界</x:v>
      </x:c>
      <x:c r="S1" s="7" t="str">
        <x:v>清单建议阅读优先级</x:v>
      </x:c>
      <x:c r="T1" s="7" t="str">
        <x:v>阅读状态</x:v>
      </x:c>
      <x:c r="U1" s="7" t="str">
        <x:v>负责人</x:v>
      </x:c>
      <x:c r="V1" s="7" t="str">
        <x:v>写作章节</x:v>
      </x:c>
      <x:c r="W1" s="7" t="str">
        <x:v>写作备注</x:v>
      </x:c>
      <x:c r="X1" s="7" t="str">
        <x:v>核验状态</x:v>
      </x:c>
      <x:c r="Y1" s="7" t="str">
        <x:v>代码链接</x:v>
      </x:c>
      <x:c r="Z1" s="7" t="str">
        <x:v>数据链接</x:v>
      </x:c>
      <x:c r="AA1" s="7" t="str">
        <x:v>单位来源</x:v>
      </x:c>
      <x:c r="AB1" s="7" t="str">
        <x:v>元数据来源</x:v>
      </x:c>
      <x:c r="AC1" s="7" t="str">
        <x:v>新增清单编号</x:v>
      </x:c>
      <x:c r="AD1" s="7" t="str">
        <x:v>清单记录阅读深度</x:v>
      </x:c>
      <x:c r="AE1" s="7" t="str">
        <x:v>清单建议位置</x:v>
      </x:c>
      <x:c r="AF1" s="7" t="str">
        <x:v>分类依据</x:v>
      </x:c>
      <x:c r="AG1" s="7" t="str">
        <x:v>原工作对象分类</x:v>
      </x:c>
      <x:c r="AH1" s="7" t="str">
        <x:v>既有技术描述</x:v>
      </x:c>
      <x:c r="AI1" s="7" t="str">
        <x:v>原稿引用编号</x:v>
      </x:c>
      <x:c r="AJ1" s="7" t="str">
        <x:v>收录来源</x:v>
      </x:c>
      <x:c r="AK1" s="7" t="str">
        <x:v>复核日期</x:v>
      </x:c>
      <x:c r="AL1" s="7" t="str">
        <x:v>核验备注</x:v>
      </x:c>
      <x:c r="AM1" s="7" t="str">
        <x:v>旧章节映射</x:v>
      </x:c>
    </x:row>
    <x:row r="2" ht="68" customHeight="1">
      <x:c r="A2" s="8" t="str">
        <x:v>WA-0170</x:v>
      </x:c>
      <x:c r="B2" s="8" t="str">
        <x:v>Codex Manual</x:v>
      </x:c>
      <x:c r="C2" s="8" t="str">
        <x:v>Codex Manual</x:v>
      </x:c>
      <x:c r="D2" s="9" t="n">
        <x:v>2026</x:v>
      </x:c>
      <x:c r="E2" s="8" t="str">
        <x:v>OpenAI</x:v>
      </x:c>
      <x:c r="F2" s="10" t="str">
        <x:f>VLOOKUP(H2,'Taxonomy'!$A$6:$G$70,3,FALSE)</x:f>
        <x:v>评估与资源：如何检验工作完成</x:v>
      </x:c>
      <x:c r="G2" s="10" t="str">
        <x:f>VLOOKUP(H2,'Taxonomy'!$A$6:$G$70,5,FALSE)</x:f>
        <x:v>开放框架与执行环境</x:v>
      </x:c>
      <x:c r="H2" s="8" t="str">
        <x:v>6.4</x:v>
      </x:c>
      <x:c r="I2" s="10" t="str">
        <x:f>VLOOKUP(H2,'Taxonomy'!$A$6:$G$70,6,FALSE)</x:f>
        <x:v>开放框架与执行环境</x:v>
      </x:c>
      <x:c r="J2" s="8" t="str">
        <x:v>执行平台、隔离与规模化;定义、系统职责与工作循环</x:v>
      </x:c>
      <x:c r="K2" s="8" t="str">
        <x:v>执行与状态管理;验证、恢复与重新规划</x:v>
      </x:c>
      <x:c r="L2" s="8" t="str"/>
      <x:c r="M2" s="8" t="str"/>
      <x:c r="N2" s="8" t="str">
        <x:v>Product/Resource</x:v>
      </x:c>
      <x:c r="O2" s="11" t="str">
        <x:v>https://developers.openai.com/codex/codex-manual.md</x:v>
      </x:c>
      <x:c r="P2" s="8" t="str">
        <x:v>生产代理的运行配置与实践资料；作为产品文档单列，不计入论文。</x:v>
      </x:c>
      <x:c r="Q2" s="8" t="str"/>
      <x:c r="R2" s="8" t="str"/>
      <x:c r="S2" s="8" t="str"/>
      <x:c r="T2" s="12" t="str">
        <x:v>未分配</x:v>
      </x:c>
      <x:c r="U2" s="12" t="str"/>
      <x:c r="V2" s="12" t="str"/>
      <x:c r="W2" s="12" t="str"/>
      <x:c r="X2" s="8" t="str">
        <x:v>verified</x:v>
      </x:c>
      <x:c r="Y2" s="11" t="str"/>
      <x:c r="Z2" s="11" t="str"/>
      <x:c r="AA2" s="11" t="str">
        <x:v>https://developers.openai.com/codex/codex-manual.md</x:v>
      </x:c>
      <x:c r="AB2" s="11" t="str">
        <x:v>https://developers.openai.com/codex/codex-manual.md</x:v>
      </x:c>
      <x:c r="AC2" s="8" t="str">
        <x:v>AIO-176</x:v>
      </x:c>
      <x:c r="AD2" s="8" t="str"/>
      <x:c r="AE2" s="8" t="str"/>
      <x:c r="AF2" s="8" t="str">
        <x:v>用于“开放框架与执行环境”：生产代理的运行配置与实践资料；作为产品文档单列，不计入论文。 该项为资源/文档，映射仅表示参考用途，不转为独立论文。</x:v>
      </x:c>
      <x:c r="AG2" s="8" t="str">
        <x:v>harness</x:v>
      </x:c>
      <x:c r="AH2" s="8" t="str">
        <x:v>Production agent documentation</x:v>
      </x:c>
      <x:c r="AI2" s="8" t="str">
        <x:v>170</x:v>
      </x:c>
      <x:c r="AJ2" s="8" t="str">
        <x:v>survey bibliography;2026-10-16 AI Office survey bibliography</x:v>
      </x:c>
      <x:c r="AK2" s="13" t="d">
        <x:v>2026-10-16T00:00:00.000Z</x:v>
      </x:c>
      <x:c r="AL2" s="8" t="str">
        <x:v>官方Markdown文档可访问；2026为引用/查阅年份，不是论文首发年份。原参考文献的副标题并非页面正式标题。</x:v>
      </x:c>
      <x:c r="AM2" s="8" t="str">
        <x:v>6.4</x:v>
      </x:c>
    </x:row>
    <x:row r="3" ht="68" customHeight="1">
      <x:c r="A3" s="8" t="str">
        <x:v>WA-0171</x:v>
      </x:c>
      <x:c r="B3" s="8" t="str">
        <x:v>Claude Code</x:v>
      </x:c>
      <x:c r="C3" s="8" t="str">
        <x:v>Claude Code Overview</x:v>
      </x:c>
      <x:c r="D3" s="9" t="n">
        <x:v>2026</x:v>
      </x:c>
      <x:c r="E3" s="8" t="str">
        <x:v>Anthropic</x:v>
      </x:c>
      <x:c r="F3" s="10" t="str">
        <x:f>VLOOKUP(H3,'Taxonomy'!$A$6:$G$70,3,FALSE)</x:f>
        <x:v>评估与资源：如何检验工作完成</x:v>
      </x:c>
      <x:c r="G3" s="10" t="str">
        <x:f>VLOOKUP(H3,'Taxonomy'!$A$6:$G$70,5,FALSE)</x:f>
        <x:v>开放框架与执行环境</x:v>
      </x:c>
      <x:c r="H3" s="8" t="str">
        <x:v>6.4</x:v>
      </x:c>
      <x:c r="I3" s="10" t="str">
        <x:f>VLOOKUP(H3,'Taxonomy'!$A$6:$G$70,6,FALSE)</x:f>
        <x:v>开放框架与执行环境</x:v>
      </x:c>
      <x:c r="J3" s="8" t="str">
        <x:v>执行平台、隔离与规模化;定义、系统职责与工作循环</x:v>
      </x:c>
      <x:c r="K3" s="8" t="str">
        <x:v>规划与协调;执行与状态管理;验证、恢复与重新规划</x:v>
      </x:c>
      <x:c r="L3" s="8" t="str"/>
      <x:c r="M3" s="8" t="str"/>
      <x:c r="N3" s="8" t="str">
        <x:v>Product/Resource</x:v>
      </x:c>
      <x:c r="O3" s="11" t="str">
        <x:v>https://code.claude.com/docs/en/overview</x:v>
      </x:c>
      <x:c r="P3" s="8" t="str">
        <x:v>提供代码工作区代理及命令、文件、开发工具集成的产品文档。</x:v>
      </x:c>
      <x:c r="Q3" s="8" t="str"/>
      <x:c r="R3" s="8" t="str"/>
      <x:c r="S3" s="8" t="str"/>
      <x:c r="T3" s="12" t="str">
        <x:v>未分配</x:v>
      </x:c>
      <x:c r="U3" s="12" t="str"/>
      <x:c r="V3" s="12" t="str"/>
      <x:c r="W3" s="12" t="str"/>
      <x:c r="X3" s="8" t="str">
        <x:v>verified</x:v>
      </x:c>
      <x:c r="Y3" s="11" t="str"/>
      <x:c r="Z3" s="11" t="str"/>
      <x:c r="AA3" s="11" t="str">
        <x:v>https://code.claude.com/docs/en/overview</x:v>
      </x:c>
      <x:c r="AB3" s="11" t="str">
        <x:v>https://code.claude.com/docs/en/overview</x:v>
      </x:c>
      <x:c r="AC3" s="8" t="str">
        <x:v>AIO-015;AIO-016</x:v>
      </x:c>
      <x:c r="AD3" s="8" t="str"/>
      <x:c r="AE3" s="8" t="str"/>
      <x:c r="AF3" s="8" t="str">
        <x:v>用于“开放框架与执行环境”：提供代码工作区代理及命令、文件、开发工具集成的产品文档。 该项为资源/文档，映射仅表示参考用途，不转为独立论文。</x:v>
      </x:c>
      <x:c r="AG3" s="8" t="str">
        <x:v>harness</x:v>
      </x:c>
      <x:c r="AH3" s="8" t="str">
        <x:v>Production agent documentation</x:v>
      </x:c>
      <x:c r="AI3" s="8" t="str">
        <x:v>171</x:v>
      </x:c>
      <x:c r="AJ3" s="8" t="str">
        <x:v>survey bibliography;2026-10-16 AI Office survey bibliography</x:v>
      </x:c>
      <x:c r="AK3" s="13" t="d">
        <x:v>2026-10-16T00:00:00.000Z</x:v>
      </x:c>
      <x:c r="AL3" s="8" t="str">
        <x:v>产品文档，2026为引用/查阅年份，不是论文首发年份。</x:v>
      </x:c>
      <x:c r="AM3" s="8" t="str">
        <x:v>6.4</x:v>
      </x:c>
    </x:row>
    <x:row r="4" ht="68" customHeight="1">
      <x:c r="A4" s="8" t="str">
        <x:v>WA-0172</x:v>
      </x:c>
      <x:c r="B4" s="8" t="str">
        <x:v>Microsoft 365 Copilot</x:v>
      </x:c>
      <x:c r="C4" s="8" t="str">
        <x:v>Microsoft Copilot architecture and how it works</x:v>
      </x:c>
      <x:c r="D4" s="9" t="n">
        <x:v>2026</x:v>
      </x:c>
      <x:c r="E4" s="8" t="str">
        <x:v>Microsoft</x:v>
      </x:c>
      <x:c r="F4" s="10" t="str">
        <x:f>VLOOKUP(H4,'Taxonomy'!$A$6:$G$70,3,FALSE)</x:f>
        <x:v>基础：定义、工作条件与核心能力</x:v>
      </x:c>
      <x:c r="G4" s="10" t="str">
        <x:f>VLOOKUP(H4,'Taxonomy'!$A$6:$G$70,5,FALSE)</x:f>
        <x:v>定义与系统视角</x:v>
      </x:c>
      <x:c r="H4" s="8" t="str">
        <x:v>2.1.2</x:v>
      </x:c>
      <x:c r="I4" s="10" t="str">
        <x:f>VLOOKUP(H4,'Taxonomy'!$A$6:$G$70,6,FALSE)</x:f>
        <x:v>工作过程六要素</x:v>
      </x:c>
      <x:c r="J4" s="8" t="str">
        <x:v>定义、系统职责与工作循环;委托、责任与权限</x:v>
      </x:c>
      <x:c r="K4" s="8" t="str">
        <x:v>感知与理解;执行与状态管理</x:v>
      </x:c>
      <x:c r="L4" s="8" t="str">
        <x:v>6.4 开放框架与执行环境</x:v>
      </x:c>
      <x:c r="M4" s="8" t="str"/>
      <x:c r="N4" s="8" t="str">
        <x:v>Product/Resource</x:v>
      </x:c>
      <x:c r="O4" s="11" t="str">
        <x:v>https://learn.microsoft.com/en-us/microsoft-365/copilot/microsoft-365-copilot-architecture</x:v>
      </x:c>
      <x:c r="P4" s="8" t="str">
        <x:v>说明办公助手的数据流、Microsoft Graph grounding与既有访问权限边界。</x:v>
      </x:c>
      <x:c r="Q4" s="8" t="str"/>
      <x:c r="R4" s="8" t="str"/>
      <x:c r="S4" s="8" t="str"/>
      <x:c r="T4" s="12" t="str">
        <x:v>未分配</x:v>
      </x:c>
      <x:c r="U4" s="12" t="str"/>
      <x:c r="V4" s="12" t="str"/>
      <x:c r="W4" s="12" t="str"/>
      <x:c r="X4" s="8" t="str">
        <x:v>verified</x:v>
      </x:c>
      <x:c r="Y4" s="11" t="str"/>
      <x:c r="Z4" s="11" t="str"/>
      <x:c r="AA4" s="11" t="str">
        <x:v>https://learn.microsoft.com/en-us/microsoft-365/copilot/microsoft-365-copilot-architecture</x:v>
      </x:c>
      <x:c r="AB4" s="11" t="str">
        <x:v>https://learn.microsoft.com/en-us/microsoft-365/copilot/microsoft-365-copilot-architecture</x:v>
      </x:c>
      <x:c r="AC4" s="8" t="str">
        <x:v>AIO-152</x:v>
      </x:c>
      <x:c r="AD4" s="8" t="str"/>
      <x:c r="AE4" s="8" t="str"/>
      <x:c r="AF4" s="8" t="str">
        <x:v>用于“工作过程六要素”：说明办公助手的数据流、Microsoft Graph grounding与既有访问权限边界。 该项为资源/文档，映射仅表示参考用途，不转为独立论文。</x:v>
      </x:c>
      <x:c r="AG4" s="8" t="str">
        <x:v>harness</x:v>
      </x:c>
      <x:c r="AH4" s="8" t="str">
        <x:v>Enterprise office architecture</x:v>
      </x:c>
      <x:c r="AI4" s="8" t="str">
        <x:v>172</x:v>
      </x:c>
      <x:c r="AJ4" s="8" t="str">
        <x:v>survey bibliography;2026-10-16 AI Office survey bibliography</x:v>
      </x:c>
      <x:c r="AK4" s="13" t="d">
        <x:v>2026-10-16T00:00:00.000Z</x:v>
      </x:c>
      <x:c r="AL4" s="8" t="str">
        <x:v>已使用官方页面重定向后的当前地址；2026为文档更新/引用年。</x:v>
      </x:c>
      <x:c r="AM4" s="8" t="str">
        <x:v>6.4</x:v>
      </x:c>
    </x:row>
    <x:row r="5" ht="68" customHeight="1">
      <x:c r="A5" s="8" t="str">
        <x:v>WA-0173</x:v>
      </x:c>
      <x:c r="B5" s="8" t="str">
        <x:v>O*NET Content Model</x:v>
      </x:c>
      <x:c r="C5" s="8" t="str">
        <x:v>The O*NET Content Model</x:v>
      </x:c>
      <x:c r="D5" s="9" t="n">
        <x:v>2026</x:v>
      </x:c>
      <x:c r="E5" s="8" t="str">
        <x:v>National Center for O*NET Development</x:v>
      </x:c>
      <x:c r="F5" s="10" t="str">
        <x:f>VLOOKUP(H5,'Taxonomy'!$A$6:$G$70,3,FALSE)</x:f>
        <x:v>评估与资源：如何检验工作完成</x:v>
      </x:c>
      <x:c r="G5" s="10" t="str">
        <x:f>VLOOKUP(H5,'Taxonomy'!$A$6:$G$70,5,FALSE)</x:f>
        <x:v>基准与任务构造</x:v>
      </x:c>
      <x:c r="H5" s="8" t="str">
        <x:v>6.1.2</x:v>
      </x:c>
      <x:c r="I5" s="10" t="str">
        <x:f>VLOOKUP(H5,'Taxonomy'!$A$6:$G$70,6,FALSE)</x:f>
        <x:v>领域覆盖与工作要求</x:v>
      </x:c>
      <x:c r="J5" s="8" t="str">
        <x:v>任务覆盖与泛化边界</x:v>
      </x:c>
      <x:c r="K5" s="8" t="str"/>
      <x:c r="L5" s="8" t="str">
        <x:v>7.1.1 职业与领域泛化</x:v>
      </x:c>
      <x:c r="M5" s="8" t="str"/>
      <x:c r="N5" s="8" t="str">
        <x:v>Product/Resource</x:v>
      </x:c>
      <x:c r="O5" s="11" t="str">
        <x:v>https://www.onetcenter.org/content.html</x:v>
      </x:c>
      <x:c r="P5" s="8" t="str">
        <x:v>提供职业活动、技能与工作情境的结构化词表，可用于职业任务覆盖分析。</x:v>
      </x:c>
      <x:c r="Q5" s="8" t="str"/>
      <x:c r="R5" s="8" t="str"/>
      <x:c r="S5" s="8" t="str"/>
      <x:c r="T5" s="12" t="str">
        <x:v>未分配</x:v>
      </x:c>
      <x:c r="U5" s="12" t="str"/>
      <x:c r="V5" s="12" t="str"/>
      <x:c r="W5" s="12" t="str"/>
      <x:c r="X5" s="8" t="str">
        <x:v>verified</x:v>
      </x:c>
      <x:c r="Y5" s="11" t="str"/>
      <x:c r="Z5" s="11" t="str"/>
      <x:c r="AA5" s="11" t="str">
        <x:v>https://www.onetcenter.org/content.html</x:v>
      </x:c>
      <x:c r="AB5" s="11" t="str">
        <x:v>https://www.onetcenter.org/content.html</x:v>
      </x:c>
      <x:c r="AC5" s="8" t="str"/>
      <x:c r="AD5" s="8" t="str"/>
      <x:c r="AE5" s="8" t="str"/>
      <x:c r="AF5" s="8" t="str">
        <x:v>用于“领域覆盖与工作要求”：提供职业活动、技能与工作情境的结构化词表，可用于职业任务覆盖分析。 该项为资源/文档，映射仅表示参考用途，不转为独立论文。</x:v>
      </x:c>
      <x:c r="AG5" s="8" t="str">
        <x:v>related</x:v>
      </x:c>
      <x:c r="AH5" s="8" t="str">
        <x:v>Occupational taxonomy</x:v>
      </x:c>
      <x:c r="AI5" s="8" t="str">
        <x:v>173</x:v>
      </x:c>
      <x:c r="AJ5" s="8" t="str">
        <x:v>survey bibliography</x:v>
      </x:c>
      <x:c r="AK5" s="13" t="d">
        <x:v>2026-10-16T00:00:00.000Z</x:v>
      </x:c>
      <x:c r="AL5" s="8" t="str">
        <x:v>在线职业资源，2026为查阅年，不是研究论文首发年。</x:v>
      </x:c>
      <x:c r="AM5" s="8" t="str">
        <x:v>6.1</x:v>
      </x:c>
    </x:row>
    <x:row r="6" ht="68" customHeight="1">
      <x:c r="A6" s="8" t="str">
        <x:v>WA-0216</x:v>
      </x:c>
      <x:c r="B6" s="8" t="str">
        <x:v>AA-AnalystAgent</x:v>
      </x:c>
      <x:c r="C6" s="8" t="str">
        <x:v>AA-AnalystAgent</x:v>
      </x:c>
      <x:c r="D6" s="9" t="n">
        <x:v>2026</x:v>
      </x:c>
      <x:c r="E6" s="8" t="str">
        <x:v>Artificial Analysis</x:v>
      </x:c>
      <x:c r="F6" s="10" t="str">
        <x:f>VLOOKUP(H6,'Taxonomy'!$A$6:$G$70,3,FALSE)</x:f>
        <x:v>评估与资源：如何检验工作完成</x:v>
      </x:c>
      <x:c r="G6" s="10" t="str">
        <x:f>VLOOKUP(H6,'Taxonomy'!$A$6:$G$70,5,FALSE)</x:f>
        <x:v>评估方法</x:v>
      </x:c>
      <x:c r="H6" s="8" t="str">
        <x:v>6.2.1</x:v>
      </x:c>
      <x:c r="I6" s="10" t="str">
        <x:f>VLOOKUP(H6,'Taxonomy'!$A$6:$G$70,6,FALSE)</x:f>
        <x:v>评估目标与可观察证据</x:v>
      </x:c>
      <x:c r="J6" s="8" t="str">
        <x:v>职业知识与专业判断;证据整合与推理;答案、产物、状态与过程证据</x:v>
      </x:c>
      <x:c r="K6" s="8" t="str">
        <x:v>感知与理解;推理与决策;执行与状态管理</x:v>
      </x:c>
      <x:c r="L6" s="8" t="str">
        <x:v>6.1 基准与任务构造</x:v>
      </x:c>
      <x:c r="M6" s="8" t="str"/>
      <x:c r="N6" s="8" t="str">
        <x:v>Product/Resource</x:v>
      </x:c>
      <x:c r="O6" s="11" t="str">
        <x:v>https://artificialanalysis.ai/evaluations/aa-analyst-agent</x:v>
      </x:c>
      <x:c r="P6" s="8" t="str">
        <x:v>让代理使用真实表格和文档回答定量分析问题，重复试验测量答案稳定性。</x:v>
      </x:c>
      <x:c r="Q6" s="8" t="str"/>
      <x:c r="R6" s="8" t="str"/>
      <x:c r="S6" s="8" t="str"/>
      <x:c r="T6" s="12" t="str">
        <x:v>未分配</x:v>
      </x:c>
      <x:c r="U6" s="12" t="str"/>
      <x:c r="V6" s="12" t="str"/>
      <x:c r="W6" s="12" t="str"/>
      <x:c r="X6" s="8" t="str">
        <x:v>verified</x:v>
      </x:c>
      <x:c r="Y6" s="11" t="str"/>
      <x:c r="Z6" s="11" t="str"/>
      <x:c r="AA6" s="11" t="str">
        <x:v>https://artificialanalysis.ai/evaluations/aa-analyst-agent</x:v>
      </x:c>
      <x:c r="AB6" s="11" t="str">
        <x:v>https://artificialanalysis.ai/evaluations/aa-analyst-agent</x:v>
      </x:c>
      <x:c r="AC6" s="8" t="str"/>
      <x:c r="AD6" s="8" t="str"/>
      <x:c r="AE6" s="8" t="str"/>
      <x:c r="AF6" s="8" t="str">
        <x:v>用于“评估目标与可观察证据”：让代理使用真实表格和文档回答定量分析问题，重复试验测量答案稳定性。 该项为资源/文档，映射仅表示参考用途，不转为独立论文。</x:v>
      </x:c>
      <x:c r="AG6" s="8" t="str">
        <x:v>related</x:v>
      </x:c>
      <x:c r="AH6" s="8" t="str">
        <x:v>Quantitative analysis over files</x:v>
      </x:c>
      <x:c r="AI6" s="8" t="str"/>
      <x:c r="AJ6" s="8" t="str">
        <x:v>previous README / supplementary search</x:v>
      </x:c>
      <x:c r="AK6" s="13" t="d">
        <x:v>2026-10-16T00:00:00.000Z</x:v>
      </x:c>
      <x:c r="AL6" s="8" t="str">
        <x:v>2026年8月发布；数据私有。最终数值答案计分，原workspace分类已调整为Related。</x:v>
      </x:c>
      <x:c r="AM6" s="8" t="str">
        <x:v>6.1</x:v>
      </x:c>
    </x:row>
    <x:row r="7" ht="68" customHeight="1">
      <x:c r="A7" s="8" t="str">
        <x:v>WA-0217</x:v>
      </x:c>
      <x:c r="B7" s="8" t="str">
        <x:v>AA-Briefcase</x:v>
      </x:c>
      <x:c r="C7" s="8" t="str">
        <x:v>AA-Briefcase v1.1: Agentic Knowledge Work Benchmark</x:v>
      </x:c>
      <x:c r="D7" s="9" t="n">
        <x:v>2026</x:v>
      </x:c>
      <x:c r="E7" s="8" t="str">
        <x:v>Artificial Analysis</x:v>
      </x:c>
      <x:c r="F7" s="10" t="str">
        <x:f>VLOOKUP(H7,'Taxonomy'!$A$6:$G$70,3,FALSE)</x:f>
        <x:v>基础：定义、工作条件与核心能力</x:v>
      </x:c>
      <x:c r="G7" s="10" t="str">
        <x:f>VLOOKUP(H7,'Taxonomy'!$A$6:$G$70,5,FALSE)</x:f>
        <x:v>五项核心能力</x:v>
      </x:c>
      <x:c r="H7" s="8" t="str">
        <x:v>2.3.1</x:v>
      </x:c>
      <x:c r="I7" s="10" t="str">
        <x:f>VLOOKUP(H7,'Taxonomy'!$A$6:$G$70,6,FALSE)</x:f>
        <x:v>感知与理解</x:v>
      </x:c>
      <x:c r="J7" s="8" t="str">
        <x:v>材料发现与证据定位;对象关系、来源与依赖;开放与变化条件</x:v>
      </x:c>
      <x:c r="K7" s="8" t="str">
        <x:v>感知与理解;规划与协调;执行与状态管理;验证、恢复与重新规划</x:v>
      </x:c>
      <x:c r="L7" s="8" t="str">
        <x:v>2.2.2 工作开放性;2.1.2 工作过程六要素;6.1.2 领域覆盖与工作要求</x:v>
      </x:c>
      <x:c r="M7" s="8" t="str"/>
      <x:c r="N7" s="8" t="str">
        <x:v>Product/Resource</x:v>
      </x:c>
      <x:c r="O7" s="11" t="str">
        <x:v>https://artificialanalysis.ai/evaluations/aa-briefcase</x:v>
      </x:c>
      <x:c r="P7" s="8" t="str">
        <x:v>在复杂项目背景与大量异构材料中独立完成单项职业任务，并按任务标准、分析和呈现质量验收。</x:v>
      </x:c>
      <x:c r="Q7" s="8" t="str">
        <x:v>与GDPval并列可解释：给定材料制作交付物，与在复杂项目中发现并整合材料，要求不同。</x:v>
      </x:c>
      <x:c r="R7" s="8" t="str">
        <x:v>官方v1.1明确各任务独立执行、不带入此前提交，不能作为跨任务状态延续的直接证据。正式私有题库未全部公开；Lite只是示范且不计正式成绩。此条是基准项目与数据集，非已确认的独立论文。</x:v>
      </x:c>
      <x:c r="S7" s="8" t="str">
        <x:v>核心</x:v>
      </x:c>
      <x:c r="T7" s="12" t="str">
        <x:v>未分配</x:v>
      </x:c>
      <x:c r="U7" s="12" t="str"/>
      <x:c r="V7" s="12" t="str"/>
      <x:c r="W7" s="12" t="str"/>
      <x:c r="X7" s="8" t="str">
        <x:v>verified</x:v>
      </x:c>
      <x:c r="Y7" s="11" t="str">
        <x:v>https://github.com/ArtificialAnalysis/Stirrup</x:v>
      </x:c>
      <x:c r="Z7" s="11" t="str">
        <x:v>https://huggingface.co/datasets/ArtificialAnalysis/AA-Briefcase-Lite</x:v>
      </x:c>
      <x:c r="AA7" s="11" t="str">
        <x:v>https://artificialanalysis.ai/evaluations/aa-briefcase</x:v>
      </x:c>
      <x:c r="AB7" s="11" t="str">
        <x:v>https://artificialanalysis.ai/evaluations/aa-briefcase</x:v>
      </x:c>
      <x:c r="AC7" s="8" t="str">
        <x:v>L001</x:v>
      </x:c>
      <x:c r="AD7" s="8" t="str">
        <x:v>文献库已有，2／4未引；官方项目。</x:v>
      </x:c>
      <x:c r="AE7" s="8" t="str">
        <x:v>2.2开放性；2.3.1证据发现；评估章项目任务；2.1 工作空间/成果；2.2 开放性；2.3 专业推理。</x:v>
      </x:c>
      <x:c r="AF7" s="8" t="str">
        <x:v>按 L001 用于复杂项目中的证据发现与开放性；官方 v1.1 任务独立执行，不沿用旧“多周持续工作”表述或持久性证据。 该项为资源/文档，映射仅表示参考用途，不转为独立论文。</x:v>
      </x:c>
      <x:c r="AG7" s="8" t="str">
        <x:v>workspace</x:v>
      </x:c>
      <x:c r="AH7" s="8" t="str">
        <x:v>independent knowledge-work tasks within project scenarios</x:v>
      </x:c>
      <x:c r="AI7" s="8" t="str"/>
      <x:c r="AJ7" s="8" t="str">
        <x:v>previous README / supplementary search;2026-10-16 chapter 2 / former chapter 4 supplement</x:v>
      </x:c>
      <x:c r="AK7" s="13" t="d">
        <x:v>2026-10-16T00:00:00.000Z</x:v>
      </x:c>
      <x:c r="AL7" s="8" t="str">
        <x:v>原README年份2025缺来源；2026为已核验发布年。完整评分集私有，Lite为单独公开示例，不贡献正式得分。 原README年份2025缺来源；2026为已核验发布年。完整评分集私有，Lite为单独公开示例，不贡献正式得分。 官方 v1.1 明确同场景任务分享材料，但各任务独立运行且不带入此前提交；移出 persistent 主类，保留项目工作材料特征。</x:v>
      </x:c>
      <x:c r="AM7" s="8" t="str">
        <x:v>6.1;7.2</x:v>
      </x:c>
    </x:row>
    <x:row r="8" ht="68" customHeight="1">
      <x:c r="A8" s="8" t="str">
        <x:v>WA-0232</x:v>
      </x:c>
      <x:c r="B8" s="8" t="str">
        <x:v>BigLaw Bench</x:v>
      </x:c>
      <x:c r="C8" s="8" t="str">
        <x:v>BigLaw Bench</x:v>
      </x:c>
      <x:c r="D8" s="9" t="n">
        <x:v>2024</x:v>
      </x:c>
      <x:c r="E8" s="8" t="str">
        <x:v>Harvey</x:v>
      </x:c>
      <x:c r="F8" s="10" t="str">
        <x:f>VLOOKUP(H8,'Taxonomy'!$A$6:$G$70,3,FALSE)</x:f>
        <x:v>基础：定义、工作条件与核心能力</x:v>
      </x:c>
      <x:c r="G8" s="10" t="str">
        <x:f>VLOOKUP(H8,'Taxonomy'!$A$6:$G$70,5,FALSE)</x:f>
        <x:v>五项核心能力</x:v>
      </x:c>
      <x:c r="H8" s="8" t="str">
        <x:v>2.3.2</x:v>
      </x:c>
      <x:c r="I8" s="10" t="str">
        <x:f>VLOOKUP(H8,'Taxonomy'!$A$6:$G$70,6,FALSE)</x:f>
        <x:v>推理与决策</x:v>
      </x:c>
      <x:c r="J8" s="8" t="str">
        <x:v>职业知识与专业判断;证据整合与推理;标准、量规与裁判</x:v>
      </x:c>
      <x:c r="K8" s="8" t="str">
        <x:v>感知与理解;推理与决策;验证、恢复与重新规划</x:v>
      </x:c>
      <x:c r="L8" s="8" t="str">
        <x:v>6.1 基准与任务构造</x:v>
      </x:c>
      <x:c r="M8" s="8" t="str"/>
      <x:c r="N8" s="8" t="str">
        <x:v>Product/Resource</x:v>
      </x:c>
      <x:c r="O8" s="11" t="str">
        <x:v>https://github.com/harveyai/biglaw-bench</x:v>
      </x:c>
      <x:c r="P8" s="8" t="str">
        <x:v>评价法律分析与文本回答的专业质量，是Harvey后续代理工作产物基准的前序资源。</x:v>
      </x:c>
      <x:c r="Q8" s="8" t="str"/>
      <x:c r="R8" s="8" t="str"/>
      <x:c r="S8" s="8" t="str"/>
      <x:c r="T8" s="12" t="str">
        <x:v>未分配</x:v>
      </x:c>
      <x:c r="U8" s="12" t="str"/>
      <x:c r="V8" s="12" t="str"/>
      <x:c r="W8" s="12" t="str"/>
      <x:c r="X8" s="8" t="str">
        <x:v>verified</x:v>
      </x:c>
      <x:c r="Y8" s="11" t="str">
        <x:v>https://github.com/harveyai/biglaw-bench</x:v>
      </x:c>
      <x:c r="Z8" s="11" t="str"/>
      <x:c r="AA8" s="11" t="str">
        <x:v>https://github.com/harveyai/biglaw-bench</x:v>
      </x:c>
      <x:c r="AB8" s="11" t="str">
        <x:v>https://github.com/harveyai/biglaw-bench</x:v>
      </x:c>
      <x:c r="AC8" s="8" t="str"/>
      <x:c r="AD8" s="8" t="str"/>
      <x:c r="AE8" s="8" t="str"/>
      <x:c r="AF8" s="8" t="str">
        <x:v>用于“推理与决策”：评价法律分析与文本回答的专业质量，是Harvey后续代理工作产物基准的前序资源。 该项为资源/文档，映射仅表示参考用途，不转为独立论文。</x:v>
      </x:c>
      <x:c r="AG8" s="8" t="str">
        <x:v>related</x:v>
      </x:c>
      <x:c r="AH8" s="8" t="str">
        <x:v>Professional legal reasoning</x:v>
      </x:c>
      <x:c r="AI8" s="8" t="str"/>
      <x:c r="AJ8" s="8" t="str">
        <x:v>previous README / supplementary search</x:v>
      </x:c>
      <x:c r="AK8" s="13" t="d">
        <x:v>2026-10-16T00:00:00.000Z</x:v>
      </x:c>
      <x:c r="AL8" s="8" t="str">
        <x:v>不能与LAB合并或共享2024发布日期；未确认独立论文。</x:v>
      </x:c>
      <x:c r="AM8" s="8" t="str">
        <x:v>6.1</x:v>
      </x:c>
    </x:row>
    <x:row r="9" ht="68" customHeight="1">
      <x:c r="A9" s="8" t="str">
        <x:v>WA-0249</x:v>
      </x:c>
      <x:c r="B9" s="8" t="str">
        <x:v>Excel Modeling Benchmark</x:v>
      </x:c>
      <x:c r="C9" s="8" t="str">
        <x:v>Excel Modeling Benchmark</x:v>
      </x:c>
      <x:c r="D9" s="9" t="n">
        <x:v>2026</x:v>
      </x:c>
      <x:c r="E9" s="8" t="str">
        <x:v>Vals AI</x:v>
      </x:c>
      <x:c r="F9" s="10" t="str">
        <x:f>VLOOKUP(H9,'Taxonomy'!$A$6:$G$70,3,FALSE)</x:f>
        <x:v>评估与资源：如何检验工作完成</x:v>
      </x:c>
      <x:c r="G9" s="10" t="str">
        <x:f>VLOOKUP(H9,'Taxonomy'!$A$6:$G$70,5,FALSE)</x:f>
        <x:v>评估方法</x:v>
      </x:c>
      <x:c r="H9" s="8" t="str">
        <x:v>6.2.1</x:v>
      </x:c>
      <x:c r="I9" s="10" t="str">
        <x:f>VLOOKUP(H9,'Taxonomy'!$A$6:$G$70,6,FALSE)</x:f>
        <x:v>评估目标与可观察证据</x:v>
      </x:c>
      <x:c r="J9" s="8" t="str">
        <x:v>职业知识与专业判断;原生工件生成与编辑;成果与实际状态核验</x:v>
      </x:c>
      <x:c r="K9" s="8" t="str">
        <x:v>推理与决策;执行与状态管理;验证、恢复与重新规划</x:v>
      </x:c>
      <x:c r="L9" s="8" t="str">
        <x:v>6.1 基准与任务构造</x:v>
      </x:c>
      <x:c r="M9" s="8" t="str"/>
      <x:c r="N9" s="8" t="str">
        <x:v>Product/Resource</x:v>
      </x:c>
      <x:c r="O9" s="11" t="str">
        <x:v>https://www.vals.ai/benchmarks/emb</x:v>
      </x:c>
      <x:c r="P9" s="8" t="str">
        <x:v>要求生成可重算的金融模型工作簿，同时评估数值、公式和金融格式约定。</x:v>
      </x:c>
      <x:c r="Q9" s="8" t="str"/>
      <x:c r="R9" s="8" t="str"/>
      <x:c r="S9" s="8" t="str"/>
      <x:c r="T9" s="12" t="str">
        <x:v>未分配</x:v>
      </x:c>
      <x:c r="U9" s="12" t="str"/>
      <x:c r="V9" s="12" t="str"/>
      <x:c r="W9" s="12" t="str"/>
      <x:c r="X9" s="8" t="str">
        <x:v>verified</x:v>
      </x:c>
      <x:c r="Y9" s="11" t="str"/>
      <x:c r="Z9" s="11" t="str"/>
      <x:c r="AA9" s="11" t="str">
        <x:v>https://www.vals.ai/benchmarks/emb</x:v>
      </x:c>
      <x:c r="AB9" s="11" t="str">
        <x:v>https://www.vals.ai/benchmarks/emb</x:v>
      </x:c>
      <x:c r="AC9" s="8" t="str"/>
      <x:c r="AD9" s="8" t="str"/>
      <x:c r="AE9" s="8" t="str"/>
      <x:c r="AF9" s="8" t="str">
        <x:v>用于“评估目标与可观察证据”：要求生成可重算的金融模型工作簿，同时评估数值、公式和金融格式约定。 该项为资源/文档，映射仅表示参考用途，不转为独立论文。</x:v>
      </x:c>
      <x:c r="AG9" s="8" t="str">
        <x:v>artifact</x:v>
      </x:c>
      <x:c r="AH9" s="8" t="str">
        <x:v>Financial workbook generation</x:v>
      </x:c>
      <x:c r="AI9" s="8" t="str"/>
      <x:c r="AJ9" s="8" t="str">
        <x:v>previous README / supplementary search</x:v>
      </x:c>
      <x:c r="AK9" s="13" t="d">
        <x:v>2026-10-16T00:00:00.000Z</x:v>
      </x:c>
      <x:c r="AL9" s="8" t="str">
        <x:v>官方网站基准，无已确认独立论文；测试集私有，官方称有单个公开任务。2026为已核验发布年。</x:v>
      </x:c>
      <x:c r="AM9" s="8" t="str">
        <x:v>6.1</x:v>
      </x:c>
    </x:row>
    <x:row r="10" ht="68" customHeight="1">
      <x:c r="A10" s="8" t="str">
        <x:v>WA-0257</x:v>
      </x:c>
      <x:c r="B10" s="8" t="str">
        <x:v>Harvey LAB</x:v>
      </x:c>
      <x:c r="C10" s="8" t="str">
        <x:v>Harvey Legal Agent Benchmark</x:v>
      </x:c>
      <x:c r="D10" s="9" t="n">
        <x:v>2026</x:v>
      </x:c>
      <x:c r="E10" s="8" t="str">
        <x:v>Harvey</x:v>
      </x:c>
      <x:c r="F10" s="10" t="str">
        <x:f>VLOOKUP(H10,'Taxonomy'!$A$6:$G$70,3,FALSE)</x:f>
        <x:v>评估与资源：如何检验工作完成</x:v>
      </x:c>
      <x:c r="G10" s="10" t="str">
        <x:f>VLOOKUP(H10,'Taxonomy'!$A$6:$G$70,5,FALSE)</x:f>
        <x:v>评估方法</x:v>
      </x:c>
      <x:c r="H10" s="8" t="str">
        <x:v>6.2.1</x:v>
      </x:c>
      <x:c r="I10" s="10" t="str">
        <x:f>VLOOKUP(H10,'Taxonomy'!$A$6:$G$70,6,FALSE)</x:f>
        <x:v>评估目标与可观察证据</x:v>
      </x:c>
      <x:c r="J10" s="8" t="str">
        <x:v>职业知识与专业判断;材料发现与证据定位;标准、量规与裁判</x:v>
      </x:c>
      <x:c r="K10" s="8" t="str">
        <x:v>感知与理解;推理与决策;执行与状态管理;验证、恢复与重新规划</x:v>
      </x:c>
      <x:c r="L10" s="8" t="str">
        <x:v>6.1.2 领域覆盖与工作要求</x:v>
      </x:c>
      <x:c r="M10" s="8" t="str"/>
      <x:c r="N10" s="8" t="str">
        <x:v>Product/Resource</x:v>
      </x:c>
      <x:c r="O10" s="11" t="str">
        <x:v>https://www.harvey.ai/blog/introducing-harveys-legal-agent-benchmark</x:v>
      </x:c>
      <x:c r="P10" s="8" t="str">
        <x:v>从客户案卷发现材料，生成供合伙人审阅的法律工作产物，并按全项通过标准评分。</x:v>
      </x:c>
      <x:c r="Q10" s="8" t="str"/>
      <x:c r="R10" s="8" t="str"/>
      <x:c r="S10" s="8" t="str"/>
      <x:c r="T10" s="12" t="str">
        <x:v>未分配</x:v>
      </x:c>
      <x:c r="U10" s="12" t="str"/>
      <x:c r="V10" s="12" t="str"/>
      <x:c r="W10" s="12" t="str"/>
      <x:c r="X10" s="8" t="str">
        <x:v>verified</x:v>
      </x:c>
      <x:c r="Y10" s="11" t="str">
        <x:v>https://github.com/harveyai/harvey-labs</x:v>
      </x:c>
      <x:c r="Z10" s="11" t="str"/>
      <x:c r="AA10" s="11" t="str">
        <x:v>https://www.harvey.ai/blog/introducing-harveys-legal-agent-benchmark</x:v>
      </x:c>
      <x:c r="AB10" s="11" t="str">
        <x:v>https://www.harvey.ai/blog/introducing-harveys-legal-agent-benchmark</x:v>
      </x:c>
      <x:c r="AC10" s="8" t="str"/>
      <x:c r="AD10" s="8" t="str"/>
      <x:c r="AE10" s="8" t="str"/>
      <x:c r="AF10" s="8" t="str">
        <x:v>用于“评估目标与可观察证据”：从客户案卷发现材料，生成供合伙人审阅的法律工作产物，并按全项通过标准评分。 该项为资源/文档，映射仅表示参考用途，不转为独立论文。</x:v>
      </x:c>
      <x:c r="AG10" s="8" t="str">
        <x:v>workspace</x:v>
      </x:c>
      <x:c r="AH10" s="8" t="str">
        <x:v>Client-matter legal deliverables</x:v>
      </x:c>
      <x:c r="AI10" s="8" t="str"/>
      <x:c r="AJ10" s="8" t="str">
        <x:v>previous README / supplementary search</x:v>
      </x:c>
      <x:c r="AK10" s="13" t="d">
        <x:v>2026-10-16T00:00:00.000Z</x:v>
      </x:c>
      <x:c r="AL10" s="8" t="str">
        <x:v>2026年5月发布；与2024年BigLaw Bench分开记录。官方项目资源，未确认独立论文。</x:v>
      </x:c>
      <x:c r="AM10" s="8" t="str">
        <x:v>6.1</x:v>
      </x:c>
    </x:row>
    <x:row r="11" ht="68" customHeight="1">
      <x:c r="A11" s="8" t="str">
        <x:v>WA-0265</x:v>
      </x:c>
      <x:c r="B11" s="8" t="str">
        <x:v>MedCode</x:v>
      </x:c>
      <x:c r="C11" s="8" t="str">
        <x:v>MedCode</x:v>
      </x:c>
      <x:c r="D11" s="9" t="n">
        <x:v>2026</x:v>
      </x:c>
      <x:c r="E11" s="8" t="str">
        <x:v>Vals AI; Protege</x:v>
      </x:c>
      <x:c r="F11" s="10" t="str">
        <x:f>VLOOKUP(H11,'Taxonomy'!$A$6:$G$70,3,FALSE)</x:f>
        <x:v>基础：定义、工作条件与核心能力</x:v>
      </x:c>
      <x:c r="G11" s="10" t="str">
        <x:f>VLOOKUP(H11,'Taxonomy'!$A$6:$G$70,5,FALSE)</x:f>
        <x:v>五项核心能力</x:v>
      </x:c>
      <x:c r="H11" s="8" t="str">
        <x:v>2.3.2</x:v>
      </x:c>
      <x:c r="I11" s="10" t="str">
        <x:f>VLOOKUP(H11,'Taxonomy'!$A$6:$G$70,6,FALSE)</x:f>
        <x:v>推理与决策</x:v>
      </x:c>
      <x:c r="J11" s="8" t="str">
        <x:v>职业知识与专业判断;证据整合与推理</x:v>
      </x:c>
      <x:c r="K11" s="8" t="str">
        <x:v>感知与理解;推理与决策</x:v>
      </x:c>
      <x:c r="L11" s="8" t="str">
        <x:v>6.1 基准与任务构造</x:v>
      </x:c>
      <x:c r="M11" s="8" t="str"/>
      <x:c r="N11" s="8" t="str">
        <x:v>Product/Resource</x:v>
      </x:c>
      <x:c r="O11" s="11" t="str">
        <x:v>https://www.vals.ai/benchmarks/medcode</x:v>
      </x:c>
      <x:c r="P11" s="8" t="str">
        <x:v>依据去标识化住院病历推断主次诊断代码，评价实际医疗编码能力。</x:v>
      </x:c>
      <x:c r="Q11" s="8" t="str"/>
      <x:c r="R11" s="8" t="str"/>
      <x:c r="S11" s="8" t="str"/>
      <x:c r="T11" s="12" t="str">
        <x:v>未分配</x:v>
      </x:c>
      <x:c r="U11" s="12" t="str"/>
      <x:c r="V11" s="12" t="str"/>
      <x:c r="W11" s="12" t="str"/>
      <x:c r="X11" s="8" t="str">
        <x:v>verified</x:v>
      </x:c>
      <x:c r="Y11" s="11" t="str"/>
      <x:c r="Z11" s="11" t="str"/>
      <x:c r="AA11" s="11" t="str">
        <x:v>https://www.vals.ai/benchmarks/medcode</x:v>
      </x:c>
      <x:c r="AB11" s="11" t="str">
        <x:v>https://www.vals.ai/benchmarks/medcode</x:v>
      </x:c>
      <x:c r="AC11" s="8" t="str"/>
      <x:c r="AD11" s="8" t="str"/>
      <x:c r="AE11" s="8" t="str"/>
      <x:c r="AF11" s="8" t="str">
        <x:v>用于“推理与决策”：依据去标识化住院病历推断主次诊断代码，评价实际医疗编码能力。 该项为资源/文档，映射仅表示参考用途，不转为独立论文。</x:v>
      </x:c>
      <x:c r="AG11" s="8" t="str">
        <x:v>related</x:v>
      </x:c>
      <x:c r="AH11" s="8" t="str">
        <x:v>Clinical coding</x:v>
      </x:c>
      <x:c r="AI11" s="8" t="str"/>
      <x:c r="AJ11" s="8" t="str">
        <x:v>previous README / supplementary search</x:v>
      </x:c>
      <x:c r="AK11" s="13" t="d">
        <x:v>2026-10-16T00:00:00.000Z</x:v>
      </x:c>
      <x:c r="AL11" s="8" t="str">
        <x:v>官方商业基准；未确认独立论文。2026为核验年，首发年待查。</x:v>
      </x:c>
      <x:c r="AM11" s="8" t="str">
        <x:v>6.1</x:v>
      </x:c>
    </x:row>
    <x:row r="12" ht="68" customHeight="1">
      <x:c r="A12" s="8" t="str">
        <x:v>WA-0266</x:v>
      </x:c>
      <x:c r="B12" s="8" t="str">
        <x:v>MedScribe</x:v>
      </x:c>
      <x:c r="C12" s="8" t="str">
        <x:v>MedScribe</x:v>
      </x:c>
      <x:c r="D12" s="9" t="n">
        <x:v>2026</x:v>
      </x:c>
      <x:c r="E12" s="8" t="str">
        <x:v>Vals AI; Protege</x:v>
      </x:c>
      <x:c r="F12" s="10" t="str">
        <x:f>VLOOKUP(H12,'Taxonomy'!$A$6:$G$70,3,FALSE)</x:f>
        <x:v>评估与资源：如何检验工作完成</x:v>
      </x:c>
      <x:c r="G12" s="10" t="str">
        <x:f>VLOOKUP(H12,'Taxonomy'!$A$6:$G$70,5,FALSE)</x:f>
        <x:v>评估方法</x:v>
      </x:c>
      <x:c r="H12" s="8" t="str">
        <x:v>6.2.2</x:v>
      </x:c>
      <x:c r="I12" s="10" t="str">
        <x:f>VLOOKUP(H12,'Taxonomy'!$A$6:$G$70,6,FALSE)</x:f>
        <x:v>评判程序</x:v>
      </x:c>
      <x:c r="J12" s="8" t="str">
        <x:v>职业知识与专业判断;原生工件生成与编辑;标准、量规与裁判</x:v>
      </x:c>
      <x:c r="K12" s="8" t="str">
        <x:v>感知与理解;推理与决策;执行与状态管理</x:v>
      </x:c>
      <x:c r="L12" s="8" t="str">
        <x:v>6.1 基准与任务构造</x:v>
      </x:c>
      <x:c r="M12" s="8" t="str"/>
      <x:c r="N12" s="8" t="str">
        <x:v>Product/Resource</x:v>
      </x:c>
      <x:c r="O12" s="11" t="str">
        <x:v>https://www.vals.ai/benchmarks/medscribe</x:v>
      </x:c>
      <x:c r="P12" s="8" t="str">
        <x:v>以临床会话生成SOAP记录，按专家rubric评价医疗文书质量。</x:v>
      </x:c>
      <x:c r="Q12" s="8" t="str"/>
      <x:c r="R12" s="8" t="str"/>
      <x:c r="S12" s="8" t="str"/>
      <x:c r="T12" s="12" t="str">
        <x:v>未分配</x:v>
      </x:c>
      <x:c r="U12" s="12" t="str"/>
      <x:c r="V12" s="12" t="str"/>
      <x:c r="W12" s="12" t="str"/>
      <x:c r="X12" s="8" t="str">
        <x:v>verified</x:v>
      </x:c>
      <x:c r="Y12" s="11" t="str"/>
      <x:c r="Z12" s="11" t="str"/>
      <x:c r="AA12" s="11" t="str">
        <x:v>https://www.vals.ai/benchmarks/medscribe</x:v>
      </x:c>
      <x:c r="AB12" s="11" t="str">
        <x:v>https://www.vals.ai/benchmarks/medscribe</x:v>
      </x:c>
      <x:c r="AC12" s="8" t="str"/>
      <x:c r="AD12" s="8" t="str"/>
      <x:c r="AE12" s="8" t="str"/>
      <x:c r="AF12" s="8" t="str">
        <x:v>用于“评判程序”：以临床会话生成SOAP记录，按专家rubric评价医疗文书质量。 该项为资源/文档，映射仅表示参考用途，不转为独立论文。</x:v>
      </x:c>
      <x:c r="AG12" s="8" t="str">
        <x:v>artifact</x:v>
      </x:c>
      <x:c r="AH12" s="8" t="str">
        <x:v>Clinical note generation</x:v>
      </x:c>
      <x:c r="AI12" s="8" t="str"/>
      <x:c r="AJ12" s="8" t="str">
        <x:v>previous README / supplementary search</x:v>
      </x:c>
      <x:c r="AK12" s="13" t="d">
        <x:v>2026-10-16T00:00:00.000Z</x:v>
      </x:c>
      <x:c r="AL12" s="8" t="str">
        <x:v>官方商业基准；未确认独立论文。2026为本次核验年，首次公开年份待查；不计论文。</x:v>
      </x:c>
      <x:c r="AM12" s="8" t="str">
        <x:v>6.1</x:v>
      </x:c>
    </x:row>
    <x:row r="13" ht="68" customHeight="1">
      <x:c r="A13" s="8" t="str">
        <x:v>WA-0269</x:v>
      </x:c>
      <x:c r="B13" s="8" t="str">
        <x:v>MLCR-AA</x:v>
      </x:c>
      <x:c r="C13" s="8" t="str">
        <x:v>Medical Long Context Reasoning (MLCR-AA)</x:v>
      </x:c>
      <x:c r="D13" s="9" t="n">
        <x:v>2026</x:v>
      </x:c>
      <x:c r="E13" s="8" t="str">
        <x:v>Wisedocs; Artificial Analysis</x:v>
      </x:c>
      <x:c r="F13" s="10" t="str">
        <x:f>VLOOKUP(H13,'Taxonomy'!$A$6:$G$70,3,FALSE)</x:f>
        <x:v>基础：定义、工作条件与核心能力</x:v>
      </x:c>
      <x:c r="G13" s="10" t="str">
        <x:f>VLOOKUP(H13,'Taxonomy'!$A$6:$G$70,5,FALSE)</x:f>
        <x:v>五项核心能力</x:v>
      </x:c>
      <x:c r="H13" s="8" t="str">
        <x:v>2.3.2</x:v>
      </x:c>
      <x:c r="I13" s="10" t="str">
        <x:f>VLOOKUP(H13,'Taxonomy'!$A$6:$G$70,6,FALSE)</x:f>
        <x:v>推理与决策</x:v>
      </x:c>
      <x:c r="J13" s="8" t="str">
        <x:v>职业知识与专业判断;证据整合与推理;上下文与记忆管理</x:v>
      </x:c>
      <x:c r="K13" s="8" t="str">
        <x:v>感知与理解;推理与决策;验证、恢复与重新规划</x:v>
      </x:c>
      <x:c r="L13" s="8" t="str">
        <x:v>6.1 基准与任务构造</x:v>
      </x:c>
      <x:c r="M13" s="8" t="str"/>
      <x:c r="N13" s="8" t="str">
        <x:v>Product/Resource</x:v>
      </x:c>
      <x:c r="O13" s="11" t="str">
        <x:v>https://artificialanalysis.ai/evaluations/mlcr-aa</x:v>
      </x:c>
      <x:c r="P13" s="8" t="str">
        <x:v>在长篇碎片化病历中综合时间、因果与治疗信息，以准确、完整且简洁的回答计分。</x:v>
      </x:c>
      <x:c r="Q13" s="8" t="str"/>
      <x:c r="R13" s="8" t="str"/>
      <x:c r="S13" s="8" t="str"/>
      <x:c r="T13" s="12" t="str">
        <x:v>未分配</x:v>
      </x:c>
      <x:c r="U13" s="12" t="str"/>
      <x:c r="V13" s="12" t="str"/>
      <x:c r="W13" s="12" t="str"/>
      <x:c r="X13" s="8" t="str">
        <x:v>verified</x:v>
      </x:c>
      <x:c r="Y13" s="11" t="str">
        <x:v>https://github.com/Wisedocs-AI/medical-long-context-reasoning</x:v>
      </x:c>
      <x:c r="Z13" s="11" t="str">
        <x:v>https://huggingface.co/datasets/Wisedocs/mlcr-dataset</x:v>
      </x:c>
      <x:c r="AA13" s="11" t="str">
        <x:v>https://artificialanalysis.ai/evaluations/mlcr-aa</x:v>
      </x:c>
      <x:c r="AB13" s="11" t="str">
        <x:v>https://artificialanalysis.ai/evaluations/mlcr-aa</x:v>
      </x:c>
      <x:c r="AC13" s="8" t="str"/>
      <x:c r="AD13" s="8" t="str"/>
      <x:c r="AE13" s="8" t="str"/>
      <x:c r="AF13" s="8" t="str">
        <x:v>用于“推理与决策”：在长篇碎片化病历中综合时间、因果与治疗信息，以准确、完整且简洁的回答计分。 该项为资源/文档，映射仅表示参考用途，不转为独立论文。</x:v>
      </x:c>
      <x:c r="AG13" s="8" t="str">
        <x:v>related</x:v>
      </x:c>
      <x:c r="AH13" s="8" t="str">
        <x:v>Long medical-record synthesis</x:v>
      </x:c>
      <x:c r="AI13" s="8" t="str"/>
      <x:c r="AJ13" s="8" t="str">
        <x:v>previous README / supplementary search</x:v>
      </x:c>
      <x:c r="AK13" s="13" t="d">
        <x:v>2026-10-16T00:00:00.000Z</x:v>
      </x:c>
      <x:c r="AL13" s="8" t="str">
        <x:v>MLCR-AA是AA对私有困难留出集的独立运行，不能将公开MLCR数据当作同一测试集。2026为核验年。</x:v>
      </x:c>
      <x:c r="AM13" s="8" t="str">
        <x:v>6.1</x:v>
      </x:c>
    </x:row>
    <x:row r="14" ht="68" customHeight="1">
      <x:c r="A14" s="8" t="str">
        <x:v>WA-0279</x:v>
      </x:c>
      <x:c r="B14" s="8" t="str">
        <x:v>PinchBench</x:v>
      </x:c>
      <x:c r="C14" s="8" t="str">
        <x:v>PinchBench</x:v>
      </x:c>
      <x:c r="D14" s="9" t="n">
        <x:v>2026</x:v>
      </x:c>
      <x:c r="E14" s="8" t="str">
        <x:v>Kilo</x:v>
      </x:c>
      <x:c r="F14" s="10" t="str">
        <x:f>VLOOKUP(H14,'Taxonomy'!$A$6:$G$70,3,FALSE)</x:f>
        <x:v>评估与资源：如何检验工作完成</x:v>
      </x:c>
      <x:c r="G14" s="10" t="str">
        <x:f>VLOOKUP(H14,'Taxonomy'!$A$6:$G$70,5,FALSE)</x:f>
        <x:v>基准与任务构造</x:v>
      </x:c>
      <x:c r="H14" s="8" t="str">
        <x:v>6.1.2</x:v>
      </x:c>
      <x:c r="I14" s="10" t="str">
        <x:f>VLOOKUP(H14,'Taxonomy'!$A$6:$G$70,6,FALSE)</x:f>
        <x:v>领域覆盖与工作要求</x:v>
      </x:c>
      <x:c r="J14" s="8" t="str">
        <x:v>工具、界面与应用执行;任务、环境与扰动构造</x:v>
      </x:c>
      <x:c r="K14" s="8" t="str">
        <x:v>规划与协调;执行与状态管理;验证、恢复与重新规划</x:v>
      </x:c>
      <x:c r="L14" s="8" t="str"/>
      <x:c r="M14" s="8" t="str"/>
      <x:c r="N14" s="8" t="str">
        <x:v>Product/Resource</x:v>
      </x:c>
      <x:c r="O14" s="11" t="str">
        <x:v>https://github.com/pinchbench/skill</x:v>
      </x:c>
      <x:c r="P14" s="8" t="str">
        <x:v>为OpenClaw编码代理提供任务和评分技能，评价实际工具执行。</x:v>
      </x:c>
      <x:c r="Q14" s="8" t="str"/>
      <x:c r="R14" s="8" t="str"/>
      <x:c r="S14" s="8" t="str"/>
      <x:c r="T14" s="12" t="str">
        <x:v>未分配</x:v>
      </x:c>
      <x:c r="U14" s="12" t="str"/>
      <x:c r="V14" s="12" t="str"/>
      <x:c r="W14" s="12" t="str"/>
      <x:c r="X14" s="8" t="str">
        <x:v>verified</x:v>
      </x:c>
      <x:c r="Y14" s="11" t="str">
        <x:v>https://github.com/pinchbench/skill</x:v>
      </x:c>
      <x:c r="Z14" s="11" t="str"/>
      <x:c r="AA14" s="11" t="str">
        <x:v>https://github.com/pinchbench/skill</x:v>
      </x:c>
      <x:c r="AB14" s="11" t="str">
        <x:v>https://github.com/pinchbench/skill</x:v>
      </x:c>
      <x:c r="AC14" s="8" t="str"/>
      <x:c r="AD14" s="8" t="str"/>
      <x:c r="AE14" s="8" t="str"/>
      <x:c r="AF14" s="8" t="str">
        <x:v>用于“领域覆盖与工作要求”：为OpenClaw编码代理提供任务和评分技能，评价实际工具执行。 该项为资源/文档，映射仅表示参考用途，不转为独立论文。</x:v>
      </x:c>
      <x:c r="AG14" s="8" t="str">
        <x:v>workspace</x:v>
      </x:c>
      <x:c r="AH14" s="8" t="str">
        <x:v>OpenClaw work tasks</x:v>
      </x:c>
      <x:c r="AI14" s="8" t="str"/>
      <x:c r="AJ14" s="8" t="str">
        <x:v>previous README / supplementary search</x:v>
      </x:c>
      <x:c r="AK14" s="13" t="d">
        <x:v>2026-10-16T00:00:00.000Z</x:v>
      </x:c>
      <x:c r="AL14" s="8" t="str">
        <x:v>项目资源，未确认独立研究论文；原README年份2025缺乏来源，2026为核验年。</x:v>
      </x:c>
      <x:c r="AM14" s="8" t="str">
        <x:v>6.1</x:v>
      </x:c>
    </x:row>
    <x:row r="15" ht="68" customHeight="1">
      <x:c r="A15" s="8" t="str">
        <x:v>WA-0292</x:v>
      </x:c>
      <x:c r="B15" s="8" t="str">
        <x:v>Tax Agent Bench</x:v>
      </x:c>
      <x:c r="C15" s="8" t="str">
        <x:v>Tax Agent Bench</x:v>
      </x:c>
      <x:c r="D15" s="9" t="n">
        <x:v>2026</x:v>
      </x:c>
      <x:c r="E15" s="8" t="str">
        <x:v>Vals AI</x:v>
      </x:c>
      <x:c r="F15" s="10" t="str">
        <x:f>VLOOKUP(H15,'Taxonomy'!$A$6:$G$70,3,FALSE)</x:f>
        <x:v>基础：定义、工作条件与核心能力</x:v>
      </x:c>
      <x:c r="G15" s="10" t="str">
        <x:f>VLOOKUP(H15,'Taxonomy'!$A$6:$G$70,5,FALSE)</x:f>
        <x:v>五项核心能力</x:v>
      </x:c>
      <x:c r="H15" s="8" t="str">
        <x:v>2.3.2</x:v>
      </x:c>
      <x:c r="I15" s="10" t="str">
        <x:f>VLOOKUP(H15,'Taxonomy'!$A$6:$G$70,6,FALSE)</x:f>
        <x:v>推理与决策</x:v>
      </x:c>
      <x:c r="J15" s="8" t="str">
        <x:v>职业知识与专业判断;材料发现与证据定位;对象关系、来源与依赖</x:v>
      </x:c>
      <x:c r="K15" s="8" t="str">
        <x:v>感知与理解;推理与决策;验证、恢复与重新规划</x:v>
      </x:c>
      <x:c r="L15" s="8" t="str">
        <x:v>6.1 基准与任务构造</x:v>
      </x:c>
      <x:c r="M15" s="8" t="str"/>
      <x:c r="N15" s="8" t="str">
        <x:v>Product/Resource</x:v>
      </x:c>
      <x:c r="O15" s="11" t="str">
        <x:v>https://www.vals.ai/benchmarks/tax_agent_bench</x:v>
      </x:c>
      <x:c r="P15" s="8" t="str">
        <x:v>以真实企业税务问题测试法规研究、规则应用和有来源支撑的最终答案。</x:v>
      </x:c>
      <x:c r="Q15" s="8" t="str"/>
      <x:c r="R15" s="8" t="str"/>
      <x:c r="S15" s="8" t="str"/>
      <x:c r="T15" s="12" t="str">
        <x:v>未分配</x:v>
      </x:c>
      <x:c r="U15" s="12" t="str"/>
      <x:c r="V15" s="12" t="str"/>
      <x:c r="W15" s="12" t="str"/>
      <x:c r="X15" s="8" t="str">
        <x:v>verified</x:v>
      </x:c>
      <x:c r="Y15" s="11" t="str">
        <x:v>https://github.com/vals-ai/tax-agent-bench</x:v>
      </x:c>
      <x:c r="Z15" s="11" t="str"/>
      <x:c r="AA15" s="11" t="str">
        <x:v>https://www.vals.ai/benchmarks/tax_agent_bench</x:v>
      </x:c>
      <x:c r="AB15" s="11" t="str">
        <x:v>https://www.vals.ai/benchmarks/tax_agent_bench</x:v>
      </x:c>
      <x:c r="AC15" s="8" t="str"/>
      <x:c r="AD15" s="8" t="str"/>
      <x:c r="AE15" s="8" t="str"/>
      <x:c r="AF15" s="8" t="str">
        <x:v>用于“推理与决策”：以真实企业税务问题测试法规研究、规则应用和有来源支撑的最终答案。 该项为资源/文档，映射仅表示参考用途，不转为独立论文。</x:v>
      </x:c>
      <x:c r="AG15" s="8" t="str">
        <x:v>related</x:v>
      </x:c>
      <x:c r="AH15" s="8" t="str">
        <x:v>US corporate tax research</x:v>
      </x:c>
      <x:c r="AI15" s="8" t="str"/>
      <x:c r="AJ15" s="8" t="str">
        <x:v>previous README / supplementary search</x:v>
      </x:c>
      <x:c r="AK15" s="13" t="d">
        <x:v>2026-10-16T00:00:00.000Z</x:v>
      </x:c>
      <x:c r="AL15" s="8" t="str">
        <x:v>官方商业基准；未确认独立论文。2026为本次核验年，首发年待查；只有最终答案与引用计分。</x:v>
      </x:c>
      <x:c r="AM15" s="8" t="str">
        <x:v>6.1</x:v>
      </x:c>
    </x:row>
    <x:row r="16" ht="68" customHeight="1">
      <x:c r="A16" s="8" t="str">
        <x:v>WA-0332</x:v>
      </x:c>
      <x:c r="B16" s="8" t="str">
        <x:v>We are Changing our Developer Productivity Experiment Design</x:v>
      </x:c>
      <x:c r="C16" s="8" t="str">
        <x:v>We are Changing our Developer Productivity Experiment Design</x:v>
      </x:c>
      <x:c r="D16" s="9" t="n">
        <x:v>2026</x:v>
      </x:c>
      <x:c r="E16" s="8" t="str">
        <x:v>Model Evaluation and Threat Research (METR)</x:v>
      </x:c>
      <x:c r="F16" s="10" t="str">
        <x:f>VLOOKUP(H16,'Taxonomy'!$A$6:$G$70,3,FALSE)</x:f>
        <x:v>前沿：下一代 Working Agents</x:v>
      </x:c>
      <x:c r="G16" s="10" t="str">
        <x:f>VLOOKUP(H16,'Taxonomy'!$A$6:$G$70,5,FALSE)</x:f>
        <x:v>以工作为中心的系统</x:v>
      </x:c>
      <x:c r="H16" s="8" t="str">
        <x:v>7.4.3</x:v>
      </x:c>
      <x:c r="I16" s="10" t="str">
        <x:f>VLOOKUP(H16,'Taxonomy'!$A$6:$G$70,6,FALSE)</x:f>
        <x:v>组织集成与经济价值</x:v>
      </x:c>
      <x:c r="J16" s="8" t="str">
        <x:v>组织协作与真实生产率;质量、时间成本与使用价值</x:v>
      </x:c>
      <x:c r="K16" s="8" t="str"/>
      <x:c r="L16" s="8" t="str">
        <x:v>6.3.1 任务成功与成果质量;7.3.3 质量判断与使用价值</x:v>
      </x:c>
      <x:c r="M16" s="8" t="str"/>
      <x:c r="N16" s="8" t="str">
        <x:v>Product/Resource</x:v>
      </x:c>
      <x:c r="O16" s="11" t="str">
        <x:v>https://metr.org/blog/2026-02-24-uplift-update/</x:v>
      </x:c>
      <x:c r="P16" s="8" t="str">
        <x:v>解释后续试验中的参与选择、付费变化和多agent并行对时间测量的影响。</x:v>
      </x:c>
      <x:c r="Q16" s="8" t="str">
        <x:v>ROI应以完整人机工作单位衡量，任务选择、审阅投入与并行会改变收益判断。</x:v>
      </x:c>
      <x:c r="R16" s="8" t="str">
        <x:v>官方方法更新而非独立论文；原始后续加速数不是可靠最新因果结论。</x:v>
      </x:c>
      <x:c r="S16" s="8" t="str">
        <x:v>补充</x:v>
      </x:c>
      <x:c r="T16" s="12" t="str">
        <x:v>未分配</x:v>
      </x:c>
      <x:c r="U16" s="12" t="str"/>
      <x:c r="V16" s="12" t="str"/>
      <x:c r="W16" s="12" t="str"/>
      <x:c r="X16" s="8" t="str">
        <x:v>verified</x:v>
      </x:c>
      <x:c r="Y16" s="11" t="str"/>
      <x:c r="Z16" s="11" t="str"/>
      <x:c r="AA16" s="11" t="str">
        <x:v>https://metr.org/blog/2026-02-24-uplift-update/</x:v>
      </x:c>
      <x:c r="AB16" s="11" t="str">
        <x:v>https://metr.org/blog/2026-02-24-uplift-update/</x:v>
      </x:c>
      <x:c r="AC16" s="8" t="str">
        <x:v>L074</x:v>
      </x:c>
      <x:c r="AD16" s="8" t="str">
        <x:v>本轮新增候选；官方项目。</x:v>
      </x:c>
      <x:c r="AE16" s="8" t="str">
        <x:v>第六/七章ROI；第二章只简述工作收益含义。</x:v>
      </x:c>
      <x:c r="AF16" s="8" t="str">
        <x:v>用于“组织集成与经济价值”：ROI应以完整人机工作单位衡量，任务选择、审阅投入与并行会改变收益判断。 此项为官方方法更新资源，单列资源且不计作研究论文。</x:v>
      </x:c>
      <x:c r="AG16" s="8" t="str">
        <x:v>related</x:v>
      </x:c>
      <x:c r="AH16" s="8" t="str">
        <x:v>developer productivity experiment methodology update</x:v>
      </x:c>
      <x:c r="AI16" s="8" t="str"/>
      <x:c r="AJ16" s="8" t="str">
        <x:v>2026-10-16 chapter 2 / former chapter 4 supplement</x:v>
      </x:c>
      <x:c r="AK16" s="13" t="d">
        <x:v>2026-10-16T00:00:00.000Z</x:v>
      </x:c>
      <x:c r="AL16" s="8" t="str">
        <x:v>METR 官方方法更新博客，属于 Product/Resource，不新增学术论文计数；其后续试验原始效应量受选择偏差影响。</x:v>
      </x:c>
      <x:c r="AM16" s="8" t="str"/>
    </x:row>
    <x:row r="17" ht="68" customHeight="1">
      <x:c r="A17" s="8" t="str">
        <x:v>WA-0467</x:v>
      </x:c>
      <x:c r="B17" s="8" t="str">
        <x:v>Acrobat AI Assistant</x:v>
      </x:c>
      <x:c r="C17" s="8" t="str">
        <x:v>Adobe Acrobat AI Assistant</x:v>
      </x:c>
      <x:c r="D17" s="9" t="n">
        <x:v>2024</x:v>
      </x:c>
      <x:c r="E17" s="8" t="str">
        <x:v>Adobe</x:v>
      </x:c>
      <x:c r="F17" s="21" t="str">
        <x:f>VLOOKUP(H17,'Taxonomy'!$A$6:$G$70,3,FALSE)</x:f>
        <x:v>基础：定义、工作条件与核心能力</x:v>
      </x:c>
      <x:c r="G17" s="21" t="str">
        <x:f>VLOOKUP(H17,'Taxonomy'!$A$6:$G$70,5,FALSE)</x:f>
        <x:v>相关智能体范式</x:v>
      </x:c>
      <x:c r="H17" s="8" t="str">
        <x:v>2.4.3</x:v>
      </x:c>
      <x:c r="I17" s="21" t="str">
        <x:f>VLOOKUP(H17,'Taxonomy'!$A$6:$G$70,6,FALSE)</x:f>
        <x:v>办公智能体</x:v>
      </x:c>
      <x:c r="J17" s="8" t="str">
        <x:v>范式与自主性边界;原生工件生成与编辑</x:v>
      </x:c>
      <x:c r="K17" s="8" t="str"/>
      <x:c r="L17" s="8" t="str"/>
      <x:c r="M17" s="8" t="str"/>
      <x:c r="N17" s="8" t="str">
        <x:v>Product/Resource</x:v>
      </x:c>
      <x:c r="O17" s="11" t="str">
        <x:v>https://www.adobe.com/acrobat/generative-ai-pdf.html</x:v>
      </x:c>
      <x:c r="P17" s="8" t="str">
        <x:v>文档阅读、摘要与交互的官方产品说明。</x:v>
      </x:c>
      <x:c r="Q17" s="8" t="str">
        <x:v>用于2.4.3「办公智能体」的工程、数据或部署背景。</x:v>
      </x:c>
      <x:c r="R17" s="8" t="str">
        <x:v>官方文档、项目或发布说明；不视为独立学术论文，也不把产品介绍当作可比较的性能实证。</x:v>
      </x:c>
      <x:c r="S17" s="8" t="str">
        <x:v>补充</x:v>
      </x:c>
      <x:c r="T17" s="22" t="str">
        <x:v>未分配</x:v>
      </x:c>
      <x:c r="U17" s="22" t="str"/>
      <x:c r="V17" s="22" t="str"/>
      <x:c r="W17" s="22" t="str"/>
      <x:c r="X17" s="8" t="str">
        <x:v>verified</x:v>
      </x:c>
      <x:c r="Y17" s="11" t="str"/>
      <x:c r="Z17" s="11" t="str"/>
      <x:c r="AA17" s="11" t="str">
        <x:v>https://www.adobe.com/acrobat/generative-ai-pdf.html</x:v>
      </x:c>
      <x:c r="AB17" s="11" t="str">
        <x:v>https://www.adobe.com/acrobat/generative-ai-pdf.html</x:v>
      </x:c>
      <x:c r="AC17" s="8" t="str">
        <x:v>AIO-003</x:v>
      </x:c>
      <x:c r="AD17" s="8" t="str">
        <x:v>官方页面或技术文档身份核对；非论文。</x:v>
      </x:c>
      <x:c r="AE17" s="8" t="str"/>
      <x:c r="AF17" s="8" t="str">
        <x:v>对应2.4.3「办公智能体」的工程或部署实例。</x:v>
      </x:c>
      <x:c r="AG17" s="8" t="str">
        <x:v>workspace</x:v>
      </x:c>
      <x:c r="AH17" s="8" t="str">
        <x:v>official documentation or non-paper release</x:v>
      </x:c>
      <x:c r="AI17" s="8" t="str"/>
      <x:c r="AJ17" s="8" t="str">
        <x:v>2026-10-16 AI Office survey bibliography</x:v>
      </x:c>
      <x:c r="AK17" s="13" t="d">
        <x:v>2026-10-16T00:00:00.000Z</x:v>
      </x:c>
      <x:c r="AL17" s="8" t="str">
        <x:v>来自AI Office综述的非论文引用，独立存放于Resources。年份沿用来源所引版本，网站当前内容可能已更新。</x:v>
      </x:c>
      <x:c r="AM17" s="8" t="str"/>
    </x:row>
    <x:row r="18" ht="68" customHeight="1">
      <x:c r="A18" s="8" t="str">
        <x:v>WA-0468</x:v>
      </x:c>
      <x:c r="B18" s="8" t="str">
        <x:v>Airtable Omni</x:v>
      </x:c>
      <x:c r="C18" s="8" t="str">
        <x:v>Airtable Omni: AI-Native App Builder and Assistant</x:v>
      </x:c>
      <x:c r="D18" s="9" t="n">
        <x:v>2025</x:v>
      </x:c>
      <x:c r="E18" s="8" t="str">
        <x:v>Airtable</x:v>
      </x:c>
      <x:c r="F18" s="21" t="str">
        <x:f>VLOOKUP(H18,'Taxonomy'!$A$6:$G$70,3,FALSE)</x:f>
        <x:v>基础：定义、工作条件与核心能力</x:v>
      </x:c>
      <x:c r="G18" s="21" t="str">
        <x:f>VLOOKUP(H18,'Taxonomy'!$A$6:$G$70,5,FALSE)</x:f>
        <x:v>相关智能体范式</x:v>
      </x:c>
      <x:c r="H18" s="8" t="str">
        <x:v>2.4.3</x:v>
      </x:c>
      <x:c r="I18" s="21" t="str">
        <x:f>VLOOKUP(H18,'Taxonomy'!$A$6:$G$70,6,FALSE)</x:f>
        <x:v>办公智能体</x:v>
      </x:c>
      <x:c r="J18" s="8" t="str">
        <x:v>范式与自主性边界;原生工件生成与编辑</x:v>
      </x:c>
      <x:c r="K18" s="8" t="str"/>
      <x:c r="L18" s="8" t="str"/>
      <x:c r="M18" s="8" t="str"/>
      <x:c r="N18" s="8" t="str">
        <x:v>Product/Resource</x:v>
      </x:c>
      <x:c r="O18" s="11" t="str">
        <x:v>https://www.airtable.com/newsroom/introducing-the-ai-native-airtable</x:v>
      </x:c>
      <x:c r="P18" s="8" t="str">
        <x:v>表格、数据库与应用流程中的智能体产品说明。</x:v>
      </x:c>
      <x:c r="Q18" s="8" t="str">
        <x:v>用于2.4.3「办公智能体」的工程、数据或部署背景。</x:v>
      </x:c>
      <x:c r="R18" s="8" t="str">
        <x:v>官方文档、项目或发布说明；不视为独立学术论文，也不把产品介绍当作可比较的性能实证。</x:v>
      </x:c>
      <x:c r="S18" s="8" t="str">
        <x:v>补充</x:v>
      </x:c>
      <x:c r="T18" s="22" t="str">
        <x:v>未分配</x:v>
      </x:c>
      <x:c r="U18" s="22" t="str"/>
      <x:c r="V18" s="22" t="str"/>
      <x:c r="W18" s="22" t="str"/>
      <x:c r="X18" s="8" t="str">
        <x:v>verified</x:v>
      </x:c>
      <x:c r="Y18" s="11" t="str"/>
      <x:c r="Z18" s="11" t="str"/>
      <x:c r="AA18" s="11" t="str">
        <x:v>https://www.airtable.com/newsroom/introducing-the-ai-native-airtable</x:v>
      </x:c>
      <x:c r="AB18" s="11" t="str">
        <x:v>https://www.airtable.com/newsroom/introducing-the-ai-native-airtable</x:v>
      </x:c>
      <x:c r="AC18" s="8" t="str">
        <x:v>AIO-005</x:v>
      </x:c>
      <x:c r="AD18" s="8" t="str">
        <x:v>官方页面或技术文档身份核对；非论文。</x:v>
      </x:c>
      <x:c r="AE18" s="8" t="str"/>
      <x:c r="AF18" s="8" t="str">
        <x:v>对应2.4.3「办公智能体」的工程或部署实例。</x:v>
      </x:c>
      <x:c r="AG18" s="8" t="str">
        <x:v>workspace</x:v>
      </x:c>
      <x:c r="AH18" s="8" t="str">
        <x:v>official documentation or non-paper release</x:v>
      </x:c>
      <x:c r="AI18" s="8" t="str"/>
      <x:c r="AJ18" s="8" t="str">
        <x:v>2026-10-16 AI Office survey bibliography</x:v>
      </x:c>
      <x:c r="AK18" s="13" t="d">
        <x:v>2026-10-16T00:00:00.000Z</x:v>
      </x:c>
      <x:c r="AL18" s="8" t="str">
        <x:v>来自AI Office综述的非论文引用，独立存放于Resources。年份沿用来源所引版本，网站当前内容可能已更新。</x:v>
      </x:c>
      <x:c r="AM18" s="8" t="str"/>
    </x:row>
    <x:row r="19" ht="68" customHeight="1">
      <x:c r="A19" s="8" t="str">
        <x:v>WA-0469</x:v>
      </x:c>
      <x:c r="B19" s="8" t="str">
        <x:v>Wukong</x:v>
      </x:c>
      <x:c r="C19" s="8" t="str">
        <x:v>Wukong: An AI-Native Agentic Platform for Enterprises</x:v>
      </x:c>
      <x:c r="D19" s="9" t="n">
        <x:v>2026</x:v>
      </x:c>
      <x:c r="E19" s="8" t="str">
        <x:v>Alibaba Group</x:v>
      </x:c>
      <x:c r="F19" s="21" t="str">
        <x:f>VLOOKUP(H19,'Taxonomy'!$A$6:$G$70,3,FALSE)</x:f>
        <x:v>前沿：下一代 Working Agents</x:v>
      </x:c>
      <x:c r="G19" s="21" t="str">
        <x:f>VLOOKUP(H19,'Taxonomy'!$A$6:$G$70,5,FALSE)</x:f>
        <x:v>以工作为中心的系统</x:v>
      </x:c>
      <x:c r="H19" s="8" t="str">
        <x:v>7.4.3</x:v>
      </x:c>
      <x:c r="I19" s="21" t="str">
        <x:f>VLOOKUP(H19,'Taxonomy'!$A$6:$G$70,6,FALSE)</x:f>
        <x:v>组织集成与经济价值</x:v>
      </x:c>
      <x:c r="J19" s="8" t="str">
        <x:v>组织协作与真实生产率</x:v>
      </x:c>
      <x:c r="K19" s="8" t="str"/>
      <x:c r="L19" s="8" t="str"/>
      <x:c r="M19" s="8" t="str"/>
      <x:c r="N19" s="8" t="str">
        <x:v>Product/Resource</x:v>
      </x:c>
      <x:c r="O19" s="11" t="str">
        <x:v>https://www.alibabagroup.com/en-US/document-1971078136456019968</x:v>
      </x:c>
      <x:c r="P19" s="8" t="str">
        <x:v>企业智能体、权限与技能管理的官方部署说明。</x:v>
      </x:c>
      <x:c r="Q19" s="8" t="str">
        <x:v>用于7.4.3「组织集成与经济价值」的工程、数据或部署背景。</x:v>
      </x:c>
      <x:c r="R19" s="8" t="str">
        <x:v>官方文档、项目或发布说明；不视为独立学术论文，也不把产品介绍当作可比较的性能实证。</x:v>
      </x:c>
      <x:c r="S19" s="8" t="str">
        <x:v>补充</x:v>
      </x:c>
      <x:c r="T19" s="22" t="str">
        <x:v>未分配</x:v>
      </x:c>
      <x:c r="U19" s="22" t="str"/>
      <x:c r="V19" s="22" t="str"/>
      <x:c r="W19" s="22" t="str"/>
      <x:c r="X19" s="8" t="str">
        <x:v>verified</x:v>
      </x:c>
      <x:c r="Y19" s="11" t="str"/>
      <x:c r="Z19" s="11" t="str"/>
      <x:c r="AA19" s="11" t="str">
        <x:v>https://www.alibabagroup.com/en-US/document-1971078136456019968</x:v>
      </x:c>
      <x:c r="AB19" s="11" t="str">
        <x:v>https://www.alibabagroup.com/en-US/document-1971078136456019968</x:v>
      </x:c>
      <x:c r="AC19" s="8" t="str">
        <x:v>AIO-010</x:v>
      </x:c>
      <x:c r="AD19" s="8" t="str">
        <x:v>官方页面或技术文档身份核对；非论文。</x:v>
      </x:c>
      <x:c r="AE19" s="8" t="str"/>
      <x:c r="AF19" s="8" t="str">
        <x:v>对应7.4.3「组织集成与经济价值」的工程或部署实例。</x:v>
      </x:c>
      <x:c r="AG19" s="8" t="str">
        <x:v>workspace</x:v>
      </x:c>
      <x:c r="AH19" s="8" t="str">
        <x:v>official documentation or non-paper release</x:v>
      </x:c>
      <x:c r="AI19" s="8" t="str"/>
      <x:c r="AJ19" s="8" t="str">
        <x:v>2026-10-16 AI Office survey bibliography</x:v>
      </x:c>
      <x:c r="AK19" s="13" t="d">
        <x:v>2026-10-16T00:00:00.000Z</x:v>
      </x:c>
      <x:c r="AL19" s="8" t="str">
        <x:v>来自AI Office综述的非论文引用，独立存放于Resources。年份沿用来源所引版本，网站当前内容可能已更新。本地抓取返回403，已通过浏览工具核对同一官方页面。</x:v>
      </x:c>
      <x:c r="AM19" s="8" t="str"/>
    </x:row>
    <x:row r="20" ht="68" customHeight="1">
      <x:c r="A20" s="8" t="str">
        <x:v>WA-0470</x:v>
      </x:c>
      <x:c r="B20" s="8" t="str">
        <x:v>Claude Computer Use</x:v>
      </x:c>
      <x:c r="C20" s="8" t="str">
        <x:v>Introducing Computer Use</x:v>
      </x:c>
      <x:c r="D20" s="9" t="n">
        <x:v>2024</x:v>
      </x:c>
      <x:c r="E20" s="8" t="str">
        <x:v>Anthropic</x:v>
      </x:c>
      <x:c r="F20" s="21" t="str">
        <x:f>VLOOKUP(H20,'Taxonomy'!$A$6:$G$70,3,FALSE)</x:f>
        <x:v>基础：定义、工作条件与核心能力</x:v>
      </x:c>
      <x:c r="G20" s="21" t="str">
        <x:f>VLOOKUP(H20,'Taxonomy'!$A$6:$G$70,5,FALSE)</x:f>
        <x:v>相关智能体范式</x:v>
      </x:c>
      <x:c r="H20" s="8" t="str">
        <x:v>2.4.2</x:v>
      </x:c>
      <x:c r="I20" s="21" t="str">
        <x:f>VLOOKUP(H20,'Taxonomy'!$A$6:$G$70,6,FALSE)</x:f>
        <x:v>计算机使用智能体</x:v>
      </x:c>
      <x:c r="J20" s="8" t="str">
        <x:v>工具、界面与应用执行</x:v>
      </x:c>
      <x:c r="K20" s="8" t="str"/>
      <x:c r="L20" s="8" t="str"/>
      <x:c r="M20" s="8" t="str"/>
      <x:c r="N20" s="8" t="str">
        <x:v>Product/Resource</x:v>
      </x:c>
      <x:c r="O20" s="11" t="str">
        <x:v>https://www.anthropic.com/news/3-5-models-and-computer-use/</x:v>
      </x:c>
      <x:c r="P20" s="8" t="str">
        <x:v>计算机使用接口与人工监督边界的官方发布说明。</x:v>
      </x:c>
      <x:c r="Q20" s="8" t="str">
        <x:v>用于2.4.2「计算机使用智能体」的工程、数据或部署背景。</x:v>
      </x:c>
      <x:c r="R20" s="8" t="str">
        <x:v>官方文档、项目或发布说明；不视为独立学术论文，也不把产品介绍当作可比较的性能实证。</x:v>
      </x:c>
      <x:c r="S20" s="8" t="str">
        <x:v>补充</x:v>
      </x:c>
      <x:c r="T20" s="22" t="str">
        <x:v>未分配</x:v>
      </x:c>
      <x:c r="U20" s="22" t="str"/>
      <x:c r="V20" s="22" t="str"/>
      <x:c r="W20" s="22" t="str"/>
      <x:c r="X20" s="8" t="str">
        <x:v>verified</x:v>
      </x:c>
      <x:c r="Y20" s="11" t="str"/>
      <x:c r="Z20" s="11" t="str"/>
      <x:c r="AA20" s="11" t="str">
        <x:v>https://www.anthropic.com/news/3-5-models-and-computer-use/</x:v>
      </x:c>
      <x:c r="AB20" s="11" t="str">
        <x:v>https://www.anthropic.com/news/3-5-models-and-computer-use/</x:v>
      </x:c>
      <x:c r="AC20" s="8" t="str">
        <x:v>AIO-012</x:v>
      </x:c>
      <x:c r="AD20" s="8" t="str">
        <x:v>官方页面或技术文档身份核对；非论文。</x:v>
      </x:c>
      <x:c r="AE20" s="8" t="str"/>
      <x:c r="AF20" s="8" t="str">
        <x:v>对应2.4.2「计算机使用智能体」的工程或部署实例。</x:v>
      </x:c>
      <x:c r="AG20" s="8" t="str">
        <x:v>workspace</x:v>
      </x:c>
      <x:c r="AH20" s="8" t="str">
        <x:v>official documentation or non-paper release</x:v>
      </x:c>
      <x:c r="AI20" s="8" t="str"/>
      <x:c r="AJ20" s="8" t="str">
        <x:v>2026-10-16 AI Office survey bibliography</x:v>
      </x:c>
      <x:c r="AK20" s="13" t="d">
        <x:v>2026-10-16T00:00:00.000Z</x:v>
      </x:c>
      <x:c r="AL20" s="8" t="str">
        <x:v>来自AI Office综述的非论文引用，独立存放于Resources。年份沿用来源所引版本，网站当前内容可能已更新。</x:v>
      </x:c>
      <x:c r="AM20" s="8" t="str"/>
    </x:row>
    <x:row r="21" ht="68" customHeight="1">
      <x:c r="A21" s="8" t="str">
        <x:v>WA-0471</x:v>
      </x:c>
      <x:c r="B21" s="8" t="str">
        <x:v>Model Context Protocol</x:v>
      </x:c>
      <x:c r="C21" s="8" t="str">
        <x:v>Introducing the Model Context Protocol</x:v>
      </x:c>
      <x:c r="D21" s="9" t="n">
        <x:v>2024</x:v>
      </x:c>
      <x:c r="E21" s="8" t="str">
        <x:v>Anthropic</x:v>
      </x:c>
      <x:c r="F21" s="21" t="str">
        <x:f>VLOOKUP(H21,'Taxonomy'!$A$6:$G$70,3,FALSE)</x:f>
        <x:v>优化：从工作经验到系统能力</x:v>
      </x:c>
      <x:c r="G21" s="21" t="str">
        <x:f>VLOOKUP(H21,'Taxonomy'!$A$6:$G$70,5,FALSE)</x:f>
        <x:v>运行框架优化</x:v>
      </x:c>
      <x:c r="H21" s="8" t="str">
        <x:v>5.3.1</x:v>
      </x:c>
      <x:c r="I21" s="21" t="str">
        <x:f>VLOOKUP(H21,'Taxonomy'!$A$6:$G$70,6,FALSE)</x:f>
        <x:v>接口与工具优化</x:v>
      </x:c>
      <x:c r="J21" s="8" t="str">
        <x:v>接口与观测优化</x:v>
      </x:c>
      <x:c r="K21" s="8" t="str"/>
      <x:c r="L21" s="8" t="str"/>
      <x:c r="M21" s="8" t="str"/>
      <x:c r="N21" s="8" t="str">
        <x:v>Product/Resource</x:v>
      </x:c>
      <x:c r="O21" s="11" t="str">
        <x:v>https://www.anthropic.com/news/model-context-protocol</x:v>
      </x:c>
      <x:c r="P21" s="8" t="str">
        <x:v>工具与数据连接协议，作为运行框架接口的工程实例。</x:v>
      </x:c>
      <x:c r="Q21" s="8" t="str">
        <x:v>用于5.3.1「接口与工具优化」的工程、数据或部署背景。</x:v>
      </x:c>
      <x:c r="R21" s="8" t="str">
        <x:v>官方文档、项目或发布说明；不视为独立学术论文，也不把产品介绍当作可比较的性能实证。</x:v>
      </x:c>
      <x:c r="S21" s="8" t="str">
        <x:v>补充</x:v>
      </x:c>
      <x:c r="T21" s="22" t="str">
        <x:v>未分配</x:v>
      </x:c>
      <x:c r="U21" s="22" t="str"/>
      <x:c r="V21" s="22" t="str"/>
      <x:c r="W21" s="22" t="str"/>
      <x:c r="X21" s="8" t="str">
        <x:v>verified</x:v>
      </x:c>
      <x:c r="Y21" s="11" t="str"/>
      <x:c r="Z21" s="11" t="str"/>
      <x:c r="AA21" s="11" t="str">
        <x:v>https://www.anthropic.com/news/model-context-protocol</x:v>
      </x:c>
      <x:c r="AB21" s="11" t="str">
        <x:v>https://www.anthropic.com/news/model-context-protocol</x:v>
      </x:c>
      <x:c r="AC21" s="8" t="str">
        <x:v>AIO-013</x:v>
      </x:c>
      <x:c r="AD21" s="8" t="str">
        <x:v>官方页面或技术文档身份核对；非论文。</x:v>
      </x:c>
      <x:c r="AE21" s="8" t="str"/>
      <x:c r="AF21" s="8" t="str">
        <x:v>对应5.3.1「接口与工具优化」的工程或部署实例。</x:v>
      </x:c>
      <x:c r="AG21" s="8" t="str">
        <x:v>harness</x:v>
      </x:c>
      <x:c r="AH21" s="8" t="str">
        <x:v>official documentation or non-paper release</x:v>
      </x:c>
      <x:c r="AI21" s="8" t="str"/>
      <x:c r="AJ21" s="8" t="str">
        <x:v>2026-10-16 AI Office survey bibliography</x:v>
      </x:c>
      <x:c r="AK21" s="13" t="d">
        <x:v>2026-10-16T00:00:00.000Z</x:v>
      </x:c>
      <x:c r="AL21" s="8" t="str">
        <x:v>来自AI Office综述的非论文引用，独立存放于Resources。年份沿用来源所引版本，网站当前内容可能已更新。</x:v>
      </x:c>
      <x:c r="AM21" s="8" t="str"/>
    </x:row>
    <x:row r="22" ht="68" customHeight="1">
      <x:c r="A22" s="8" t="str">
        <x:v>WA-0472</x:v>
      </x:c>
      <x:c r="B22" s="8" t="str">
        <x:v>Agent Skills</x:v>
      </x:c>
      <x:c r="C22" s="8" t="str">
        <x:v>Equipping Agents for the Real World with Agent Skills</x:v>
      </x:c>
      <x:c r="D22" s="9" t="n">
        <x:v>2025</x:v>
      </x:c>
      <x:c r="E22" s="8" t="str">
        <x:v>Anthropic</x:v>
      </x:c>
      <x:c r="F22" s="21" t="str">
        <x:f>VLOOKUP(H22,'Taxonomy'!$A$6:$G$70,3,FALSE)</x:f>
        <x:v>优化：从工作经验到系统能力</x:v>
      </x:c>
      <x:c r="G22" s="21" t="str">
        <x:f>VLOOKUP(H22,'Taxonomy'!$A$6:$G$70,5,FALSE)</x:f>
        <x:v>运行框架优化</x:v>
      </x:c>
      <x:c r="H22" s="8" t="str">
        <x:v>5.3.3</x:v>
      </x:c>
      <x:c r="I22" s="21" t="str">
        <x:f>VLOOKUP(H22,'Taxonomy'!$A$6:$G$70,6,FALSE)</x:f>
        <x:v>记忆与技能优化</x:v>
      </x:c>
      <x:c r="J22" s="8" t="str">
        <x:v>经验记忆与技能优化</x:v>
      </x:c>
      <x:c r="K22" s="8" t="str"/>
      <x:c r="L22" s="8" t="str"/>
      <x:c r="M22" s="8" t="str"/>
      <x:c r="N22" s="8" t="str">
        <x:v>Product/Resource</x:v>
      </x:c>
      <x:c r="O22" s="11" t="str">
        <x:v>https://www.anthropic.com/engineering/equipping-agents-for-the-real-world-with-agent-skills</x:v>
      </x:c>
      <x:c r="P22" s="8" t="str">
        <x:v>通过技能目录组织说明、脚本和资源的运行框架机制。</x:v>
      </x:c>
      <x:c r="Q22" s="8" t="str">
        <x:v>用于5.3.3「记忆与技能优化」的工程、数据或部署背景。</x:v>
      </x:c>
      <x:c r="R22" s="8" t="str">
        <x:v>官方文档、项目或发布说明；不视为独立学术论文，也不把产品介绍当作可比较的性能实证。</x:v>
      </x:c>
      <x:c r="S22" s="8" t="str">
        <x:v>补充</x:v>
      </x:c>
      <x:c r="T22" s="22" t="str">
        <x:v>未分配</x:v>
      </x:c>
      <x:c r="U22" s="22" t="str"/>
      <x:c r="V22" s="22" t="str"/>
      <x:c r="W22" s="22" t="str"/>
      <x:c r="X22" s="8" t="str">
        <x:v>verified</x:v>
      </x:c>
      <x:c r="Y22" s="11" t="str">
        <x:v>https://github.com/anthropics/skills</x:v>
      </x:c>
      <x:c r="Z22" s="11" t="str"/>
      <x:c r="AA22" s="11" t="str">
        <x:v>https://www.anthropic.com/engineering/equipping-agents-for-the-real-world-with-agent-skills</x:v>
      </x:c>
      <x:c r="AB22" s="11" t="str">
        <x:v>https://www.anthropic.com/engineering/equipping-agents-for-the-real-world-with-agent-skills</x:v>
      </x:c>
      <x:c r="AC22" s="8" t="str">
        <x:v>AIO-017;AIO-018</x:v>
      </x:c>
      <x:c r="AD22" s="8" t="str">
        <x:v>官方页面或技术文档身份核对；非论文。</x:v>
      </x:c>
      <x:c r="AE22" s="8" t="str"/>
      <x:c r="AF22" s="8" t="str">
        <x:v>对应5.3.3「记忆与技能优化」的工程或部署实例。</x:v>
      </x:c>
      <x:c r="AG22" s="8" t="str">
        <x:v>harness</x:v>
      </x:c>
      <x:c r="AH22" s="8" t="str">
        <x:v>official documentation or non-paper release</x:v>
      </x:c>
      <x:c r="AI22" s="8" t="str"/>
      <x:c r="AJ22" s="8" t="str">
        <x:v>2026-10-16 AI Office survey bibliography</x:v>
      </x:c>
      <x:c r="AK22" s="13" t="d">
        <x:v>2026-10-16T00:00:00.000Z</x:v>
      </x:c>
      <x:c r="AL22" s="8" t="str">
        <x:v>来自AI Office综述的非论文引用，独立存放于Resources。年份沿用来源所引版本，网站当前内容可能已更新。</x:v>
      </x:c>
      <x:c r="AM22" s="8" t="str"/>
    </x:row>
    <x:row r="23" ht="68" customHeight="1">
      <x:c r="A23" s="8" t="str">
        <x:v>WA-0473</x:v>
      </x:c>
      <x:c r="B23" s="8" t="str">
        <x:v>Claude Cowork</x:v>
      </x:c>
      <x:c r="C23" s="8" t="str">
        <x:v>Claude Cowork: Agentic AI for Knowledge Work</x:v>
      </x:c>
      <x:c r="D23" s="9" t="n">
        <x:v>2026</x:v>
      </x:c>
      <x:c r="E23" s="8" t="str">
        <x:v>Anthropic</x:v>
      </x:c>
      <x:c r="F23" s="21" t="str">
        <x:f>VLOOKUP(H23,'Taxonomy'!$A$6:$G$70,3,FALSE)</x:f>
        <x:v>基础：定义、工作条件与核心能力</x:v>
      </x:c>
      <x:c r="G23" s="21" t="str">
        <x:f>VLOOKUP(H23,'Taxonomy'!$A$6:$G$70,5,FALSE)</x:f>
        <x:v>相关智能体范式</x:v>
      </x:c>
      <x:c r="H23" s="8" t="str">
        <x:v>2.4.3</x:v>
      </x:c>
      <x:c r="I23" s="21" t="str">
        <x:f>VLOOKUP(H23,'Taxonomy'!$A$6:$G$70,6,FALSE)</x:f>
        <x:v>办公智能体</x:v>
      </x:c>
      <x:c r="J23" s="8" t="str">
        <x:v>范式与自主性边界;原生工件生成与编辑</x:v>
      </x:c>
      <x:c r="K23" s="8" t="str"/>
      <x:c r="L23" s="8" t="str"/>
      <x:c r="M23" s="8" t="str"/>
      <x:c r="N23" s="8" t="str">
        <x:v>Product/Resource</x:v>
      </x:c>
      <x:c r="O23" s="11" t="str">
        <x:v>https://www.anthropic.com/product/claude-cowork</x:v>
      </x:c>
      <x:c r="P23" s="8" t="str">
        <x:v>本地文件读写与办公任务委托的官方产品说明。</x:v>
      </x:c>
      <x:c r="Q23" s="8" t="str">
        <x:v>用于2.4.3「办公智能体」的工程、数据或部署背景。</x:v>
      </x:c>
      <x:c r="R23" s="8" t="str">
        <x:v>官方文档、项目或发布说明；不视为独立学术论文，也不把产品介绍当作可比较的性能实证。</x:v>
      </x:c>
      <x:c r="S23" s="8" t="str">
        <x:v>补充</x:v>
      </x:c>
      <x:c r="T23" s="22" t="str">
        <x:v>未分配</x:v>
      </x:c>
      <x:c r="U23" s="22" t="str"/>
      <x:c r="V23" s="22" t="str"/>
      <x:c r="W23" s="22" t="str"/>
      <x:c r="X23" s="8" t="str">
        <x:v>verified</x:v>
      </x:c>
      <x:c r="Y23" s="11" t="str"/>
      <x:c r="Z23" s="11" t="str"/>
      <x:c r="AA23" s="11" t="str">
        <x:v>https://www.anthropic.com/product/claude-cowork</x:v>
      </x:c>
      <x:c r="AB23" s="11" t="str">
        <x:v>https://www.anthropic.com/product/claude-cowork</x:v>
      </x:c>
      <x:c r="AC23" s="8" t="str">
        <x:v>AIO-019</x:v>
      </x:c>
      <x:c r="AD23" s="8" t="str">
        <x:v>官方页面或技术文档身份核对；非论文。</x:v>
      </x:c>
      <x:c r="AE23" s="8" t="str"/>
      <x:c r="AF23" s="8" t="str">
        <x:v>对应2.4.3「办公智能体」的工程或部署实例。</x:v>
      </x:c>
      <x:c r="AG23" s="8" t="str">
        <x:v>workspace</x:v>
      </x:c>
      <x:c r="AH23" s="8" t="str">
        <x:v>official documentation or non-paper release</x:v>
      </x:c>
      <x:c r="AI23" s="8" t="str"/>
      <x:c r="AJ23" s="8" t="str">
        <x:v>2026-10-16 AI Office survey bibliography</x:v>
      </x:c>
      <x:c r="AK23" s="13" t="d">
        <x:v>2026-10-16T00:00:00.000Z</x:v>
      </x:c>
      <x:c r="AL23" s="8" t="str">
        <x:v>来自AI Office综述的非论文引用，独立存放于Resources。年份沿用来源所引版本，网站当前内容可能已更新。</x:v>
      </x:c>
      <x:c r="AM23" s="8" t="str"/>
    </x:row>
    <x:row r="24" ht="68" customHeight="1">
      <x:c r="A24" s="8" t="str">
        <x:v>WA-0474</x:v>
      </x:c>
      <x:c r="B24" s="8" t="str">
        <x:v>Claude Code Workflows</x:v>
      </x:c>
      <x:c r="C24" s="8" t="str">
        <x:v>Dynamic Workflows: Orchestrate Subagents at Scale</x:v>
      </x:c>
      <x:c r="D24" s="9" t="n">
        <x:v>2026</x:v>
      </x:c>
      <x:c r="E24" s="8" t="str">
        <x:v>Anthropic</x:v>
      </x:c>
      <x:c r="F24" s="21" t="str">
        <x:f>VLOOKUP(H24,'Taxonomy'!$A$6:$G$70,3,FALSE)</x:f>
        <x:v>优化：从工作经验到系统能力</x:v>
      </x:c>
      <x:c r="G24" s="21" t="str">
        <x:f>VLOOKUP(H24,'Taxonomy'!$A$6:$G$70,5,FALSE)</x:f>
        <x:v>运行框架优化</x:v>
      </x:c>
      <x:c r="H24" s="8" t="str">
        <x:v>5.3.2</x:v>
      </x:c>
      <x:c r="I24" s="21" t="str">
        <x:f>VLOOKUP(H24,'Taxonomy'!$A$6:$G$70,6,FALSE)</x:f>
        <x:v>提示与工作流优化</x:v>
      </x:c>
      <x:c r="J24" s="8" t="str">
        <x:v>提示、流程与 harness 搜索</x:v>
      </x:c>
      <x:c r="K24" s="8" t="str"/>
      <x:c r="L24" s="8" t="str"/>
      <x:c r="M24" s="8" t="str"/>
      <x:c r="N24" s="8" t="str">
        <x:v>Product/Resource</x:v>
      </x:c>
      <x:c r="O24" s="11" t="str">
        <x:v>https://code.claude.com/docs/en/workflows</x:v>
      </x:c>
      <x:c r="P24" s="8" t="str">
        <x:v>多任务与子智能体编排的官方运行文档。</x:v>
      </x:c>
      <x:c r="Q24" s="8" t="str">
        <x:v>用于5.3.2「提示与工作流优化」的工程、数据或部署背景。</x:v>
      </x:c>
      <x:c r="R24" s="8" t="str">
        <x:v>官方文档、项目或发布说明；不视为独立学术论文，也不把产品介绍当作可比较的性能实证。</x:v>
      </x:c>
      <x:c r="S24" s="8" t="str">
        <x:v>补充</x:v>
      </x:c>
      <x:c r="T24" s="22" t="str">
        <x:v>未分配</x:v>
      </x:c>
      <x:c r="U24" s="22" t="str"/>
      <x:c r="V24" s="22" t="str"/>
      <x:c r="W24" s="22" t="str"/>
      <x:c r="X24" s="8" t="str">
        <x:v>verified</x:v>
      </x:c>
      <x:c r="Y24" s="11" t="str"/>
      <x:c r="Z24" s="11" t="str"/>
      <x:c r="AA24" s="11" t="str">
        <x:v>https://code.claude.com/docs/en/workflows</x:v>
      </x:c>
      <x:c r="AB24" s="11" t="str">
        <x:v>https://code.claude.com/docs/en/workflows</x:v>
      </x:c>
      <x:c r="AC24" s="8" t="str">
        <x:v>AIO-020</x:v>
      </x:c>
      <x:c r="AD24" s="8" t="str">
        <x:v>官方页面或技术文档身份核对；非论文。</x:v>
      </x:c>
      <x:c r="AE24" s="8" t="str"/>
      <x:c r="AF24" s="8" t="str">
        <x:v>对应5.3.2「提示与工作流优化」的工程或部署实例。</x:v>
      </x:c>
      <x:c r="AG24" s="8" t="str">
        <x:v>harness</x:v>
      </x:c>
      <x:c r="AH24" s="8" t="str">
        <x:v>official documentation or non-paper release</x:v>
      </x:c>
      <x:c r="AI24" s="8" t="str"/>
      <x:c r="AJ24" s="8" t="str">
        <x:v>2026-10-16 AI Office survey bibliography</x:v>
      </x:c>
      <x:c r="AK24" s="13" t="d">
        <x:v>2026-10-16T00:00:00.000Z</x:v>
      </x:c>
      <x:c r="AL24" s="8" t="str">
        <x:v>来自AI Office综述的非论文引用，独立存放于Resources。年份沿用来源所引版本，网站当前内容可能已更新。</x:v>
      </x:c>
      <x:c r="AM24" s="8" t="str"/>
    </x:row>
    <x:row r="25" ht="68" customHeight="1">
      <x:c r="A25" s="8" t="str">
        <x:v>WA-0475</x:v>
      </x:c>
      <x:c r="B25" s="8" t="str">
        <x:v>81k AI Interviews</x:v>
      </x:c>
      <x:c r="C25" s="8" t="str">
        <x:v>What 81,000 People Want from AI</x:v>
      </x:c>
      <x:c r="D25" s="9" t="n">
        <x:v>2026</x:v>
      </x:c>
      <x:c r="E25" s="8" t="str">
        <x:v>Anthropic</x:v>
      </x:c>
      <x:c r="F25" s="21" t="str">
        <x:f>VLOOKUP(H25,'Taxonomy'!$A$6:$G$70,3,FALSE)</x:f>
        <x:v>前沿：下一代 Working Agents</x:v>
      </x:c>
      <x:c r="G25" s="21" t="str">
        <x:f>VLOOKUP(H25,'Taxonomy'!$A$6:$G$70,5,FALSE)</x:f>
        <x:v>以工作为中心的系统</x:v>
      </x:c>
      <x:c r="H25" s="8" t="str">
        <x:v>7.4.3</x:v>
      </x:c>
      <x:c r="I25" s="21" t="str">
        <x:f>VLOOKUP(H25,'Taxonomy'!$A$6:$G$70,6,FALSE)</x:f>
        <x:v>组织集成与经济价值</x:v>
      </x:c>
      <x:c r="J25" s="8" t="str">
        <x:v>质量、时间成本与使用价值;组织协作与真实生产率</x:v>
      </x:c>
      <x:c r="K25" s="8" t="str"/>
      <x:c r="L25" s="8" t="str"/>
      <x:c r="M25" s="8" t="str"/>
      <x:c r="N25" s="8" t="str">
        <x:v>Product/Resource</x:v>
      </x:c>
      <x:c r="O25" s="11" t="str">
        <x:v>https://www.anthropic.com/features/81k-interviews</x:v>
      </x:c>
      <x:c r="P25" s="8" t="str">
        <x:v>用户访谈调查，作为需求与使用价值的补充背景。</x:v>
      </x:c>
      <x:c r="Q25" s="8" t="str">
        <x:v>用于7.4.3「组织集成与经济价值」的工程、数据或部署背景。</x:v>
      </x:c>
      <x:c r="R25" s="8" t="str">
        <x:v>官方文档、项目或发布说明；不视为独立学术论文，也不把产品介绍当作可比较的性能实证。</x:v>
      </x:c>
      <x:c r="S25" s="8" t="str">
        <x:v>补充</x:v>
      </x:c>
      <x:c r="T25" s="22" t="str">
        <x:v>未分配</x:v>
      </x:c>
      <x:c r="U25" s="22" t="str"/>
      <x:c r="V25" s="22" t="str"/>
      <x:c r="W25" s="22" t="str"/>
      <x:c r="X25" s="8" t="str">
        <x:v>verified</x:v>
      </x:c>
      <x:c r="Y25" s="11" t="str"/>
      <x:c r="Z25" s="11" t="str"/>
      <x:c r="AA25" s="11" t="str">
        <x:v>https://www.anthropic.com/features/81k-interviews</x:v>
      </x:c>
      <x:c r="AB25" s="11" t="str">
        <x:v>https://www.anthropic.com/features/81k-interviews</x:v>
      </x:c>
      <x:c r="AC25" s="8" t="str">
        <x:v>AIO-021</x:v>
      </x:c>
      <x:c r="AD25" s="8" t="str">
        <x:v>官方页面或技术文档身份核对；非论文。</x:v>
      </x:c>
      <x:c r="AE25" s="8" t="str"/>
      <x:c r="AF25" s="8" t="str">
        <x:v>对应7.4.3「组织集成与经济价值」的工程或部署实例。</x:v>
      </x:c>
      <x:c r="AG25" s="8" t="str">
        <x:v>workspace</x:v>
      </x:c>
      <x:c r="AH25" s="8" t="str">
        <x:v>official documentation or non-paper release</x:v>
      </x:c>
      <x:c r="AI25" s="8" t="str"/>
      <x:c r="AJ25" s="8" t="str">
        <x:v>2026-10-16 AI Office survey bibliography</x:v>
      </x:c>
      <x:c r="AK25" s="13" t="d">
        <x:v>2026-10-16T00:00:00.000Z</x:v>
      </x:c>
      <x:c r="AL25" s="8" t="str">
        <x:v>来自AI Office综述的非论文引用，独立存放于Resources。年份沿用来源所引版本，网站当前内容可能已更新。</x:v>
      </x:c>
      <x:c r="AM25" s="8" t="str"/>
    </x:row>
    <x:row r="26" ht="68" customHeight="1">
      <x:c r="A26" s="8" t="str">
        <x:v>WA-0476</x:v>
      </x:c>
      <x:c r="B26" s="8" t="str">
        <x:v>Claude Design</x:v>
      </x:c>
      <x:c r="C26" s="8" t="str">
        <x:v>Introducing Claude Design by Anthropic Labs</x:v>
      </x:c>
      <x:c r="D26" s="9" t="n">
        <x:v>2026</x:v>
      </x:c>
      <x:c r="E26" s="8" t="str">
        <x:v>Anthropic</x:v>
      </x:c>
      <x:c r="F26" s="21" t="str">
        <x:f>VLOOKUP(H26,'Taxonomy'!$A$6:$G$70,3,FALSE)</x:f>
        <x:v>基础：定义、工作条件与核心能力</x:v>
      </x:c>
      <x:c r="G26" s="21" t="str">
        <x:f>VLOOKUP(H26,'Taxonomy'!$A$6:$G$70,5,FALSE)</x:f>
        <x:v>相关智能体范式</x:v>
      </x:c>
      <x:c r="H26" s="8" t="str">
        <x:v>2.4.3</x:v>
      </x:c>
      <x:c r="I26" s="21" t="str">
        <x:f>VLOOKUP(H26,'Taxonomy'!$A$6:$G$70,6,FALSE)</x:f>
        <x:v>办公智能体</x:v>
      </x:c>
      <x:c r="J26" s="8" t="str">
        <x:v>范式与自主性边界;原生工件生成与编辑</x:v>
      </x:c>
      <x:c r="K26" s="8" t="str"/>
      <x:c r="L26" s="8" t="str"/>
      <x:c r="M26" s="8" t="str"/>
      <x:c r="N26" s="8" t="str">
        <x:v>Product/Resource</x:v>
      </x:c>
      <x:c r="O26" s="11" t="str">
        <x:v>https://www.anthropic.com/news/claude-design-anthropic-labs</x:v>
      </x:c>
      <x:c r="P26" s="8" t="str">
        <x:v>设计、原型与演示成果的官方产品说明。</x:v>
      </x:c>
      <x:c r="Q26" s="8" t="str">
        <x:v>用于2.4.3「办公智能体」的工程、数据或部署背景。</x:v>
      </x:c>
      <x:c r="R26" s="8" t="str">
        <x:v>官方文档、项目或发布说明；不视为独立学术论文，也不把产品介绍当作可比较的性能实证。</x:v>
      </x:c>
      <x:c r="S26" s="8" t="str">
        <x:v>补充</x:v>
      </x:c>
      <x:c r="T26" s="22" t="str">
        <x:v>未分配</x:v>
      </x:c>
      <x:c r="U26" s="22" t="str"/>
      <x:c r="V26" s="22" t="str"/>
      <x:c r="W26" s="22" t="str"/>
      <x:c r="X26" s="8" t="str">
        <x:v>verified</x:v>
      </x:c>
      <x:c r="Y26" s="11" t="str"/>
      <x:c r="Z26" s="11" t="str"/>
      <x:c r="AA26" s="11" t="str">
        <x:v>https://www.anthropic.com/news/claude-design-anthropic-labs</x:v>
      </x:c>
      <x:c r="AB26" s="11" t="str">
        <x:v>https://www.anthropic.com/news/claude-design-anthropic-labs</x:v>
      </x:c>
      <x:c r="AC26" s="8" t="str">
        <x:v>AIO-022</x:v>
      </x:c>
      <x:c r="AD26" s="8" t="str">
        <x:v>官方页面或技术文档身份核对；非论文。</x:v>
      </x:c>
      <x:c r="AE26" s="8" t="str"/>
      <x:c r="AF26" s="8" t="str">
        <x:v>对应2.4.3「办公智能体」的工程或部署实例。</x:v>
      </x:c>
      <x:c r="AG26" s="8" t="str">
        <x:v>workspace</x:v>
      </x:c>
      <x:c r="AH26" s="8" t="str">
        <x:v>official documentation or non-paper release</x:v>
      </x:c>
      <x:c r="AI26" s="8" t="str"/>
      <x:c r="AJ26" s="8" t="str">
        <x:v>2026-10-16 AI Office survey bibliography</x:v>
      </x:c>
      <x:c r="AK26" s="13" t="d">
        <x:v>2026-10-16T00:00:00.000Z</x:v>
      </x:c>
      <x:c r="AL26" s="8" t="str">
        <x:v>来自AI Office综述的非论文引用，独立存放于Resources。年份沿用来源所引版本，网站当前内容可能已更新。</x:v>
      </x:c>
      <x:c r="AM26" s="8" t="str"/>
    </x:row>
    <x:row r="27" ht="68" customHeight="1">
      <x:c r="A27" s="8" t="str">
        <x:v>WA-0477</x:v>
      </x:c>
      <x:c r="B27" s="8" t="str">
        <x:v>NotebookLM</x:v>
      </x:c>
      <x:c r="C27" s="8" t="str">
        <x:v>NotebookLM: AI-Powered Research and Note-Taking</x:v>
      </x:c>
      <x:c r="D27" s="9" t="n">
        <x:v>2023</x:v>
      </x:c>
      <x:c r="E27" s="8" t="str">
        <x:v>Google</x:v>
      </x:c>
      <x:c r="F27" s="21" t="str">
        <x:f>VLOOKUP(H27,'Taxonomy'!$A$6:$G$70,3,FALSE)</x:f>
        <x:v>基础：定义、工作条件与核心能力</x:v>
      </x:c>
      <x:c r="G27" s="21" t="str">
        <x:f>VLOOKUP(H27,'Taxonomy'!$A$6:$G$70,5,FALSE)</x:f>
        <x:v>相关智能体范式</x:v>
      </x:c>
      <x:c r="H27" s="8" t="str">
        <x:v>2.4.3</x:v>
      </x:c>
      <x:c r="I27" s="21" t="str">
        <x:f>VLOOKUP(H27,'Taxonomy'!$A$6:$G$70,6,FALSE)</x:f>
        <x:v>办公智能体</x:v>
      </x:c>
      <x:c r="J27" s="8" t="str">
        <x:v>范式与自主性边界;原生工件生成与编辑</x:v>
      </x:c>
      <x:c r="K27" s="8" t="str"/>
      <x:c r="L27" s="8" t="str"/>
      <x:c r="M27" s="8" t="str"/>
      <x:c r="N27" s="8" t="str">
        <x:v>Product/Resource</x:v>
      </x:c>
      <x:c r="O27" s="11" t="str">
        <x:v>https://notebooklm.google.com/</x:v>
      </x:c>
      <x:c r="P27" s="8" t="str">
        <x:v>基于用户材料的检索、综合与笔记工作界面。</x:v>
      </x:c>
      <x:c r="Q27" s="8" t="str">
        <x:v>用于2.4.3「办公智能体」的工程、数据或部署背景。</x:v>
      </x:c>
      <x:c r="R27" s="8" t="str">
        <x:v>官方文档、项目或发布说明；不视为独立学术论文，也不把产品介绍当作可比较的性能实证。</x:v>
      </x:c>
      <x:c r="S27" s="8" t="str">
        <x:v>补充</x:v>
      </x:c>
      <x:c r="T27" s="22" t="str">
        <x:v>未分配</x:v>
      </x:c>
      <x:c r="U27" s="22" t="str"/>
      <x:c r="V27" s="22" t="str"/>
      <x:c r="W27" s="22" t="str"/>
      <x:c r="X27" s="8" t="str">
        <x:v>verified</x:v>
      </x:c>
      <x:c r="Y27" s="11" t="str"/>
      <x:c r="Z27" s="11" t="str"/>
      <x:c r="AA27" s="11" t="str">
        <x:v>https://notebooklm.google.com/</x:v>
      </x:c>
      <x:c r="AB27" s="11" t="str">
        <x:v>https://notebooklm.google.com/</x:v>
      </x:c>
      <x:c r="AC27" s="8" t="str">
        <x:v>AIO-080</x:v>
      </x:c>
      <x:c r="AD27" s="8" t="str">
        <x:v>官方页面或技术文档身份核对；非论文。</x:v>
      </x:c>
      <x:c r="AE27" s="8" t="str"/>
      <x:c r="AF27" s="8" t="str">
        <x:v>对应2.4.3「办公智能体」的工程或部署实例。</x:v>
      </x:c>
      <x:c r="AG27" s="8" t="str">
        <x:v>workspace</x:v>
      </x:c>
      <x:c r="AH27" s="8" t="str">
        <x:v>official documentation or non-paper release</x:v>
      </x:c>
      <x:c r="AI27" s="8" t="str"/>
      <x:c r="AJ27" s="8" t="str">
        <x:v>2026-10-16 AI Office survey bibliography</x:v>
      </x:c>
      <x:c r="AK27" s="13" t="d">
        <x:v>2026-10-16T00:00:00.000Z</x:v>
      </x:c>
      <x:c r="AL27" s="8" t="str">
        <x:v>来自AI Office综述的非论文引用，独立存放于Resources。年份沿用来源所引版本，网站当前内容可能已更新。</x:v>
      </x:c>
      <x:c r="AM27" s="8" t="str"/>
    </x:row>
    <x:row r="28" ht="68" customHeight="1">
      <x:c r="A28" s="8" t="str">
        <x:v>WA-0478</x:v>
      </x:c>
      <x:c r="B28" s="8" t="str">
        <x:v>Agent2Agent Protocol</x:v>
      </x:c>
      <x:c r="C28" s="8" t="str">
        <x:v>Announcing the Agent2Agent Protocol (A2A)</x:v>
      </x:c>
      <x:c r="D28" s="9" t="n">
        <x:v>2025</x:v>
      </x:c>
      <x:c r="E28" s="8" t="str">
        <x:v>Google</x:v>
      </x:c>
      <x:c r="F28" s="21" t="str">
        <x:f>VLOOKUP(H28,'Taxonomy'!$A$6:$G$70,3,FALSE)</x:f>
        <x:v>优化：从工作经验到系统能力</x:v>
      </x:c>
      <x:c r="G28" s="21" t="str">
        <x:f>VLOOKUP(H28,'Taxonomy'!$A$6:$G$70,5,FALSE)</x:f>
        <x:v>运行框架优化</x:v>
      </x:c>
      <x:c r="H28" s="8" t="str">
        <x:v>5.3.1</x:v>
      </x:c>
      <x:c r="I28" s="21" t="str">
        <x:f>VLOOKUP(H28,'Taxonomy'!$A$6:$G$70,6,FALSE)</x:f>
        <x:v>接口与工具优化</x:v>
      </x:c>
      <x:c r="J28" s="8" t="str">
        <x:v>接口与观测优化</x:v>
      </x:c>
      <x:c r="K28" s="8" t="str"/>
      <x:c r="L28" s="8" t="str"/>
      <x:c r="M28" s="8" t="str"/>
      <x:c r="N28" s="8" t="str">
        <x:v>Product/Resource</x:v>
      </x:c>
      <x:c r="O28" s="11" t="str">
        <x:v>https://developers.googleblog.com/en/a2a-a-new-era-of-agent-interoperability/</x:v>
      </x:c>
      <x:c r="P28" s="8" t="str">
        <x:v>智能体间通信与互操作的工程协议。</x:v>
      </x:c>
      <x:c r="Q28" s="8" t="str">
        <x:v>用于5.3.1「接口与工具优化」的工程、数据或部署背景。</x:v>
      </x:c>
      <x:c r="R28" s="8" t="str">
        <x:v>官方文档、项目或发布说明；不视为独立学术论文，也不把产品介绍当作可比较的性能实证。</x:v>
      </x:c>
      <x:c r="S28" s="8" t="str">
        <x:v>补充</x:v>
      </x:c>
      <x:c r="T28" s="22" t="str">
        <x:v>未分配</x:v>
      </x:c>
      <x:c r="U28" s="22" t="str"/>
      <x:c r="V28" s="22" t="str"/>
      <x:c r="W28" s="22" t="str"/>
      <x:c r="X28" s="8" t="str">
        <x:v>verified</x:v>
      </x:c>
      <x:c r="Y28" s="11" t="str"/>
      <x:c r="Z28" s="11" t="str"/>
      <x:c r="AA28" s="11" t="str">
        <x:v>https://developers.googleblog.com/en/a2a-a-new-era-of-agent-interoperability/</x:v>
      </x:c>
      <x:c r="AB28" s="11" t="str">
        <x:v>https://developers.googleblog.com/en/a2a-a-new-era-of-agent-interoperability/</x:v>
      </x:c>
      <x:c r="AC28" s="8" t="str">
        <x:v>AIO-083</x:v>
      </x:c>
      <x:c r="AD28" s="8" t="str">
        <x:v>官方页面或技术文档身份核对；非论文。</x:v>
      </x:c>
      <x:c r="AE28" s="8" t="str"/>
      <x:c r="AF28" s="8" t="str">
        <x:v>对应5.3.1「接口与工具优化」的工程或部署实例。</x:v>
      </x:c>
      <x:c r="AG28" s="8" t="str">
        <x:v>harness</x:v>
      </x:c>
      <x:c r="AH28" s="8" t="str">
        <x:v>official documentation or non-paper release</x:v>
      </x:c>
      <x:c r="AI28" s="8" t="str"/>
      <x:c r="AJ28" s="8" t="str">
        <x:v>2026-10-16 AI Office survey bibliography</x:v>
      </x:c>
      <x:c r="AK28" s="13" t="d">
        <x:v>2026-10-16T00:00:00.000Z</x:v>
      </x:c>
      <x:c r="AL28" s="8" t="str">
        <x:v>来自AI Office综述的非论文引用，独立存放于Resources。年份沿用来源所引版本，网站当前内容可能已更新。</x:v>
      </x:c>
      <x:c r="AM28" s="8" t="str"/>
    </x:row>
    <x:row r="29" ht="68" customHeight="1">
      <x:c r="A29" s="8" t="str">
        <x:v>WA-0479</x:v>
      </x:c>
      <x:c r="B29" s="8" t="str">
        <x:v>Google Workspace Studio</x:v>
      </x:c>
      <x:c r="C29" s="8" t="str">
        <x:v>Google Workspace Studio: Agents for Everyday Work</x:v>
      </x:c>
      <x:c r="D29" s="9" t="n">
        <x:v>2025</x:v>
      </x:c>
      <x:c r="E29" s="8" t="str">
        <x:v>Google</x:v>
      </x:c>
      <x:c r="F29" s="21" t="str">
        <x:f>VLOOKUP(H29,'Taxonomy'!$A$6:$G$70,3,FALSE)</x:f>
        <x:v>前沿：下一代 Working Agents</x:v>
      </x:c>
      <x:c r="G29" s="21" t="str">
        <x:f>VLOOKUP(H29,'Taxonomy'!$A$6:$G$70,5,FALSE)</x:f>
        <x:v>以工作为中心的系统</x:v>
      </x:c>
      <x:c r="H29" s="8" t="str">
        <x:v>7.4.3</x:v>
      </x:c>
      <x:c r="I29" s="21" t="str">
        <x:f>VLOOKUP(H29,'Taxonomy'!$A$6:$G$70,6,FALSE)</x:f>
        <x:v>组织集成与经济价值</x:v>
      </x:c>
      <x:c r="J29" s="8" t="str">
        <x:v>组织协作与真实生产率</x:v>
      </x:c>
      <x:c r="K29" s="8" t="str"/>
      <x:c r="L29" s="8" t="str"/>
      <x:c r="M29" s="8" t="str"/>
      <x:c r="N29" s="8" t="str">
        <x:v>Product/Resource</x:v>
      </x:c>
      <x:c r="O29" s="11" t="str">
        <x:v>https://workspace.google.com/blog/product-announcements/introducing-google-workspace-studio-agents-for-everyday-work</x:v>
      </x:c>
      <x:c r="P29" s="8" t="str">
        <x:v>工作应用中的智能体流程搭建与部署说明。</x:v>
      </x:c>
      <x:c r="Q29" s="8" t="str">
        <x:v>用于7.4.3「组织集成与经济价值」的工程、数据或部署背景。</x:v>
      </x:c>
      <x:c r="R29" s="8" t="str">
        <x:v>官方文档、项目或发布说明；不视为独立学术论文，也不把产品介绍当作可比较的性能实证。</x:v>
      </x:c>
      <x:c r="S29" s="8" t="str">
        <x:v>补充</x:v>
      </x:c>
      <x:c r="T29" s="22" t="str">
        <x:v>未分配</x:v>
      </x:c>
      <x:c r="U29" s="22" t="str"/>
      <x:c r="V29" s="22" t="str"/>
      <x:c r="W29" s="22" t="str"/>
      <x:c r="X29" s="8" t="str">
        <x:v>verified</x:v>
      </x:c>
      <x:c r="Y29" s="11" t="str"/>
      <x:c r="Z29" s="11" t="str"/>
      <x:c r="AA29" s="11" t="str">
        <x:v>https://workspace.google.com/blog/product-announcements/introducing-google-workspace-studio-agents-for-everyday-work</x:v>
      </x:c>
      <x:c r="AB29" s="11" t="str">
        <x:v>https://workspace.google.com/blog/product-announcements/introducing-google-workspace-studio-agents-for-everyday-work</x:v>
      </x:c>
      <x:c r="AC29" s="8" t="str">
        <x:v>AIO-085</x:v>
      </x:c>
      <x:c r="AD29" s="8" t="str">
        <x:v>官方页面或技术文档身份核对；非论文。</x:v>
      </x:c>
      <x:c r="AE29" s="8" t="str"/>
      <x:c r="AF29" s="8" t="str">
        <x:v>对应7.4.3「组织集成与经济价值」的工程或部署实例。</x:v>
      </x:c>
      <x:c r="AG29" s="8" t="str">
        <x:v>workspace</x:v>
      </x:c>
      <x:c r="AH29" s="8" t="str">
        <x:v>official documentation or non-paper release</x:v>
      </x:c>
      <x:c r="AI29" s="8" t="str"/>
      <x:c r="AJ29" s="8" t="str">
        <x:v>2026-10-16 AI Office survey bibliography</x:v>
      </x:c>
      <x:c r="AK29" s="13" t="d">
        <x:v>2026-10-16T00:00:00.000Z</x:v>
      </x:c>
      <x:c r="AL29" s="8" t="str">
        <x:v>来自AI Office综述的非论文引用，独立存放于Resources。年份沿用来源所引版本，网站当前内容可能已更新。</x:v>
      </x:c>
      <x:c r="AM29" s="8" t="str"/>
    </x:row>
    <x:row r="30" ht="68" customHeight="1">
      <x:c r="A30" s="8" t="str">
        <x:v>WA-0480</x:v>
      </x:c>
      <x:c r="B30" s="8" t="str">
        <x:v>Ralph Wiggum Loop</x:v>
      </x:c>
      <x:c r="C30" s="8" t="str">
        <x:v>The Ralph Wiggum Technique</x:v>
      </x:c>
      <x:c r="D30" s="9" t="n">
        <x:v>2025</x:v>
      </x:c>
      <x:c r="E30" s="8" t="str">
        <x:v>Geoffrey Huntley</x:v>
      </x:c>
      <x:c r="F30" s="21" t="str">
        <x:f>VLOOKUP(H30,'Taxonomy'!$A$6:$G$70,3,FALSE)</x:f>
        <x:v>优化：从工作经验到系统能力</x:v>
      </x:c>
      <x:c r="G30" s="21" t="str">
        <x:f>VLOOKUP(H30,'Taxonomy'!$A$6:$G$70,5,FALSE)</x:f>
        <x:v>运行框架优化</x:v>
      </x:c>
      <x:c r="H30" s="8" t="str">
        <x:v>5.3.2</x:v>
      </x:c>
      <x:c r="I30" s="21" t="str">
        <x:f>VLOOKUP(H30,'Taxonomy'!$A$6:$G$70,6,FALSE)</x:f>
        <x:v>提示与工作流优化</x:v>
      </x:c>
      <x:c r="J30" s="8" t="str">
        <x:v>提示、流程与 harness 搜索</x:v>
      </x:c>
      <x:c r="K30" s="8" t="str"/>
      <x:c r="L30" s="8" t="str"/>
      <x:c r="M30" s="8" t="str"/>
      <x:c r="N30" s="8" t="str">
        <x:v>Product/Resource</x:v>
      </x:c>
      <x:c r="O30" s="11" t="str">
        <x:v>https://github.com/ghuntley/how-to-ralph-wiggum</x:v>
      </x:c>
      <x:c r="P30" s="8" t="str">
        <x:v>循环执行的实践示例，用于讨论停止条件与失败检测。</x:v>
      </x:c>
      <x:c r="Q30" s="8" t="str">
        <x:v>用于5.3.2「提示与工作流优化」的工程、数据或部署背景。</x:v>
      </x:c>
      <x:c r="R30" s="8" t="str">
        <x:v>官方文档、项目或发布说明；不视为独立学术论文，也不把产品介绍当作可比较的性能实证。</x:v>
      </x:c>
      <x:c r="S30" s="8" t="str">
        <x:v>补充</x:v>
      </x:c>
      <x:c r="T30" s="22" t="str">
        <x:v>未分配</x:v>
      </x:c>
      <x:c r="U30" s="22" t="str"/>
      <x:c r="V30" s="22" t="str"/>
      <x:c r="W30" s="22" t="str"/>
      <x:c r="X30" s="8" t="str">
        <x:v>verified</x:v>
      </x:c>
      <x:c r="Y30" s="11" t="str"/>
      <x:c r="Z30" s="11" t="str"/>
      <x:c r="AA30" s="11" t="str">
        <x:v>https://github.com/ghuntley/how-to-ralph-wiggum</x:v>
      </x:c>
      <x:c r="AB30" s="11" t="str">
        <x:v>https://github.com/ghuntley/how-to-ralph-wiggum</x:v>
      </x:c>
      <x:c r="AC30" s="8" t="str">
        <x:v>AIO-103</x:v>
      </x:c>
      <x:c r="AD30" s="8" t="str">
        <x:v>官方页面或技术文档身份核对；非论文。</x:v>
      </x:c>
      <x:c r="AE30" s="8" t="str"/>
      <x:c r="AF30" s="8" t="str">
        <x:v>对应5.3.2「提示与工作流优化」的工程或部署实例。</x:v>
      </x:c>
      <x:c r="AG30" s="8" t="str">
        <x:v>harness</x:v>
      </x:c>
      <x:c r="AH30" s="8" t="str">
        <x:v>official documentation or non-paper release</x:v>
      </x:c>
      <x:c r="AI30" s="8" t="str"/>
      <x:c r="AJ30" s="8" t="str">
        <x:v>2026-10-16 AI Office survey bibliography</x:v>
      </x:c>
      <x:c r="AK30" s="13" t="d">
        <x:v>2026-10-16T00:00:00.000Z</x:v>
      </x:c>
      <x:c r="AL30" s="8" t="str">
        <x:v>来自AI Office综述的非论文引用，独立存放于Resources。年份沿用来源所引版本，网站当前内容可能已更新。</x:v>
      </x:c>
      <x:c r="AM30" s="8" t="str"/>
    </x:row>
    <x:row r="31" ht="68" customHeight="1">
      <x:c r="A31" s="8" t="str">
        <x:v>WA-0481</x:v>
      </x:c>
      <x:c r="B31" s="8" t="str">
        <x:v>SpreadsheetBench v2 Dataset</x:v>
      </x:c>
      <x:c r="C31" s="8" t="str">
        <x:v>SpreadsheetBench v2: Business Spreadsheet Workflows</x:v>
      </x:c>
      <x:c r="D31" s="9" t="n">
        <x:v>2026</x:v>
      </x:c>
      <x:c r="E31" s="8" t="str">
        <x:v>KAKA22 / SpreadsheetBench project</x:v>
      </x:c>
      <x:c r="F31" s="21" t="str">
        <x:f>VLOOKUP(H31,'Taxonomy'!$A$6:$G$70,3,FALSE)</x:f>
        <x:v>评估与资源：如何检验工作完成</x:v>
      </x:c>
      <x:c r="G31" s="21" t="str">
        <x:f>VLOOKUP(H31,'Taxonomy'!$A$6:$G$70,5,FALSE)</x:f>
        <x:v>基准与任务构造</x:v>
      </x:c>
      <x:c r="H31" s="8" t="str">
        <x:v>6.1.2</x:v>
      </x:c>
      <x:c r="I31" s="21" t="str">
        <x:f>VLOOKUP(H31,'Taxonomy'!$A$6:$G$70,6,FALSE)</x:f>
        <x:v>领域覆盖与工作要求</x:v>
      </x:c>
      <x:c r="J31" s="8" t="str">
        <x:v>任务覆盖与泛化边界;答案、产物、状态与过程证据</x:v>
      </x:c>
      <x:c r="K31" s="8" t="str"/>
      <x:c r="L31" s="8" t="str"/>
      <x:c r="M31" s="8" t="str"/>
      <x:c r="N31" s="8" t="str">
        <x:v>Product/Resource</x:v>
      </x:c>
      <x:c r="O31" s="11" t="str">
        <x:v>https://huggingface.co/datasets/KAKA22/SpreadsheetBench-v2</x:v>
      </x:c>
      <x:c r="P31" s="8" t="str">
        <x:v>独立数据集发布；没有确认对应新论文，不另计学术论文。</x:v>
      </x:c>
      <x:c r="Q31" s="8" t="str">
        <x:v>用于6.1.2「领域覆盖与工作要求」的工程、数据或部署背景。</x:v>
      </x:c>
      <x:c r="R31" s="8" t="str">
        <x:v>官方文档、项目或发布说明；不视为独立学术论文，也不把产品介绍当作可比较的性能实证。</x:v>
      </x:c>
      <x:c r="S31" s="8" t="str">
        <x:v>补充</x:v>
      </x:c>
      <x:c r="T31" s="22" t="str">
        <x:v>未分配</x:v>
      </x:c>
      <x:c r="U31" s="22" t="str"/>
      <x:c r="V31" s="22" t="str"/>
      <x:c r="W31" s="22" t="str"/>
      <x:c r="X31" s="8" t="str">
        <x:v>verified</x:v>
      </x:c>
      <x:c r="Y31" s="11" t="str"/>
      <x:c r="Z31" s="11" t="str">
        <x:v>https://huggingface.co/datasets/KAKA22/SpreadsheetBench-v2</x:v>
      </x:c>
      <x:c r="AA31" s="11" t="str">
        <x:v>https://huggingface.co/datasets/KAKA22/SpreadsheetBench-v2</x:v>
      </x:c>
      <x:c r="AB31" s="11" t="str">
        <x:v>https://huggingface.co/datasets/KAKA22/SpreadsheetBench-v2</x:v>
      </x:c>
      <x:c r="AC31" s="8" t="str">
        <x:v>AIO-146</x:v>
      </x:c>
      <x:c r="AD31" s="8" t="str">
        <x:v>官方页面或技术文档身份核对；非论文。</x:v>
      </x:c>
      <x:c r="AE31" s="8" t="str"/>
      <x:c r="AF31" s="8" t="str">
        <x:v>对应6.1.2「领域覆盖与工作要求」的工程或部署实例。</x:v>
      </x:c>
      <x:c r="AG31" s="8" t="str">
        <x:v>workspace</x:v>
      </x:c>
      <x:c r="AH31" s="8" t="str">
        <x:v>official documentation or non-paper release</x:v>
      </x:c>
      <x:c r="AI31" s="8" t="str"/>
      <x:c r="AJ31" s="8" t="str">
        <x:v>2026-10-16 AI Office survey bibliography</x:v>
      </x:c>
      <x:c r="AK31" s="13" t="d">
        <x:v>2026-10-16T00:00:00.000Z</x:v>
      </x:c>
      <x:c r="AL31" s="8" t="str">
        <x:v>来自AI Office综述的非论文引用，独立存放于Resources。年份沿用来源所引版本，网站当前内容可能已更新。</x:v>
      </x:c>
      <x:c r="AM31" s="8" t="str"/>
    </x:row>
    <x:row r="32" ht="68" customHeight="1">
      <x:c r="A32" s="8" t="str">
        <x:v>WA-0482</x:v>
      </x:c>
      <x:c r="B32" s="8" t="str">
        <x:v>Power BI Copilot</x:v>
      </x:c>
      <x:c r="C32" s="8" t="str">
        <x:v>Copilot for Power BI Overview</x:v>
      </x:c>
      <x:c r="D32" s="9" t="n">
        <x:v>2024</x:v>
      </x:c>
      <x:c r="E32" s="8" t="str">
        <x:v>Microsoft</x:v>
      </x:c>
      <x:c r="F32" s="21" t="str">
        <x:f>VLOOKUP(H32,'Taxonomy'!$A$6:$G$70,3,FALSE)</x:f>
        <x:v>基础：定义、工作条件与核心能力</x:v>
      </x:c>
      <x:c r="G32" s="21" t="str">
        <x:f>VLOOKUP(H32,'Taxonomy'!$A$6:$G$70,5,FALSE)</x:f>
        <x:v>相关智能体范式</x:v>
      </x:c>
      <x:c r="H32" s="8" t="str">
        <x:v>2.4.3</x:v>
      </x:c>
      <x:c r="I32" s="21" t="str">
        <x:f>VLOOKUP(H32,'Taxonomy'!$A$6:$G$70,6,FALSE)</x:f>
        <x:v>办公智能体</x:v>
      </x:c>
      <x:c r="J32" s="8" t="str">
        <x:v>范式与自主性边界;原生工件生成与编辑</x:v>
      </x:c>
      <x:c r="K32" s="8" t="str"/>
      <x:c r="L32" s="8" t="str"/>
      <x:c r="M32" s="8" t="str"/>
      <x:c r="N32" s="8" t="str">
        <x:v>Product/Resource</x:v>
      </x:c>
      <x:c r="O32" s="11" t="str">
        <x:v>https://learn.microsoft.com/en-us/power-bi/create-reports/copilot-introduction</x:v>
      </x:c>
      <x:c r="P32" s="8" t="str">
        <x:v>商业分析应用中的数据与报告助手官方说明。</x:v>
      </x:c>
      <x:c r="Q32" s="8" t="str">
        <x:v>用于2.4.3「办公智能体」的工程、数据或部署背景。</x:v>
      </x:c>
      <x:c r="R32" s="8" t="str">
        <x:v>官方文档、项目或发布说明；不视为独立学术论文，也不把产品介绍当作可比较的性能实证。</x:v>
      </x:c>
      <x:c r="S32" s="8" t="str">
        <x:v>补充</x:v>
      </x:c>
      <x:c r="T32" s="22" t="str">
        <x:v>未分配</x:v>
      </x:c>
      <x:c r="U32" s="22" t="str"/>
      <x:c r="V32" s="22" t="str"/>
      <x:c r="W32" s="22" t="str"/>
      <x:c r="X32" s="8" t="str">
        <x:v>verified</x:v>
      </x:c>
      <x:c r="Y32" s="11" t="str"/>
      <x:c r="Z32" s="11" t="str"/>
      <x:c r="AA32" s="11" t="str">
        <x:v>https://learn.microsoft.com/en-us/power-bi/create-reports/copilot-introduction</x:v>
      </x:c>
      <x:c r="AB32" s="11" t="str">
        <x:v>https://learn.microsoft.com/en-us/power-bi/create-reports/copilot-introduction</x:v>
      </x:c>
      <x:c r="AC32" s="8" t="str">
        <x:v>AIO-153</x:v>
      </x:c>
      <x:c r="AD32" s="8" t="str">
        <x:v>官方页面或技术文档身份核对；非论文。</x:v>
      </x:c>
      <x:c r="AE32" s="8" t="str"/>
      <x:c r="AF32" s="8" t="str">
        <x:v>对应2.4.3「办公智能体」的工程或部署实例。</x:v>
      </x:c>
      <x:c r="AG32" s="8" t="str">
        <x:v>workspace</x:v>
      </x:c>
      <x:c r="AH32" s="8" t="str">
        <x:v>official documentation or non-paper release</x:v>
      </x:c>
      <x:c r="AI32" s="8" t="str"/>
      <x:c r="AJ32" s="8" t="str">
        <x:v>2026-10-16 AI Office survey bibliography</x:v>
      </x:c>
      <x:c r="AK32" s="13" t="d">
        <x:v>2026-10-16T00:00:00.000Z</x:v>
      </x:c>
      <x:c r="AL32" s="8" t="str">
        <x:v>来自AI Office综述的非论文引用，独立存放于Resources。年份沿用来源所引版本，网站当前内容可能已更新。</x:v>
      </x:c>
      <x:c r="AM32" s="8" t="str"/>
    </x:row>
    <x:row r="33" ht="68" customHeight="1">
      <x:c r="A33" s="8" t="str">
        <x:v>WA-0483</x:v>
      </x:c>
      <x:c r="B33" s="8" t="str">
        <x:v>Copilot in Excel</x:v>
      </x:c>
      <x:c r="C33" s="8" t="str">
        <x:v>Copilot in Excel</x:v>
      </x:c>
      <x:c r="D33" s="9" t="n">
        <x:v>2025</x:v>
      </x:c>
      <x:c r="E33" s="8" t="str">
        <x:v>Microsoft</x:v>
      </x:c>
      <x:c r="F33" s="21" t="str">
        <x:f>VLOOKUP(H33,'Taxonomy'!$A$6:$G$70,3,FALSE)</x:f>
        <x:v>基础：定义、工作条件与核心能力</x:v>
      </x:c>
      <x:c r="G33" s="21" t="str">
        <x:f>VLOOKUP(H33,'Taxonomy'!$A$6:$G$70,5,FALSE)</x:f>
        <x:v>相关智能体范式</x:v>
      </x:c>
      <x:c r="H33" s="8" t="str">
        <x:v>2.4.3</x:v>
      </x:c>
      <x:c r="I33" s="21" t="str">
        <x:f>VLOOKUP(H33,'Taxonomy'!$A$6:$G$70,6,FALSE)</x:f>
        <x:v>办公智能体</x:v>
      </x:c>
      <x:c r="J33" s="8" t="str">
        <x:v>范式与自主性边界;原生工件生成与编辑</x:v>
      </x:c>
      <x:c r="K33" s="8" t="str"/>
      <x:c r="L33" s="8" t="str"/>
      <x:c r="M33" s="8" t="str"/>
      <x:c r="N33" s="8" t="str">
        <x:v>Product/Resource</x:v>
      </x:c>
      <x:c r="O33" s="11" t="str">
        <x:v>https://support.microsoft.com/en-us/copilot-excel</x:v>
      </x:c>
      <x:c r="P33" s="8" t="str">
        <x:v>电子表格原生对象与公式操作的官方产品说明。</x:v>
      </x:c>
      <x:c r="Q33" s="8" t="str">
        <x:v>用于2.4.3「办公智能体」的工程、数据或部署背景。</x:v>
      </x:c>
      <x:c r="R33" s="8" t="str">
        <x:v>官方文档、项目或发布说明；不视为独立学术论文，也不把产品介绍当作可比较的性能实证。</x:v>
      </x:c>
      <x:c r="S33" s="8" t="str">
        <x:v>补充</x:v>
      </x:c>
      <x:c r="T33" s="22" t="str">
        <x:v>未分配</x:v>
      </x:c>
      <x:c r="U33" s="22" t="str"/>
      <x:c r="V33" s="22" t="str"/>
      <x:c r="W33" s="22" t="str"/>
      <x:c r="X33" s="8" t="str">
        <x:v>verified</x:v>
      </x:c>
      <x:c r="Y33" s="11" t="str"/>
      <x:c r="Z33" s="11" t="str"/>
      <x:c r="AA33" s="11" t="str">
        <x:v>https://support.microsoft.com/en-us/copilot-excel</x:v>
      </x:c>
      <x:c r="AB33" s="11" t="str">
        <x:v>https://support.microsoft.com/en-us/copilot-excel</x:v>
      </x:c>
      <x:c r="AC33" s="8" t="str">
        <x:v>AIO-155</x:v>
      </x:c>
      <x:c r="AD33" s="8" t="str">
        <x:v>官方页面或技术文档身份核对；非论文。</x:v>
      </x:c>
      <x:c r="AE33" s="8" t="str"/>
      <x:c r="AF33" s="8" t="str">
        <x:v>对应2.4.3「办公智能体」的工程或部署实例。</x:v>
      </x:c>
      <x:c r="AG33" s="8" t="str">
        <x:v>workspace</x:v>
      </x:c>
      <x:c r="AH33" s="8" t="str">
        <x:v>official documentation or non-paper release</x:v>
      </x:c>
      <x:c r="AI33" s="8" t="str"/>
      <x:c r="AJ33" s="8" t="str">
        <x:v>2026-10-16 AI Office survey bibliography</x:v>
      </x:c>
      <x:c r="AK33" s="13" t="d">
        <x:v>2026-10-16T00:00:00.000Z</x:v>
      </x:c>
      <x:c r="AL33" s="8" t="str">
        <x:v>来自AI Office综述的非论文引用，独立存放于Resources。年份沿用来源所引版本，网站当前内容可能已更新。</x:v>
      </x:c>
      <x:c r="AM33" s="8" t="str"/>
    </x:row>
    <x:row r="34" ht="68" customHeight="1">
      <x:c r="A34" s="8" t="str">
        <x:v>WA-0484</x:v>
      </x:c>
      <x:c r="B34" s="8" t="str">
        <x:v>Copilot Tuning and Orchestration</x:v>
      </x:c>
      <x:c r="C34" s="8" t="str">
        <x:v>Microsoft 365 Copilot Tuning and Multi-Agent Orchestration</x:v>
      </x:c>
      <x:c r="D34" s="9" t="n">
        <x:v>2025</x:v>
      </x:c>
      <x:c r="E34" s="8" t="str">
        <x:v>Microsoft</x:v>
      </x:c>
      <x:c r="F34" s="21" t="str">
        <x:f>VLOOKUP(H34,'Taxonomy'!$A$6:$G$70,3,FALSE)</x:f>
        <x:v>优化：从工作经验到系统能力</x:v>
      </x:c>
      <x:c r="G34" s="21" t="str">
        <x:f>VLOOKUP(H34,'Taxonomy'!$A$6:$G$70,5,FALSE)</x:f>
        <x:v>模型—运行框架耦合优化</x:v>
      </x:c>
      <x:c r="H34" s="8" t="str">
        <x:v>5.4.3</x:v>
      </x:c>
      <x:c r="I34" s="21" t="str">
        <x:f>VLOOKUP(H34,'Taxonomy'!$A$6:$G$70,6,FALSE)</x:f>
        <x:v>模型与运行框架联合优化</x:v>
      </x:c>
      <x:c r="J34" s="8" t="str">
        <x:v>模型与运行框架耦合</x:v>
      </x:c>
      <x:c r="K34" s="8" t="str"/>
      <x:c r="L34" s="8" t="str"/>
      <x:c r="M34" s="8" t="str"/>
      <x:c r="N34" s="8" t="str">
        <x:v>Product/Resource</x:v>
      </x:c>
      <x:c r="O34" s="11" t="str">
        <x:v>https://www.microsoft.com/en-us/microsoft-365/blog/2025/05/19/introducing-microsoft-365-copilot-tuning-multi-agent-orchestration-and-more-from-microsoft-build-2025/</x:v>
      </x:c>
      <x:c r="P34" s="8" t="str">
        <x:v>企业模型定制与多智能体编排的产品机制说明。</x:v>
      </x:c>
      <x:c r="Q34" s="8" t="str">
        <x:v>用于5.4.3「模型与运行框架联合优化」的工程、数据或部署背景。</x:v>
      </x:c>
      <x:c r="R34" s="8" t="str">
        <x:v>官方文档、项目或发布说明；不视为独立学术论文，也不把产品介绍当作可比较的性能实证。</x:v>
      </x:c>
      <x:c r="S34" s="8" t="str">
        <x:v>补充</x:v>
      </x:c>
      <x:c r="T34" s="22" t="str">
        <x:v>未分配</x:v>
      </x:c>
      <x:c r="U34" s="22" t="str"/>
      <x:c r="V34" s="22" t="str"/>
      <x:c r="W34" s="22" t="str"/>
      <x:c r="X34" s="8" t="str">
        <x:v>verified</x:v>
      </x:c>
      <x:c r="Y34" s="11" t="str"/>
      <x:c r="Z34" s="11" t="str"/>
      <x:c r="AA34" s="11" t="str">
        <x:v>https://www.microsoft.com/en-us/microsoft-365/blog/2025/05/19/introducing-microsoft-365-copilot-tuning-multi-agent-orchestration-and-more-from-microsoft-build-2025/</x:v>
      </x:c>
      <x:c r="AB34" s="11" t="str">
        <x:v>https://www.microsoft.com/en-us/microsoft-365/blog/2025/05/19/introducing-microsoft-365-copilot-tuning-multi-agent-orchestration-and-more-from-microsoft-build-2025/</x:v>
      </x:c>
      <x:c r="AC34" s="8" t="str">
        <x:v>AIO-159</x:v>
      </x:c>
      <x:c r="AD34" s="8" t="str">
        <x:v>官方页面或技术文档身份核对；非论文。</x:v>
      </x:c>
      <x:c r="AE34" s="8" t="str"/>
      <x:c r="AF34" s="8" t="str">
        <x:v>对应5.4.3「模型与运行框架联合优化」的工程或部署实例。</x:v>
      </x:c>
      <x:c r="AG34" s="8" t="str">
        <x:v>harness</x:v>
      </x:c>
      <x:c r="AH34" s="8" t="str">
        <x:v>official documentation or non-paper release</x:v>
      </x:c>
      <x:c r="AI34" s="8" t="str"/>
      <x:c r="AJ34" s="8" t="str">
        <x:v>2026-10-16 AI Office survey bibliography</x:v>
      </x:c>
      <x:c r="AK34" s="13" t="d">
        <x:v>2026-10-16T00:00:00.000Z</x:v>
      </x:c>
      <x:c r="AL34" s="8" t="str">
        <x:v>来自AI Office综述的非论文引用，独立存放于Resources。年份沿用来源所引版本，网站当前内容可能已更新。</x:v>
      </x:c>
      <x:c r="AM34" s="8" t="str"/>
    </x:row>
    <x:row r="35" ht="68" customHeight="1">
      <x:c r="A35" s="8" t="str">
        <x:v>WA-0485</x:v>
      </x:c>
      <x:c r="B35" s="8" t="str">
        <x:v>Copilot Agentic Office</x:v>
      </x:c>
      <x:c r="C35" s="8" t="str">
        <x:v>Agentic Capabilities in Word, Excel, and PowerPoint</x:v>
      </x:c>
      <x:c r="D35" s="9" t="n">
        <x:v>2026</x:v>
      </x:c>
      <x:c r="E35" s="8" t="str">
        <x:v>Microsoft</x:v>
      </x:c>
      <x:c r="F35" s="21" t="str">
        <x:f>VLOOKUP(H35,'Taxonomy'!$A$6:$G$70,3,FALSE)</x:f>
        <x:v>基础：定义、工作条件与核心能力</x:v>
      </x:c>
      <x:c r="G35" s="21" t="str">
        <x:f>VLOOKUP(H35,'Taxonomy'!$A$6:$G$70,5,FALSE)</x:f>
        <x:v>相关智能体范式</x:v>
      </x:c>
      <x:c r="H35" s="8" t="str">
        <x:v>2.4.3</x:v>
      </x:c>
      <x:c r="I35" s="21" t="str">
        <x:f>VLOOKUP(H35,'Taxonomy'!$A$6:$G$70,6,FALSE)</x:f>
        <x:v>办公智能体</x:v>
      </x:c>
      <x:c r="J35" s="8" t="str">
        <x:v>范式与自主性边界;原生工件生成与编辑</x:v>
      </x:c>
      <x:c r="K35" s="8" t="str"/>
      <x:c r="L35" s="8" t="str"/>
      <x:c r="M35" s="8" t="str"/>
      <x:c r="N35" s="8" t="str">
        <x:v>Product/Resource</x:v>
      </x:c>
      <x:c r="O35" s="11" t="str">
        <x:v>https://www.microsoft.com/en-us/microsoft-365/blog/2026/04/22/copilots-agentic-capabilities-in-word-excel-and-powerpoint-are-generally-available/</x:v>
      </x:c>
      <x:c r="P35" s="8" t="str">
        <x:v>原生办公文件创建、编辑与执行的官方发布说明。</x:v>
      </x:c>
      <x:c r="Q35" s="8" t="str">
        <x:v>用于2.4.3「办公智能体」的工程、数据或部署背景。</x:v>
      </x:c>
      <x:c r="R35" s="8" t="str">
        <x:v>官方文档、项目或发布说明；不视为独立学术论文，也不把产品介绍当作可比较的性能实证。</x:v>
      </x:c>
      <x:c r="S35" s="8" t="str">
        <x:v>补充</x:v>
      </x:c>
      <x:c r="T35" s="22" t="str">
        <x:v>未分配</x:v>
      </x:c>
      <x:c r="U35" s="22" t="str"/>
      <x:c r="V35" s="22" t="str"/>
      <x:c r="W35" s="22" t="str"/>
      <x:c r="X35" s="8" t="str">
        <x:v>verified</x:v>
      </x:c>
      <x:c r="Y35" s="11" t="str"/>
      <x:c r="Z35" s="11" t="str"/>
      <x:c r="AA35" s="11" t="str">
        <x:v>https://www.microsoft.com/en-us/microsoft-365/blog/2026/04/22/copilots-agentic-capabilities-in-word-excel-and-powerpoint-are-generally-available/</x:v>
      </x:c>
      <x:c r="AB35" s="11" t="str">
        <x:v>https://www.microsoft.com/en-us/microsoft-365/blog/2026/04/22/copilots-agentic-capabilities-in-word-excel-and-powerpoint-are-generally-available/</x:v>
      </x:c>
      <x:c r="AC35" s="8" t="str">
        <x:v>AIO-160</x:v>
      </x:c>
      <x:c r="AD35" s="8" t="str">
        <x:v>官方页面或技术文档身份核对；非论文。</x:v>
      </x:c>
      <x:c r="AE35" s="8" t="str"/>
      <x:c r="AF35" s="8" t="str">
        <x:v>对应2.4.3「办公智能体」的工程或部署实例。</x:v>
      </x:c>
      <x:c r="AG35" s="8" t="str">
        <x:v>workspace</x:v>
      </x:c>
      <x:c r="AH35" s="8" t="str">
        <x:v>official documentation or non-paper release</x:v>
      </x:c>
      <x:c r="AI35" s="8" t="str"/>
      <x:c r="AJ35" s="8" t="str">
        <x:v>2026-10-16 AI Office survey bibliography</x:v>
      </x:c>
      <x:c r="AK35" s="13" t="d">
        <x:v>2026-10-16T00:00:00.000Z</x:v>
      </x:c>
      <x:c r="AL35" s="8" t="str">
        <x:v>来自AI Office综述的非论文引用，独立存放于Resources。年份沿用来源所引版本，网站当前内容可能已更新。</x:v>
      </x:c>
      <x:c r="AM35" s="8" t="str"/>
    </x:row>
    <x:row r="36" ht="68" customHeight="1">
      <x:c r="A36" s="8" t="str">
        <x:v>WA-0486</x:v>
      </x:c>
      <x:c r="B36" s="8" t="str">
        <x:v>Copilot Orchestrator</x:v>
      </x:c>
      <x:c r="C36" s="8" t="str">
        <x:v>How the Microsoft 365 Copilot Orchestrator Chooses Actions</x:v>
      </x:c>
      <x:c r="D36" s="9" t="n">
        <x:v>2026</x:v>
      </x:c>
      <x:c r="E36" s="8" t="str">
        <x:v>Microsoft</x:v>
      </x:c>
      <x:c r="F36" s="21" t="str">
        <x:f>VLOOKUP(H36,'Taxonomy'!$A$6:$G$70,3,FALSE)</x:f>
        <x:v>优化：从工作经验到系统能力</x:v>
      </x:c>
      <x:c r="G36" s="21" t="str">
        <x:f>VLOOKUP(H36,'Taxonomy'!$A$6:$G$70,5,FALSE)</x:f>
        <x:v>运行框架优化</x:v>
      </x:c>
      <x:c r="H36" s="8" t="str">
        <x:v>5.3.2</x:v>
      </x:c>
      <x:c r="I36" s="21" t="str">
        <x:f>VLOOKUP(H36,'Taxonomy'!$A$6:$G$70,6,FALSE)</x:f>
        <x:v>提示与工作流优化</x:v>
      </x:c>
      <x:c r="J36" s="8" t="str">
        <x:v>提示、流程与 harness 搜索</x:v>
      </x:c>
      <x:c r="K36" s="8" t="str"/>
      <x:c r="L36" s="8" t="str"/>
      <x:c r="M36" s="8" t="str"/>
      <x:c r="N36" s="8" t="str">
        <x:v>Product/Resource</x:v>
      </x:c>
      <x:c r="O36" s="11" t="str">
        <x:v>https://learn.microsoft.com/en-us/microsoft-365-copilot/extensibility/orchestrator</x:v>
      </x:c>
      <x:c r="P36" s="8" t="str">
        <x:v>动作选择与工具调度的官方实现文档。</x:v>
      </x:c>
      <x:c r="Q36" s="8" t="str">
        <x:v>用于5.3.2「提示与工作流优化」的工程、数据或部署背景。</x:v>
      </x:c>
      <x:c r="R36" s="8" t="str">
        <x:v>官方文档、项目或发布说明；不视为独立学术论文，也不把产品介绍当作可比较的性能实证。</x:v>
      </x:c>
      <x:c r="S36" s="8" t="str">
        <x:v>补充</x:v>
      </x:c>
      <x:c r="T36" s="22" t="str">
        <x:v>未分配</x:v>
      </x:c>
      <x:c r="U36" s="22" t="str"/>
      <x:c r="V36" s="22" t="str"/>
      <x:c r="W36" s="22" t="str"/>
      <x:c r="X36" s="8" t="str">
        <x:v>verified</x:v>
      </x:c>
      <x:c r="Y36" s="11" t="str"/>
      <x:c r="Z36" s="11" t="str"/>
      <x:c r="AA36" s="11" t="str">
        <x:v>https://learn.microsoft.com/en-us/microsoft-365-copilot/extensibility/orchestrator</x:v>
      </x:c>
      <x:c r="AB36" s="11" t="str">
        <x:v>https://learn.microsoft.com/en-us/microsoft-365-copilot/extensibility/orchestrator</x:v>
      </x:c>
      <x:c r="AC36" s="8" t="str">
        <x:v>AIO-161</x:v>
      </x:c>
      <x:c r="AD36" s="8" t="str">
        <x:v>官方页面或技术文档身份核对；非论文。</x:v>
      </x:c>
      <x:c r="AE36" s="8" t="str"/>
      <x:c r="AF36" s="8" t="str">
        <x:v>对应5.3.2「提示与工作流优化」的工程或部署实例。</x:v>
      </x:c>
      <x:c r="AG36" s="8" t="str">
        <x:v>harness</x:v>
      </x:c>
      <x:c r="AH36" s="8" t="str">
        <x:v>official documentation or non-paper release</x:v>
      </x:c>
      <x:c r="AI36" s="8" t="str"/>
      <x:c r="AJ36" s="8" t="str">
        <x:v>2026-10-16 AI Office survey bibliography</x:v>
      </x:c>
      <x:c r="AK36" s="13" t="d">
        <x:v>2026-10-16T00:00:00.000Z</x:v>
      </x:c>
      <x:c r="AL36" s="8" t="str">
        <x:v>来自AI Office综述的非论文引用，独立存放于Resources。年份沿用来源所引版本，网站当前内容可能已更新。</x:v>
      </x:c>
      <x:c r="AM36" s="8" t="str"/>
    </x:row>
    <x:row r="37" ht="68" customHeight="1">
      <x:c r="A37" s="8" t="str">
        <x:v>WA-0487</x:v>
      </x:c>
      <x:c r="B37" s="8" t="str">
        <x:v>Copilot Tuning</x:v>
      </x:c>
      <x:c r="C37" s="8" t="str">
        <x:v>Microsoft 365 Copilot Tuning Overview</x:v>
      </x:c>
      <x:c r="D37" s="9" t="n">
        <x:v>2026</x:v>
      </x:c>
      <x:c r="E37" s="8" t="str">
        <x:v>Microsoft</x:v>
      </x:c>
      <x:c r="F37" s="21" t="str">
        <x:f>VLOOKUP(H37,'Taxonomy'!$A$6:$G$70,3,FALSE)</x:f>
        <x:v>优化：从工作经验到系统能力</x:v>
      </x:c>
      <x:c r="G37" s="21" t="str">
        <x:f>VLOOKUP(H37,'Taxonomy'!$A$6:$G$70,5,FALSE)</x:f>
        <x:v>模型—运行框架耦合优化</x:v>
      </x:c>
      <x:c r="H37" s="8" t="str">
        <x:v>5.4.3</x:v>
      </x:c>
      <x:c r="I37" s="21" t="str">
        <x:f>VLOOKUP(H37,'Taxonomy'!$A$6:$G$70,6,FALSE)</x:f>
        <x:v>模型与运行框架联合优化</x:v>
      </x:c>
      <x:c r="J37" s="8" t="str">
        <x:v>模型与运行框架耦合</x:v>
      </x:c>
      <x:c r="K37" s="8" t="str"/>
      <x:c r="L37" s="8" t="str"/>
      <x:c r="M37" s="8" t="str"/>
      <x:c r="N37" s="8" t="str">
        <x:v>Product/Resource</x:v>
      </x:c>
      <x:c r="O37" s="11" t="str">
        <x:v>https://learn.microsoft.com/en-us/microsoft-365/copilot/copilot-tuning-overview</x:v>
      </x:c>
      <x:c r="P37" s="8" t="str">
        <x:v>模型定制与企业任务数据结合的官方文档。</x:v>
      </x:c>
      <x:c r="Q37" s="8" t="str">
        <x:v>用于5.4.3「模型与运行框架联合优化」的工程、数据或部署背景。</x:v>
      </x:c>
      <x:c r="R37" s="8" t="str">
        <x:v>官方文档、项目或发布说明；不视为独立学术论文，也不把产品介绍当作可比较的性能实证。</x:v>
      </x:c>
      <x:c r="S37" s="8" t="str">
        <x:v>补充</x:v>
      </x:c>
      <x:c r="T37" s="22" t="str">
        <x:v>未分配</x:v>
      </x:c>
      <x:c r="U37" s="22" t="str"/>
      <x:c r="V37" s="22" t="str"/>
      <x:c r="W37" s="22" t="str"/>
      <x:c r="X37" s="8" t="str">
        <x:v>verified</x:v>
      </x:c>
      <x:c r="Y37" s="11" t="str"/>
      <x:c r="Z37" s="11" t="str"/>
      <x:c r="AA37" s="11" t="str">
        <x:v>https://learn.microsoft.com/en-us/microsoft-365/copilot/copilot-tuning-overview</x:v>
      </x:c>
      <x:c r="AB37" s="11" t="str">
        <x:v>https://learn.microsoft.com/en-us/microsoft-365/copilot/copilot-tuning-overview</x:v>
      </x:c>
      <x:c r="AC37" s="8" t="str">
        <x:v>AIO-162</x:v>
      </x:c>
      <x:c r="AD37" s="8" t="str">
        <x:v>官方页面或技术文档身份核对；非论文。</x:v>
      </x:c>
      <x:c r="AE37" s="8" t="str"/>
      <x:c r="AF37" s="8" t="str">
        <x:v>对应5.4.3「模型与运行框架联合优化」的工程或部署实例。</x:v>
      </x:c>
      <x:c r="AG37" s="8" t="str">
        <x:v>harness</x:v>
      </x:c>
      <x:c r="AH37" s="8" t="str">
        <x:v>official documentation or non-paper release</x:v>
      </x:c>
      <x:c r="AI37" s="8" t="str"/>
      <x:c r="AJ37" s="8" t="str">
        <x:v>2026-10-16 AI Office survey bibliography</x:v>
      </x:c>
      <x:c r="AK37" s="13" t="d">
        <x:v>2026-10-16T00:00:00.000Z</x:v>
      </x:c>
      <x:c r="AL37" s="8" t="str">
        <x:v>来自AI Office综述的非论文引用，独立存放于Resources。年份沿用来源所引版本，网站当前内容可能已更新。</x:v>
      </x:c>
      <x:c r="AM37" s="8" t="str"/>
    </x:row>
    <x:row r="38" ht="68" customHeight="1">
      <x:c r="A38" s="8" t="str">
        <x:v>WA-0488</x:v>
      </x:c>
      <x:c r="B38" s="8" t="str">
        <x:v>MiniMax Skills</x:v>
      </x:c>
      <x:c r="C38" s="8" t="str">
        <x:v>MiniMax Skills: Office Artifact Skills for Coding Agents</x:v>
      </x:c>
      <x:c r="D38" s="9" t="n">
        <x:v>2026</x:v>
      </x:c>
      <x:c r="E38" s="8" t="str">
        <x:v>MiniMax</x:v>
      </x:c>
      <x:c r="F38" s="21" t="str">
        <x:f>VLOOKUP(H38,'Taxonomy'!$A$6:$G$70,3,FALSE)</x:f>
        <x:v>优化：从工作经验到系统能力</x:v>
      </x:c>
      <x:c r="G38" s="21" t="str">
        <x:f>VLOOKUP(H38,'Taxonomy'!$A$6:$G$70,5,FALSE)</x:f>
        <x:v>运行框架优化</x:v>
      </x:c>
      <x:c r="H38" s="8" t="str">
        <x:v>5.3.3</x:v>
      </x:c>
      <x:c r="I38" s="21" t="str">
        <x:f>VLOOKUP(H38,'Taxonomy'!$A$6:$G$70,6,FALSE)</x:f>
        <x:v>记忆与技能优化</x:v>
      </x:c>
      <x:c r="J38" s="8" t="str">
        <x:v>经验记忆与技能优化</x:v>
      </x:c>
      <x:c r="K38" s="8" t="str"/>
      <x:c r="L38" s="8" t="str"/>
      <x:c r="M38" s="8" t="str"/>
      <x:c r="N38" s="8" t="str">
        <x:v>Product/Resource</x:v>
      </x:c>
      <x:c r="O38" s="11" t="str">
        <x:v>https://github.com/MiniMax-AI/skills</x:v>
      </x:c>
      <x:c r="P38" s="8" t="str">
        <x:v>可检查的办公技能实现，包括文档、表格、PDF与幻灯片。</x:v>
      </x:c>
      <x:c r="Q38" s="8" t="str">
        <x:v>用于5.3.3「记忆与技能优化」的工程、数据或部署背景。</x:v>
      </x:c>
      <x:c r="R38" s="8" t="str">
        <x:v>官方文档、项目或发布说明；不视为独立学术论文，也不把产品介绍当作可比较的性能实证。</x:v>
      </x:c>
      <x:c r="S38" s="8" t="str">
        <x:v>补充</x:v>
      </x:c>
      <x:c r="T38" s="22" t="str">
        <x:v>未分配</x:v>
      </x:c>
      <x:c r="U38" s="22" t="str"/>
      <x:c r="V38" s="22" t="str"/>
      <x:c r="W38" s="22" t="str"/>
      <x:c r="X38" s="8" t="str">
        <x:v>verified</x:v>
      </x:c>
      <x:c r="Y38" s="11" t="str">
        <x:v>https://github.com/MiniMax-AI/skills</x:v>
      </x:c>
      <x:c r="Z38" s="11" t="str"/>
      <x:c r="AA38" s="11" t="str">
        <x:v>https://github.com/MiniMax-AI/skills</x:v>
      </x:c>
      <x:c r="AB38" s="11" t="str">
        <x:v>https://github.com/MiniMax-AI/skills</x:v>
      </x:c>
      <x:c r="AC38" s="8" t="str">
        <x:v>AIO-164</x:v>
      </x:c>
      <x:c r="AD38" s="8" t="str">
        <x:v>官方页面或技术文档身份核对；非论文。</x:v>
      </x:c>
      <x:c r="AE38" s="8" t="str"/>
      <x:c r="AF38" s="8" t="str">
        <x:v>对应5.3.3「记忆与技能优化」的工程或部署实例。</x:v>
      </x:c>
      <x:c r="AG38" s="8" t="str">
        <x:v>harness</x:v>
      </x:c>
      <x:c r="AH38" s="8" t="str">
        <x:v>official documentation or non-paper release</x:v>
      </x:c>
      <x:c r="AI38" s="8" t="str"/>
      <x:c r="AJ38" s="8" t="str">
        <x:v>2026-10-16 AI Office survey bibliography</x:v>
      </x:c>
      <x:c r="AK38" s="13" t="d">
        <x:v>2026-10-16T00:00:00.000Z</x:v>
      </x:c>
      <x:c r="AL38" s="8" t="str">
        <x:v>来自AI Office综述的非论文引用，独立存放于Resources。年份沿用来源所引版本，网站当前内容可能已更新。</x:v>
      </x:c>
      <x:c r="AM38" s="8" t="str"/>
    </x:row>
    <x:row r="39" ht="68" customHeight="1">
      <x:c r="A39" s="8" t="str">
        <x:v>WA-0489</x:v>
      </x:c>
      <x:c r="B39" s="8" t="str">
        <x:v>ChatGPT Agent</x:v>
      </x:c>
      <x:c r="C39" s="8" t="str">
        <x:v>Introducing ChatGPT Agent: Bridging Research and Action</x:v>
      </x:c>
      <x:c r="D39" s="9" t="n">
        <x:v>2025</x:v>
      </x:c>
      <x:c r="E39" s="8" t="str">
        <x:v>OpenAI</x:v>
      </x:c>
      <x:c r="F39" s="21" t="str">
        <x:f>VLOOKUP(H39,'Taxonomy'!$A$6:$G$70,3,FALSE)</x:f>
        <x:v>基础：定义、工作条件与核心能力</x:v>
      </x:c>
      <x:c r="G39" s="21" t="str">
        <x:f>VLOOKUP(H39,'Taxonomy'!$A$6:$G$70,5,FALSE)</x:f>
        <x:v>相关智能体范式</x:v>
      </x:c>
      <x:c r="H39" s="8" t="str">
        <x:v>2.4.3</x:v>
      </x:c>
      <x:c r="I39" s="21" t="str">
        <x:f>VLOOKUP(H39,'Taxonomy'!$A$6:$G$70,6,FALSE)</x:f>
        <x:v>办公智能体</x:v>
      </x:c>
      <x:c r="J39" s="8" t="str">
        <x:v>范式与自主性边界;原生工件生成与编辑</x:v>
      </x:c>
      <x:c r="K39" s="8" t="str"/>
      <x:c r="L39" s="8" t="str"/>
      <x:c r="M39" s="8" t="str"/>
      <x:c r="N39" s="8" t="str">
        <x:v>Product/Resource</x:v>
      </x:c>
      <x:c r="O39" s="11" t="str">
        <x:v>https://openai.com/index/introducing-chatgpt-agent/</x:v>
      </x:c>
      <x:c r="P39" s="8" t="str">
        <x:v>浏览、代码与文件工作结合的官方产品说明。</x:v>
      </x:c>
      <x:c r="Q39" s="8" t="str">
        <x:v>用于2.4.3「办公智能体」的工程、数据或部署背景。</x:v>
      </x:c>
      <x:c r="R39" s="8" t="str">
        <x:v>官方文档、项目或发布说明；不视为独立学术论文，也不把产品介绍当作可比较的性能实证。</x:v>
      </x:c>
      <x:c r="S39" s="8" t="str">
        <x:v>补充</x:v>
      </x:c>
      <x:c r="T39" s="22" t="str">
        <x:v>未分配</x:v>
      </x:c>
      <x:c r="U39" s="22" t="str"/>
      <x:c r="V39" s="22" t="str"/>
      <x:c r="W39" s="22" t="str"/>
      <x:c r="X39" s="8" t="str">
        <x:v>verified</x:v>
      </x:c>
      <x:c r="Y39" s="11" t="str"/>
      <x:c r="Z39" s="11" t="str"/>
      <x:c r="AA39" s="11" t="str">
        <x:v>https://openai.com/index/introducing-chatgpt-agent/</x:v>
      </x:c>
      <x:c r="AB39" s="11" t="str">
        <x:v>https://openai.com/index/introducing-chatgpt-agent/</x:v>
      </x:c>
      <x:c r="AC39" s="8" t="str">
        <x:v>AIO-174</x:v>
      </x:c>
      <x:c r="AD39" s="8" t="str">
        <x:v>官方页面或技术文档身份核对；非论文。</x:v>
      </x:c>
      <x:c r="AE39" s="8" t="str"/>
      <x:c r="AF39" s="8" t="str">
        <x:v>对应2.4.3「办公智能体」的工程或部署实例。</x:v>
      </x:c>
      <x:c r="AG39" s="8" t="str">
        <x:v>workspace</x:v>
      </x:c>
      <x:c r="AH39" s="8" t="str">
        <x:v>official documentation or non-paper release</x:v>
      </x:c>
      <x:c r="AI39" s="8" t="str"/>
      <x:c r="AJ39" s="8" t="str">
        <x:v>2026-10-16 AI Office survey bibliography</x:v>
      </x:c>
      <x:c r="AK39" s="13" t="d">
        <x:v>2026-10-16T00:00:00.000Z</x:v>
      </x:c>
      <x:c r="AL39" s="8" t="str">
        <x:v>来自AI Office综述的非论文引用，独立存放于Resources。年份沿用来源所引版本，网站当前内容可能已更新。官方发布页现标为旧版发布说明，作为历史来源保留。本地抓取返回403，已通过浏览工具核对同一官方页面。</x:v>
      </x:c>
      <x:c r="AM39" s="8" t="str"/>
    </x:row>
    <x:row r="40" ht="68" customHeight="1">
      <x:c r="A40" s="8" t="str">
        <x:v>WA-0490</x:v>
      </x:c>
      <x:c r="B40" s="8" t="str">
        <x:v>Computer-Using Agent</x:v>
      </x:c>
      <x:c r="C40" s="8" t="str">
        <x:v>Computer-Using Agent</x:v>
      </x:c>
      <x:c r="D40" s="9" t="n">
        <x:v>2025</x:v>
      </x:c>
      <x:c r="E40" s="8" t="str">
        <x:v>OpenAI</x:v>
      </x:c>
      <x:c r="F40" s="21" t="str">
        <x:f>VLOOKUP(H40,'Taxonomy'!$A$6:$G$70,3,FALSE)</x:f>
        <x:v>基础：定义、工作条件与核心能力</x:v>
      </x:c>
      <x:c r="G40" s="21" t="str">
        <x:f>VLOOKUP(H40,'Taxonomy'!$A$6:$G$70,5,FALSE)</x:f>
        <x:v>相关智能体范式</x:v>
      </x:c>
      <x:c r="H40" s="8" t="str">
        <x:v>2.4.2</x:v>
      </x:c>
      <x:c r="I40" s="21" t="str">
        <x:f>VLOOKUP(H40,'Taxonomy'!$A$6:$G$70,6,FALSE)</x:f>
        <x:v>计算机使用智能体</x:v>
      </x:c>
      <x:c r="J40" s="8" t="str">
        <x:v>工具、界面与应用执行</x:v>
      </x:c>
      <x:c r="K40" s="8" t="str"/>
      <x:c r="L40" s="8" t="str"/>
      <x:c r="M40" s="8" t="str"/>
      <x:c r="N40" s="8" t="str">
        <x:v>Product/Resource</x:v>
      </x:c>
      <x:c r="O40" s="11" t="str">
        <x:v>https://openai.com/index/computer-using-agent/</x:v>
      </x:c>
      <x:c r="P40" s="8" t="str">
        <x:v>视觉计算机操作与任务执行的官方技术介绍。</x:v>
      </x:c>
      <x:c r="Q40" s="8" t="str">
        <x:v>用于2.4.2「计算机使用智能体」的工程、数据或部署背景。</x:v>
      </x:c>
      <x:c r="R40" s="8" t="str">
        <x:v>官方文档、项目或发布说明；不视为独立学术论文，也不把产品介绍当作可比较的性能实证。</x:v>
      </x:c>
      <x:c r="S40" s="8" t="str">
        <x:v>补充</x:v>
      </x:c>
      <x:c r="T40" s="22" t="str">
        <x:v>未分配</x:v>
      </x:c>
      <x:c r="U40" s="22" t="str"/>
      <x:c r="V40" s="22" t="str"/>
      <x:c r="W40" s="22" t="str"/>
      <x:c r="X40" s="8" t="str">
        <x:v>verified</x:v>
      </x:c>
      <x:c r="Y40" s="11" t="str"/>
      <x:c r="Z40" s="11" t="str"/>
      <x:c r="AA40" s="11" t="str">
        <x:v>https://openai.com/index/computer-using-agent/</x:v>
      </x:c>
      <x:c r="AB40" s="11" t="str">
        <x:v>https://openai.com/index/computer-using-agent/</x:v>
      </x:c>
      <x:c r="AC40" s="8" t="str">
        <x:v>AIO-177</x:v>
      </x:c>
      <x:c r="AD40" s="8" t="str">
        <x:v>官方页面或技术文档身份核对；非论文。</x:v>
      </x:c>
      <x:c r="AE40" s="8" t="str"/>
      <x:c r="AF40" s="8" t="str">
        <x:v>对应2.4.2「计算机使用智能体」的工程或部署实例。</x:v>
      </x:c>
      <x:c r="AG40" s="8" t="str">
        <x:v>workspace</x:v>
      </x:c>
      <x:c r="AH40" s="8" t="str">
        <x:v>official documentation or non-paper release</x:v>
      </x:c>
      <x:c r="AI40" s="8" t="str"/>
      <x:c r="AJ40" s="8" t="str">
        <x:v>2026-10-16 AI Office survey bibliography</x:v>
      </x:c>
      <x:c r="AK40" s="13" t="d">
        <x:v>2026-10-16T00:00:00.000Z</x:v>
      </x:c>
      <x:c r="AL40" s="8" t="str">
        <x:v>来自AI Office综述的非论文引用，独立存放于Resources。年份沿用来源所引版本，网站当前内容可能已更新。本地抓取返回403，已通过浏览工具核对同一官方页面。</x:v>
      </x:c>
      <x:c r="AM40" s="8" t="str"/>
    </x:row>
    <x:row r="41" ht="68" customHeight="1">
      <x:c r="A41" s="8" t="str">
        <x:v>WA-0491</x:v>
      </x:c>
      <x:c r="B41" s="8" t="str">
        <x:v>Agent Building Tools</x:v>
      </x:c>
      <x:c r="C41" s="8" t="str">
        <x:v>New Tools for Building Agents</x:v>
      </x:c>
      <x:c r="D41" s="9" t="n">
        <x:v>2025</x:v>
      </x:c>
      <x:c r="E41" s="8" t="str">
        <x:v>OpenAI</x:v>
      </x:c>
      <x:c r="F41" s="21" t="str">
        <x:f>VLOOKUP(H41,'Taxonomy'!$A$6:$G$70,3,FALSE)</x:f>
        <x:v>优化：从工作经验到系统能力</x:v>
      </x:c>
      <x:c r="G41" s="21" t="str">
        <x:f>VLOOKUP(H41,'Taxonomy'!$A$6:$G$70,5,FALSE)</x:f>
        <x:v>运行框架优化</x:v>
      </x:c>
      <x:c r="H41" s="8" t="str">
        <x:v>5.3.1</x:v>
      </x:c>
      <x:c r="I41" s="21" t="str">
        <x:f>VLOOKUP(H41,'Taxonomy'!$A$6:$G$70,6,FALSE)</x:f>
        <x:v>接口与工具优化</x:v>
      </x:c>
      <x:c r="J41" s="8" t="str">
        <x:v>接口与观测优化</x:v>
      </x:c>
      <x:c r="K41" s="8" t="str"/>
      <x:c r="L41" s="8" t="str"/>
      <x:c r="M41" s="8" t="str"/>
      <x:c r="N41" s="8" t="str">
        <x:v>Product/Resource</x:v>
      </x:c>
      <x:c r="O41" s="11" t="str">
        <x:v>https://openai.com/index/new-tools-for-building-agents/</x:v>
      </x:c>
      <x:c r="P41" s="8" t="str">
        <x:v>工具、追踪与智能体运行接口的官方技术说明。</x:v>
      </x:c>
      <x:c r="Q41" s="8" t="str">
        <x:v>用于5.3.1「接口与工具优化」的工程、数据或部署背景。</x:v>
      </x:c>
      <x:c r="R41" s="8" t="str">
        <x:v>官方文档、项目或发布说明；不视为独立学术论文，也不把产品介绍当作可比较的性能实证。</x:v>
      </x:c>
      <x:c r="S41" s="8" t="str">
        <x:v>补充</x:v>
      </x:c>
      <x:c r="T41" s="22" t="str">
        <x:v>未分配</x:v>
      </x:c>
      <x:c r="U41" s="22" t="str"/>
      <x:c r="V41" s="22" t="str"/>
      <x:c r="W41" s="22" t="str"/>
      <x:c r="X41" s="8" t="str">
        <x:v>verified</x:v>
      </x:c>
      <x:c r="Y41" s="11" t="str"/>
      <x:c r="Z41" s="11" t="str"/>
      <x:c r="AA41" s="11" t="str">
        <x:v>https://openai.com/index/new-tools-for-building-agents/</x:v>
      </x:c>
      <x:c r="AB41" s="11" t="str">
        <x:v>https://openai.com/index/new-tools-for-building-agents/</x:v>
      </x:c>
      <x:c r="AC41" s="8" t="str">
        <x:v>AIO-178</x:v>
      </x:c>
      <x:c r="AD41" s="8" t="str">
        <x:v>官方页面或技术文档身份核对；非论文。</x:v>
      </x:c>
      <x:c r="AE41" s="8" t="str"/>
      <x:c r="AF41" s="8" t="str">
        <x:v>对应5.3.1「接口与工具优化」的工程或部署实例。</x:v>
      </x:c>
      <x:c r="AG41" s="8" t="str">
        <x:v>harness</x:v>
      </x:c>
      <x:c r="AH41" s="8" t="str">
        <x:v>official documentation or non-paper release</x:v>
      </x:c>
      <x:c r="AI41" s="8" t="str"/>
      <x:c r="AJ41" s="8" t="str">
        <x:v>2026-10-16 AI Office survey bibliography</x:v>
      </x:c>
      <x:c r="AK41" s="13" t="d">
        <x:v>2026-10-16T00:00:00.000Z</x:v>
      </x:c>
      <x:c r="AL41" s="8" t="str">
        <x:v>来自AI Office综述的非论文引用，独立存放于Resources。年份沿用来源所引版本，网站当前内容可能已更新。本地抓取返回403，已通过浏览工具核对同一官方页面。</x:v>
      </x:c>
      <x:c r="AM41" s="8" t="str"/>
    </x:row>
    <x:row r="42" ht="68" customHeight="1">
      <x:c r="A42" s="8" t="str">
        <x:v>WA-0492</x:v>
      </x:c>
      <x:c r="B42" s="8" t="str">
        <x:v>Function Calling Guide</x:v>
      </x:c>
      <x:c r="C42" s="8" t="str">
        <x:v>Function Calling</x:v>
      </x:c>
      <x:c r="D42" s="9" t="n">
        <x:v>2026</x:v>
      </x:c>
      <x:c r="E42" s="8" t="str">
        <x:v>OpenAI</x:v>
      </x:c>
      <x:c r="F42" s="21" t="str">
        <x:f>VLOOKUP(H42,'Taxonomy'!$A$6:$G$70,3,FALSE)</x:f>
        <x:v>优化：从工作经验到系统能力</x:v>
      </x:c>
      <x:c r="G42" s="21" t="str">
        <x:f>VLOOKUP(H42,'Taxonomy'!$A$6:$G$70,5,FALSE)</x:f>
        <x:v>运行框架优化</x:v>
      </x:c>
      <x:c r="H42" s="8" t="str">
        <x:v>5.3.1</x:v>
      </x:c>
      <x:c r="I42" s="21" t="str">
        <x:f>VLOOKUP(H42,'Taxonomy'!$A$6:$G$70,6,FALSE)</x:f>
        <x:v>接口与工具优化</x:v>
      </x:c>
      <x:c r="J42" s="8" t="str">
        <x:v>接口与观测优化</x:v>
      </x:c>
      <x:c r="K42" s="8" t="str"/>
      <x:c r="L42" s="8" t="str"/>
      <x:c r="M42" s="8" t="str"/>
      <x:c r="N42" s="8" t="str">
        <x:v>Product/Resource</x:v>
      </x:c>
      <x:c r="O42" s="11" t="str">
        <x:v>https://developers.openai.com/api/docs/guides/function-calling</x:v>
      </x:c>
      <x:c r="P42" s="8" t="str">
        <x:v>结构化函数调用与应用接口的官方技术文档。</x:v>
      </x:c>
      <x:c r="Q42" s="8" t="str">
        <x:v>用于5.3.1「接口与工具优化」的工程、数据或部署背景。</x:v>
      </x:c>
      <x:c r="R42" s="8" t="str">
        <x:v>官方文档、项目或发布说明；不视为独立学术论文，也不把产品介绍当作可比较的性能实证。</x:v>
      </x:c>
      <x:c r="S42" s="8" t="str">
        <x:v>补充</x:v>
      </x:c>
      <x:c r="T42" s="22" t="str">
        <x:v>未分配</x:v>
      </x:c>
      <x:c r="U42" s="22" t="str"/>
      <x:c r="V42" s="22" t="str"/>
      <x:c r="W42" s="22" t="str"/>
      <x:c r="X42" s="8" t="str">
        <x:v>verified</x:v>
      </x:c>
      <x:c r="Y42" s="11" t="str"/>
      <x:c r="Z42" s="11" t="str"/>
      <x:c r="AA42" s="11" t="str">
        <x:v>https://developers.openai.com/api/docs/guides/function-calling</x:v>
      </x:c>
      <x:c r="AB42" s="11" t="str">
        <x:v>https://developers.openai.com/api/docs/guides/function-calling</x:v>
      </x:c>
      <x:c r="AC42" s="8" t="str">
        <x:v>AIO-180</x:v>
      </x:c>
      <x:c r="AD42" s="8" t="str">
        <x:v>官方页面或技术文档身份核对；非论文。</x:v>
      </x:c>
      <x:c r="AE42" s="8" t="str"/>
      <x:c r="AF42" s="8" t="str">
        <x:v>对应5.3.1「接口与工具优化」的工程或部署实例。</x:v>
      </x:c>
      <x:c r="AG42" s="8" t="str">
        <x:v>harness</x:v>
      </x:c>
      <x:c r="AH42" s="8" t="str">
        <x:v>official documentation or non-paper release</x:v>
      </x:c>
      <x:c r="AI42" s="8" t="str"/>
      <x:c r="AJ42" s="8" t="str">
        <x:v>2026-10-16 AI Office survey bibliography</x:v>
      </x:c>
      <x:c r="AK42" s="13" t="d">
        <x:v>2026-10-16T00:00:00.000Z</x:v>
      </x:c>
      <x:c r="AL42" s="8" t="str">
        <x:v>来自AI Office综述的非论文引用，独立存放于Resources。年份沿用来源所引版本，网站当前内容可能已更新。</x:v>
      </x:c>
      <x:c r="AM42" s="8" t="str"/>
    </x:row>
    <x:row r="43" ht="68" customHeight="1">
      <x:c r="A43" s="8" t="str">
        <x:v>WA-0493</x:v>
      </x:c>
      <x:c r="B43" s="8" t="str">
        <x:v>Next Era of Knowledge Work</x:v>
      </x:c>
      <x:c r="C43" s="8" t="str">
        <x:v>The Next Era of Knowledge Work</x:v>
      </x:c>
      <x:c r="D43" s="9" t="n">
        <x:v>2026</x:v>
      </x:c>
      <x:c r="E43" s="8" t="str">
        <x:v>OpenAI</x:v>
      </x:c>
      <x:c r="F43" s="21" t="str">
        <x:f>VLOOKUP(H43,'Taxonomy'!$A$6:$G$70,3,FALSE)</x:f>
        <x:v>前沿：下一代 Working Agents</x:v>
      </x:c>
      <x:c r="G43" s="21" t="str">
        <x:f>VLOOKUP(H43,'Taxonomy'!$A$6:$G$70,5,FALSE)</x:f>
        <x:v>以工作为中心的系统</x:v>
      </x:c>
      <x:c r="H43" s="8" t="str">
        <x:v>7.4.3</x:v>
      </x:c>
      <x:c r="I43" s="21" t="str">
        <x:f>VLOOKUP(H43,'Taxonomy'!$A$6:$G$70,6,FALSE)</x:f>
        <x:v>组织集成与经济价值</x:v>
      </x:c>
      <x:c r="J43" s="8" t="str">
        <x:v>组织协作与真实生产率</x:v>
      </x:c>
      <x:c r="K43" s="8" t="str"/>
      <x:c r="L43" s="8" t="str"/>
      <x:c r="M43" s="8" t="str"/>
      <x:c r="N43" s="8" t="str">
        <x:v>Product/Resource</x:v>
      </x:c>
      <x:c r="O43" s="11" t="str">
        <x:v>https://cdn.openai.com/pdf/the-next-era-of-knowledge-work.pdf</x:v>
      </x:c>
      <x:c r="P43" s="8" t="str">
        <x:v>办公使用方式的官方研究报告，作为观察性部署证据。</x:v>
      </x:c>
      <x:c r="Q43" s="8" t="str">
        <x:v>用于7.4.3「组织集成与经济价值」的工程、数据或部署背景。</x:v>
      </x:c>
      <x:c r="R43" s="8" t="str">
        <x:v>官方文档、项目或发布说明；不视为独立学术论文，也不把产品介绍当作可比较的性能实证。</x:v>
      </x:c>
      <x:c r="S43" s="8" t="str">
        <x:v>补充</x:v>
      </x:c>
      <x:c r="T43" s="22" t="str">
        <x:v>未分配</x:v>
      </x:c>
      <x:c r="U43" s="22" t="str"/>
      <x:c r="V43" s="22" t="str"/>
      <x:c r="W43" s="22" t="str"/>
      <x:c r="X43" s="8" t="str">
        <x:v>verified</x:v>
      </x:c>
      <x:c r="Y43" s="11" t="str"/>
      <x:c r="Z43" s="11" t="str"/>
      <x:c r="AA43" s="11" t="str">
        <x:v>https://cdn.openai.com/pdf/the-next-era-of-knowledge-work.pdf</x:v>
      </x:c>
      <x:c r="AB43" s="11" t="str">
        <x:v>https://cdn.openai.com/pdf/the-next-era-of-knowledge-work.pdf</x:v>
      </x:c>
      <x:c r="AC43" s="8" t="str">
        <x:v>AIO-181</x:v>
      </x:c>
      <x:c r="AD43" s="8" t="str">
        <x:v>官方页面或技术文档身份核对；非论文。</x:v>
      </x:c>
      <x:c r="AE43" s="8" t="str"/>
      <x:c r="AF43" s="8" t="str">
        <x:v>对应7.4.3「组织集成与经济价值」的工程或部署实例。</x:v>
      </x:c>
      <x:c r="AG43" s="8" t="str">
        <x:v>workspace</x:v>
      </x:c>
      <x:c r="AH43" s="8" t="str">
        <x:v>official documentation or non-paper release</x:v>
      </x:c>
      <x:c r="AI43" s="8" t="str"/>
      <x:c r="AJ43" s="8" t="str">
        <x:v>2026-10-16 AI Office survey bibliography</x:v>
      </x:c>
      <x:c r="AK43" s="13" t="d">
        <x:v>2026-10-16T00:00:00.000Z</x:v>
      </x:c>
      <x:c r="AL43" s="8" t="str">
        <x:v>来自AI Office综述的非论文引用，独立存放于Resources。年份沿用来源所引版本，网站当前内容可能已更新。</x:v>
      </x:c>
      <x:c r="AM43" s="8" t="str"/>
    </x:row>
    <x:row r="44" ht="68" customHeight="1">
      <x:c r="A44" s="8" t="str">
        <x:v>WA-0494</x:v>
      </x:c>
      <x:c r="B44" s="8" t="str">
        <x:v>OpenCode</x:v>
      </x:c>
      <x:c r="C44" s="8" t="str">
        <x:v>OpenCode: The Open-Source Coding Agent</x:v>
      </x:c>
      <x:c r="D44" s="9" t="n">
        <x:v>2025</x:v>
      </x:c>
      <x:c r="E44" s="8" t="str">
        <x:v>OpenCode contributors</x:v>
      </x:c>
      <x:c r="F44" s="21" t="str">
        <x:f>VLOOKUP(H44,'Taxonomy'!$A$6:$G$70,3,FALSE)</x:f>
        <x:v>评估与资源：如何检验工作完成</x:v>
      </x:c>
      <x:c r="G44" s="21" t="str">
        <x:f>VLOOKUP(H44,'Taxonomy'!$A$6:$G$70,5,FALSE)</x:f>
        <x:v>开放框架与执行环境</x:v>
      </x:c>
      <x:c r="H44" s="8" t="str">
        <x:v>6.4</x:v>
      </x:c>
      <x:c r="I44" s="21" t="str">
        <x:f>VLOOKUP(H44,'Taxonomy'!$A$6:$G$70,6,FALSE)</x:f>
        <x:v>开放框架与执行环境</x:v>
      </x:c>
      <x:c r="J44" s="8" t="str">
        <x:v>执行平台、隔离与规模化</x:v>
      </x:c>
      <x:c r="K44" s="8" t="str"/>
      <x:c r="L44" s="8" t="str"/>
      <x:c r="M44" s="8" t="str"/>
      <x:c r="N44" s="8" t="str">
        <x:v>Product/Resource</x:v>
      </x:c>
      <x:c r="O44" s="11" t="str">
        <x:v>https://opencode.ai/</x:v>
      </x:c>
      <x:c r="P44" s="8" t="str">
        <x:v>开放代码与终端智能体运行实现。</x:v>
      </x:c>
      <x:c r="Q44" s="8" t="str">
        <x:v>用于6.4「开放框架与执行环境」的工程、数据或部署背景。</x:v>
      </x:c>
      <x:c r="R44" s="8" t="str">
        <x:v>官方文档、项目或发布说明；不视为独立学术论文，也不把产品介绍当作可比较的性能实证。</x:v>
      </x:c>
      <x:c r="S44" s="8" t="str">
        <x:v>补充</x:v>
      </x:c>
      <x:c r="T44" s="22" t="str">
        <x:v>未分配</x:v>
      </x:c>
      <x:c r="U44" s="22" t="str"/>
      <x:c r="V44" s="22" t="str"/>
      <x:c r="W44" s="22" t="str"/>
      <x:c r="X44" s="8" t="str">
        <x:v>verified</x:v>
      </x:c>
      <x:c r="Y44" s="11" t="str"/>
      <x:c r="Z44" s="11" t="str"/>
      <x:c r="AA44" s="11" t="str">
        <x:v>https://opencode.ai/</x:v>
      </x:c>
      <x:c r="AB44" s="11" t="str">
        <x:v>https://opencode.ai/</x:v>
      </x:c>
      <x:c r="AC44" s="8" t="str">
        <x:v>AIO-183</x:v>
      </x:c>
      <x:c r="AD44" s="8" t="str">
        <x:v>官方页面或技术文档身份核对；非论文。</x:v>
      </x:c>
      <x:c r="AE44" s="8" t="str"/>
      <x:c r="AF44" s="8" t="str">
        <x:v>对应6.4「开放框架与执行环境」的工程或部署实例。</x:v>
      </x:c>
      <x:c r="AG44" s="8" t="str">
        <x:v>workspace</x:v>
      </x:c>
      <x:c r="AH44" s="8" t="str">
        <x:v>official documentation or non-paper release</x:v>
      </x:c>
      <x:c r="AI44" s="8" t="str"/>
      <x:c r="AJ44" s="8" t="str">
        <x:v>2026-10-16 AI Office survey bibliography</x:v>
      </x:c>
      <x:c r="AK44" s="13" t="d">
        <x:v>2026-10-16T00:00:00.000Z</x:v>
      </x:c>
      <x:c r="AL44" s="8" t="str">
        <x:v>来自AI Office综述的非论文引用，独立存放于Resources。年份沿用来源所引版本，网站当前内容可能已更新。</x:v>
      </x:c>
      <x:c r="AM44" s="8" t="str"/>
    </x:row>
    <x:row r="45" ht="68" customHeight="1">
      <x:c r="A45" s="8" t="str">
        <x:v>WA-0495</x:v>
      </x:c>
      <x:c r="B45" s="8" t="str">
        <x:v>Loop Engineering</x:v>
      </x:c>
      <x:c r="C45" s="8" t="str">
        <x:v>Loop Engineering: Designing Agentic Loops</x:v>
      </x:c>
      <x:c r="D45" s="9" t="n">
        <x:v>2025</x:v>
      </x:c>
      <x:c r="E45" s="8" t="str">
        <x:v>Addy Osmani</x:v>
      </x:c>
      <x:c r="F45" s="21" t="str">
        <x:f>VLOOKUP(H45,'Taxonomy'!$A$6:$G$70,3,FALSE)</x:f>
        <x:v>优化：从工作经验到系统能力</x:v>
      </x:c>
      <x:c r="G45" s="21" t="str">
        <x:f>VLOOKUP(H45,'Taxonomy'!$A$6:$G$70,5,FALSE)</x:f>
        <x:v>运行框架优化</x:v>
      </x:c>
      <x:c r="H45" s="8" t="str">
        <x:v>5.3.2</x:v>
      </x:c>
      <x:c r="I45" s="21" t="str">
        <x:f>VLOOKUP(H45,'Taxonomy'!$A$6:$G$70,6,FALSE)</x:f>
        <x:v>提示与工作流优化</x:v>
      </x:c>
      <x:c r="J45" s="8" t="str">
        <x:v>提示、流程与 harness 搜索</x:v>
      </x:c>
      <x:c r="K45" s="8" t="str"/>
      <x:c r="L45" s="8" t="str"/>
      <x:c r="M45" s="8" t="str"/>
      <x:c r="N45" s="8" t="str">
        <x:v>Product/Resource</x:v>
      </x:c>
      <x:c r="O45" s="11" t="str">
        <x:v>https://addyosmani.com/blog/loop-engineering/</x:v>
      </x:c>
      <x:c r="P45" s="8" t="str">
        <x:v>运行循环、验证、恢复与停止条件的工程实践说明。</x:v>
      </x:c>
      <x:c r="Q45" s="8" t="str">
        <x:v>用于5.3.2「提示与工作流优化」的工程、数据或部署背景。</x:v>
      </x:c>
      <x:c r="R45" s="8" t="str">
        <x:v>官方文档、项目或发布说明；不视为独立学术论文，也不把产品介绍当作可比较的性能实证。</x:v>
      </x:c>
      <x:c r="S45" s="8" t="str">
        <x:v>补充</x:v>
      </x:c>
      <x:c r="T45" s="22" t="str">
        <x:v>未分配</x:v>
      </x:c>
      <x:c r="U45" s="22" t="str"/>
      <x:c r="V45" s="22" t="str"/>
      <x:c r="W45" s="22" t="str"/>
      <x:c r="X45" s="8" t="str">
        <x:v>verified</x:v>
      </x:c>
      <x:c r="Y45" s="11" t="str"/>
      <x:c r="Z45" s="11" t="str"/>
      <x:c r="AA45" s="11" t="str">
        <x:v>https://addyosmani.com/blog/loop-engineering/</x:v>
      </x:c>
      <x:c r="AB45" s="11" t="str">
        <x:v>https://addyosmani.com/blog/loop-engineering/</x:v>
      </x:c>
      <x:c r="AC45" s="8" t="str">
        <x:v>AIO-186</x:v>
      </x:c>
      <x:c r="AD45" s="8" t="str">
        <x:v>官方页面或技术文档身份核对；非论文。</x:v>
      </x:c>
      <x:c r="AE45" s="8" t="str"/>
      <x:c r="AF45" s="8" t="str">
        <x:v>对应5.3.2「提示与工作流优化」的工程或部署实例。</x:v>
      </x:c>
      <x:c r="AG45" s="8" t="str">
        <x:v>harness</x:v>
      </x:c>
      <x:c r="AH45" s="8" t="str">
        <x:v>official documentation or non-paper release</x:v>
      </x:c>
      <x:c r="AI45" s="8" t="str"/>
      <x:c r="AJ45" s="8" t="str">
        <x:v>2026-10-16 AI Office survey bibliography</x:v>
      </x:c>
      <x:c r="AK45" s="13" t="d">
        <x:v>2026-10-16T00:00:00.000Z</x:v>
      </x:c>
      <x:c r="AL45" s="8" t="str">
        <x:v>来自AI Office综述的非论文引用，独立存放于Resources。年份沿用来源所引版本，网站当前内容可能已更新。</x:v>
      </x:c>
      <x:c r="AM45" s="8" t="str"/>
    </x:row>
    <x:row r="46" ht="68" customHeight="1">
      <x:c r="A46" s="8" t="str">
        <x:v>WA-0496</x:v>
      </x:c>
      <x:c r="B46" s="8" t="str">
        <x:v>PptxGenJS</x:v>
      </x:c>
      <x:c r="C46" s="8" t="str">
        <x:v>PptxGenJS Documentation</x:v>
      </x:c>
      <x:c r="D46" s="9" t="n">
        <x:v>2026</x:v>
      </x:c>
      <x:c r="E46" s="8" t="str">
        <x:v>PptxGenJS contributors</x:v>
      </x:c>
      <x:c r="F46" s="21" t="str">
        <x:f>VLOOKUP(H46,'Taxonomy'!$A$6:$G$70,3,FALSE)</x:f>
        <x:v>优化：从工作经验到系统能力</x:v>
      </x:c>
      <x:c r="G46" s="21" t="str">
        <x:f>VLOOKUP(H46,'Taxonomy'!$A$6:$G$70,5,FALSE)</x:f>
        <x:v>运行框架优化</x:v>
      </x:c>
      <x:c r="H46" s="8" t="str">
        <x:v>5.3.1</x:v>
      </x:c>
      <x:c r="I46" s="21" t="str">
        <x:f>VLOOKUP(H46,'Taxonomy'!$A$6:$G$70,6,FALSE)</x:f>
        <x:v>接口与工具优化</x:v>
      </x:c>
      <x:c r="J46" s="8" t="str">
        <x:v>接口与观测优化</x:v>
      </x:c>
      <x:c r="K46" s="8" t="str"/>
      <x:c r="L46" s="8" t="str"/>
      <x:c r="M46" s="8" t="str"/>
      <x:c r="N46" s="8" t="str">
        <x:v>Product/Resource</x:v>
      </x:c>
      <x:c r="O46" s="11" t="str">
        <x:v>https://gitbrent.github.io/PptxGenJS/</x:v>
      </x:c>
      <x:c r="P46" s="8" t="str">
        <x:v>用于创建可编辑幻灯片的程序化文件接口。</x:v>
      </x:c>
      <x:c r="Q46" s="8" t="str">
        <x:v>用于5.3.1「接口与工具优化」的工程、数据或部署背景。</x:v>
      </x:c>
      <x:c r="R46" s="8" t="str">
        <x:v>官方文档、项目或发布说明；不视为独立学术论文，也不把产品介绍当作可比较的性能实证。</x:v>
      </x:c>
      <x:c r="S46" s="8" t="str">
        <x:v>补充</x:v>
      </x:c>
      <x:c r="T46" s="22" t="str">
        <x:v>未分配</x:v>
      </x:c>
      <x:c r="U46" s="22" t="str"/>
      <x:c r="V46" s="22" t="str"/>
      <x:c r="W46" s="22" t="str"/>
      <x:c r="X46" s="8" t="str">
        <x:v>verified</x:v>
      </x:c>
      <x:c r="Y46" s="11" t="str"/>
      <x:c r="Z46" s="11" t="str"/>
      <x:c r="AA46" s="11" t="str">
        <x:v>https://gitbrent.github.io/PptxGenJS/</x:v>
      </x:c>
      <x:c r="AB46" s="11" t="str">
        <x:v>https://gitbrent.github.io/PptxGenJS/</x:v>
      </x:c>
      <x:c r="AC46" s="8" t="str">
        <x:v>AIO-197</x:v>
      </x:c>
      <x:c r="AD46" s="8" t="str">
        <x:v>官方页面或技术文档身份核对；非论文。</x:v>
      </x:c>
      <x:c r="AE46" s="8" t="str"/>
      <x:c r="AF46" s="8" t="str">
        <x:v>对应5.3.1「接口与工具优化」的工程或部署实例。</x:v>
      </x:c>
      <x:c r="AG46" s="8" t="str">
        <x:v>harness</x:v>
      </x:c>
      <x:c r="AH46" s="8" t="str">
        <x:v>official documentation or non-paper release</x:v>
      </x:c>
      <x:c r="AI46" s="8" t="str"/>
      <x:c r="AJ46" s="8" t="str">
        <x:v>2026-10-16 AI Office survey bibliography</x:v>
      </x:c>
      <x:c r="AK46" s="13" t="d">
        <x:v>2026-10-16T00:00:00.000Z</x:v>
      </x:c>
      <x:c r="AL46" s="8" t="str">
        <x:v>来自AI Office综述的非论文引用，独立存放于Resources。年份沿用来源所引版本，网站当前内容可能已更新。</x:v>
      </x:c>
      <x:c r="AM46" s="8" t="str"/>
    </x:row>
    <x:row r="47" ht="68" customHeight="1">
      <x:c r="A47" s="8" t="str">
        <x:v>WA-0497</x:v>
      </x:c>
      <x:c r="B47" s="8" t="str">
        <x:v>Quadratic</x:v>
      </x:c>
      <x:c r="C47" s="8" t="str">
        <x:v>Quadratic: The AI Spreadsheet</x:v>
      </x:c>
      <x:c r="D47" s="9" t="n">
        <x:v>2025</x:v>
      </x:c>
      <x:c r="E47" s="8" t="str">
        <x:v>Quadratic</x:v>
      </x:c>
      <x:c r="F47" s="21" t="str">
        <x:f>VLOOKUP(H47,'Taxonomy'!$A$6:$G$70,3,FALSE)</x:f>
        <x:v>基础：定义、工作条件与核心能力</x:v>
      </x:c>
      <x:c r="G47" s="21" t="str">
        <x:f>VLOOKUP(H47,'Taxonomy'!$A$6:$G$70,5,FALSE)</x:f>
        <x:v>相关智能体范式</x:v>
      </x:c>
      <x:c r="H47" s="8" t="str">
        <x:v>2.4.3</x:v>
      </x:c>
      <x:c r="I47" s="21" t="str">
        <x:f>VLOOKUP(H47,'Taxonomy'!$A$6:$G$70,6,FALSE)</x:f>
        <x:v>办公智能体</x:v>
      </x:c>
      <x:c r="J47" s="8" t="str">
        <x:v>范式与自主性边界;原生工件生成与编辑</x:v>
      </x:c>
      <x:c r="K47" s="8" t="str"/>
      <x:c r="L47" s="8" t="str"/>
      <x:c r="M47" s="8" t="str"/>
      <x:c r="N47" s="8" t="str">
        <x:v>Product/Resource</x:v>
      </x:c>
      <x:c r="O47" s="11" t="str">
        <x:v>https://www.quadratichq.com/</x:v>
      </x:c>
      <x:c r="P47" s="8" t="str">
        <x:v>公式、代码与数据连接结合的电子表格产品说明。</x:v>
      </x:c>
      <x:c r="Q47" s="8" t="str">
        <x:v>用于2.4.3「办公智能体」的工程、数据或部署背景。</x:v>
      </x:c>
      <x:c r="R47" s="8" t="str">
        <x:v>官方文档、项目或发布说明；不视为独立学术论文，也不把产品介绍当作可比较的性能实证。</x:v>
      </x:c>
      <x:c r="S47" s="8" t="str">
        <x:v>补充</x:v>
      </x:c>
      <x:c r="T47" s="22" t="str">
        <x:v>未分配</x:v>
      </x:c>
      <x:c r="U47" s="22" t="str"/>
      <x:c r="V47" s="22" t="str"/>
      <x:c r="W47" s="22" t="str"/>
      <x:c r="X47" s="8" t="str">
        <x:v>verified</x:v>
      </x:c>
      <x:c r="Y47" s="11" t="str"/>
      <x:c r="Z47" s="11" t="str"/>
      <x:c r="AA47" s="11" t="str">
        <x:v>https://www.quadratichq.com/</x:v>
      </x:c>
      <x:c r="AB47" s="11" t="str">
        <x:v>https://www.quadratichq.com/</x:v>
      </x:c>
      <x:c r="AC47" s="8" t="str">
        <x:v>AIO-202</x:v>
      </x:c>
      <x:c r="AD47" s="8" t="str">
        <x:v>官方页面或技术文档身份核对；非论文。</x:v>
      </x:c>
      <x:c r="AE47" s="8" t="str"/>
      <x:c r="AF47" s="8" t="str">
        <x:v>对应2.4.3「办公智能体」的工程或部署实例。</x:v>
      </x:c>
      <x:c r="AG47" s="8" t="str">
        <x:v>workspace</x:v>
      </x:c>
      <x:c r="AH47" s="8" t="str">
        <x:v>official documentation or non-paper release</x:v>
      </x:c>
      <x:c r="AI47" s="8" t="str"/>
      <x:c r="AJ47" s="8" t="str">
        <x:v>2026-10-16 AI Office survey bibliography</x:v>
      </x:c>
      <x:c r="AK47" s="13" t="d">
        <x:v>2026-10-16T00:00:00.000Z</x:v>
      </x:c>
      <x:c r="AL47" s="8" t="str">
        <x:v>来自AI Office综述的非论文引用，独立存放于Resources。年份沿用来源所引版本，网站当前内容可能已更新。</x:v>
      </x:c>
      <x:c r="AM47" s="8" t="str"/>
    </x:row>
    <x:row r="48" ht="68" customHeight="1">
      <x:c r="A48" s="8" t="str">
        <x:v>WA-0498</x:v>
      </x:c>
      <x:c r="B48" s="8" t="str">
        <x:v>Rows AI</x:v>
      </x:c>
      <x:c r="C48" s="8" t="str">
        <x:v>Rows AI: Spreadsheet and Data Analyst</x:v>
      </x:c>
      <x:c r="D48" s="9" t="n">
        <x:v>2024</x:v>
      </x:c>
      <x:c r="E48" s="8" t="str">
        <x:v>Rows</x:v>
      </x:c>
      <x:c r="F48" s="21" t="str">
        <x:f>VLOOKUP(H48,'Taxonomy'!$A$6:$G$70,3,FALSE)</x:f>
        <x:v>基础：定义、工作条件与核心能力</x:v>
      </x:c>
      <x:c r="G48" s="21" t="str">
        <x:f>VLOOKUP(H48,'Taxonomy'!$A$6:$G$70,5,FALSE)</x:f>
        <x:v>相关智能体范式</x:v>
      </x:c>
      <x:c r="H48" s="8" t="str">
        <x:v>2.4.3</x:v>
      </x:c>
      <x:c r="I48" s="21" t="str">
        <x:f>VLOOKUP(H48,'Taxonomy'!$A$6:$G$70,6,FALSE)</x:f>
        <x:v>办公智能体</x:v>
      </x:c>
      <x:c r="J48" s="8" t="str">
        <x:v>范式与自主性边界;原生工件生成与编辑</x:v>
      </x:c>
      <x:c r="K48" s="8" t="str"/>
      <x:c r="L48" s="8" t="str"/>
      <x:c r="M48" s="8" t="str"/>
      <x:c r="N48" s="8" t="str">
        <x:v>Product/Resource</x:v>
      </x:c>
      <x:c r="O48" s="11" t="str">
        <x:v>https://rows.com/ai</x:v>
      </x:c>
      <x:c r="P48" s="8" t="str">
        <x:v>表格数据获取、转换与分析的官方产品说明。</x:v>
      </x:c>
      <x:c r="Q48" s="8" t="str">
        <x:v>用于2.4.3「办公智能体」的工程、数据或部署背景。</x:v>
      </x:c>
      <x:c r="R48" s="8" t="str">
        <x:v>官方文档、项目或发布说明；不视为独立学术论文，也不把产品介绍当作可比较的性能实证。</x:v>
      </x:c>
      <x:c r="S48" s="8" t="str">
        <x:v>补充</x:v>
      </x:c>
      <x:c r="T48" s="22" t="str">
        <x:v>未分配</x:v>
      </x:c>
      <x:c r="U48" s="22" t="str"/>
      <x:c r="V48" s="22" t="str"/>
      <x:c r="W48" s="22" t="str"/>
      <x:c r="X48" s="8" t="str">
        <x:v>verified</x:v>
      </x:c>
      <x:c r="Y48" s="11" t="str"/>
      <x:c r="Z48" s="11" t="str"/>
      <x:c r="AA48" s="11" t="str">
        <x:v>https://rows.com/ai</x:v>
      </x:c>
      <x:c r="AB48" s="11" t="str">
        <x:v>https://rows.com/ai</x:v>
      </x:c>
      <x:c r="AC48" s="8" t="str">
        <x:v>AIO-210</x:v>
      </x:c>
      <x:c r="AD48" s="8" t="str">
        <x:v>官方页面或技术文档身份核对；非论文。</x:v>
      </x:c>
      <x:c r="AE48" s="8" t="str"/>
      <x:c r="AF48" s="8" t="str">
        <x:v>对应2.4.3「办公智能体」的工程或部署实例。</x:v>
      </x:c>
      <x:c r="AG48" s="8" t="str">
        <x:v>workspace</x:v>
      </x:c>
      <x:c r="AH48" s="8" t="str">
        <x:v>official documentation or non-paper release</x:v>
      </x:c>
      <x:c r="AI48" s="8" t="str"/>
      <x:c r="AJ48" s="8" t="str">
        <x:v>2026-10-16 AI Office survey bibliography</x:v>
      </x:c>
      <x:c r="AK48" s="13" t="d">
        <x:v>2026-10-16T00:00:00.000Z</x:v>
      </x:c>
      <x:c r="AL48" s="8" t="str">
        <x:v>来自AI Office综述的非论文引用，独立存放于Resources。年份沿用来源所引版本，网站当前内容可能已更新。</x:v>
      </x:c>
      <x:c r="AM48" s="8" t="str"/>
    </x:row>
    <x:row r="49" ht="68" customHeight="1">
      <x:c r="A49" s="8" t="str">
        <x:v>WA-0499</x:v>
      </x:c>
      <x:c r="B49" s="8" t="str">
        <x:v>WorkBuddy</x:v>
      </x:c>
      <x:c r="C49" s="8" t="str">
        <x:v>WorkBuddy: A Desktop Agent for Office Work</x:v>
      </x:c>
      <x:c r="D49" s="9" t="n">
        <x:v>2026</x:v>
      </x:c>
      <x:c r="E49" s="8" t="str">
        <x:v>Tencent Cloud</x:v>
      </x:c>
      <x:c r="F49" s="21" t="str">
        <x:f>VLOOKUP(H49,'Taxonomy'!$A$6:$G$70,3,FALSE)</x:f>
        <x:v>基础：定义、工作条件与核心能力</x:v>
      </x:c>
      <x:c r="G49" s="21" t="str">
        <x:f>VLOOKUP(H49,'Taxonomy'!$A$6:$G$70,5,FALSE)</x:f>
        <x:v>相关智能体范式</x:v>
      </x:c>
      <x:c r="H49" s="8" t="str">
        <x:v>2.4.3</x:v>
      </x:c>
      <x:c r="I49" s="21" t="str">
        <x:f>VLOOKUP(H49,'Taxonomy'!$A$6:$G$70,6,FALSE)</x:f>
        <x:v>办公智能体</x:v>
      </x:c>
      <x:c r="J49" s="8" t="str">
        <x:v>范式与自主性边界;原生工件生成与编辑</x:v>
      </x:c>
      <x:c r="K49" s="8" t="str"/>
      <x:c r="L49" s="8" t="str"/>
      <x:c r="M49" s="8" t="str"/>
      <x:c r="N49" s="8" t="str">
        <x:v>Product/Resource</x:v>
      </x:c>
      <x:c r="O49" s="11" t="str">
        <x:v>https://www.workbuddy.ai/</x:v>
      </x:c>
      <x:c r="P49" s="8" t="str">
        <x:v>跨办公成果与企业工具的桌面智能体产品说明。</x:v>
      </x:c>
      <x:c r="Q49" s="8" t="str">
        <x:v>用于2.4.3「办公智能体」的工程、数据或部署背景。</x:v>
      </x:c>
      <x:c r="R49" s="8" t="str">
        <x:v>官方文档、项目或发布说明；不视为独立学术论文，也不把产品介绍当作可比较的性能实证。</x:v>
      </x:c>
      <x:c r="S49" s="8" t="str">
        <x:v>补充</x:v>
      </x:c>
      <x:c r="T49" s="22" t="str">
        <x:v>未分配</x:v>
      </x:c>
      <x:c r="U49" s="22" t="str"/>
      <x:c r="V49" s="22" t="str"/>
      <x:c r="W49" s="22" t="str"/>
      <x:c r="X49" s="8" t="str">
        <x:v>verified</x:v>
      </x:c>
      <x:c r="Y49" s="11" t="str"/>
      <x:c r="Z49" s="11" t="str"/>
      <x:c r="AA49" s="11" t="str">
        <x:v>https://www.workbuddy.ai/</x:v>
      </x:c>
      <x:c r="AB49" s="11" t="str">
        <x:v>https://www.workbuddy.ai/</x:v>
      </x:c>
      <x:c r="AC49" s="8" t="str">
        <x:v>AIO-238</x:v>
      </x:c>
      <x:c r="AD49" s="8" t="str">
        <x:v>官方页面或技术文档身份核对；非论文。</x:v>
      </x:c>
      <x:c r="AE49" s="8" t="str"/>
      <x:c r="AF49" s="8" t="str">
        <x:v>对应2.4.3「办公智能体」的工程或部署实例。</x:v>
      </x:c>
      <x:c r="AG49" s="8" t="str">
        <x:v>workspace</x:v>
      </x:c>
      <x:c r="AH49" s="8" t="str">
        <x:v>official documentation or non-paper release</x:v>
      </x:c>
      <x:c r="AI49" s="8" t="str"/>
      <x:c r="AJ49" s="8" t="str">
        <x:v>2026-10-16 AI Office survey bibliography</x:v>
      </x:c>
      <x:c r="AK49" s="13" t="d">
        <x:v>2026-10-16T00:00:00.000Z</x:v>
      </x:c>
      <x:c r="AL49" s="8" t="str">
        <x:v>来自AI Office综述的非论文引用，独立存放于Resources。年份沿用来源所引版本，网站当前内容可能已更新。</x:v>
      </x:c>
      <x:c r="AM49" s="8" t="str"/>
    </x:row>
    <x:row r="50" ht="68" customHeight="1">
      <x:c r="A50" s="8" t="str">
        <x:v>WA-0500</x:v>
      </x:c>
      <x:c r="B50" s="8" t="str">
        <x:v>GLM Slide Agent</x:v>
      </x:c>
      <x:c r="C50" s="8" t="str">
        <x:v>GLM Slide and Poster Agent Documentation</x:v>
      </x:c>
      <x:c r="D50" s="9" t="n">
        <x:v>2026</x:v>
      </x:c>
      <x:c r="E50" s="8" t="str">
        <x:v>Z.AI</x:v>
      </x:c>
      <x:c r="F50" s="21" t="str">
        <x:f>VLOOKUP(H50,'Taxonomy'!$A$6:$G$70,3,FALSE)</x:f>
        <x:v>基础：定义、工作条件与核心能力</x:v>
      </x:c>
      <x:c r="G50" s="21" t="str">
        <x:f>VLOOKUP(H50,'Taxonomy'!$A$6:$G$70,5,FALSE)</x:f>
        <x:v>相关智能体范式</x:v>
      </x:c>
      <x:c r="H50" s="8" t="str">
        <x:v>2.4.3</x:v>
      </x:c>
      <x:c r="I50" s="21" t="str">
        <x:f>VLOOKUP(H50,'Taxonomy'!$A$6:$G$70,6,FALSE)</x:f>
        <x:v>办公智能体</x:v>
      </x:c>
      <x:c r="J50" s="8" t="str">
        <x:v>范式与自主性边界;原生工件生成与编辑</x:v>
      </x:c>
      <x:c r="K50" s="8" t="str"/>
      <x:c r="L50" s="8" t="str"/>
      <x:c r="M50" s="8" t="str"/>
      <x:c r="N50" s="8" t="str">
        <x:v>Product/Resource</x:v>
      </x:c>
      <x:c r="O50" s="11" t="str">
        <x:v>https://docs.z.ai/guides/agents/slide</x:v>
      </x:c>
      <x:c r="P50" s="8" t="str">
        <x:v>幻灯片与海报生成接口的官方技术文档。</x:v>
      </x:c>
      <x:c r="Q50" s="8" t="str">
        <x:v>用于2.4.3「办公智能体」的工程、数据或部署背景。</x:v>
      </x:c>
      <x:c r="R50" s="8" t="str">
        <x:v>官方文档、项目或发布说明；不视为独立学术论文，也不把产品介绍当作可比较的性能实证。</x:v>
      </x:c>
      <x:c r="S50" s="8" t="str">
        <x:v>补充</x:v>
      </x:c>
      <x:c r="T50" s="22" t="str">
        <x:v>未分配</x:v>
      </x:c>
      <x:c r="U50" s="22" t="str"/>
      <x:c r="V50" s="22" t="str"/>
      <x:c r="W50" s="22" t="str"/>
      <x:c r="X50" s="8" t="str">
        <x:v>verified</x:v>
      </x:c>
      <x:c r="Y50" s="11" t="str"/>
      <x:c r="Z50" s="11" t="str"/>
      <x:c r="AA50" s="11" t="str">
        <x:v>https://docs.z.ai/guides/agents/slide</x:v>
      </x:c>
      <x:c r="AB50" s="11" t="str">
        <x:v>https://docs.z.ai/guides/agents/slide</x:v>
      </x:c>
      <x:c r="AC50" s="8" t="str">
        <x:v>AIO-274</x:v>
      </x:c>
      <x:c r="AD50" s="8" t="str">
        <x:v>官方页面或技术文档身份核对；非论文。</x:v>
      </x:c>
      <x:c r="AE50" s="8" t="str"/>
      <x:c r="AF50" s="8" t="str">
        <x:v>对应2.4.3「办公智能体」的工程或部署实例。</x:v>
      </x:c>
      <x:c r="AG50" s="8" t="str">
        <x:v>workspace</x:v>
      </x:c>
      <x:c r="AH50" s="8" t="str">
        <x:v>official documentation or non-paper release</x:v>
      </x:c>
      <x:c r="AI50" s="8" t="str"/>
      <x:c r="AJ50" s="8" t="str">
        <x:v>2026-10-16 AI Office survey bibliography</x:v>
      </x:c>
      <x:c r="AK50" s="13" t="d">
        <x:v>2026-10-16T00:00:00.000Z</x:v>
      </x:c>
      <x:c r="AL50" s="8" t="str">
        <x:v>来自AI Office综述的非论文引用，独立存放于Resources。年份沿用来源所引版本，网站当前内容可能已更新。</x:v>
      </x:c>
      <x:c r="AM50" s="8" t="str"/>
    </x:row>
    <x:row r="51" ht="68" customHeight="1">
      <x:c r="A51" s="8" t="str">
        <x:v>WA-0501</x:v>
      </x:c>
      <x:c r="B51" s="8" t="str">
        <x:v>Zapier Agents</x:v>
      </x:c>
      <x:c r="C51" s="8" t="str">
        <x:v>Zapier Agents: Autonomous AI Teammates</x:v>
      </x:c>
      <x:c r="D51" s="9" t="n">
        <x:v>2025</x:v>
      </x:c>
      <x:c r="E51" s="8" t="str">
        <x:v>Zapier</x:v>
      </x:c>
      <x:c r="F51" s="21" t="str">
        <x:f>VLOOKUP(H51,'Taxonomy'!$A$6:$G$70,3,FALSE)</x:f>
        <x:v>基础：定义、工作条件与核心能力</x:v>
      </x:c>
      <x:c r="G51" s="21" t="str">
        <x:f>VLOOKUP(H51,'Taxonomy'!$A$6:$G$70,5,FALSE)</x:f>
        <x:v>相关智能体范式</x:v>
      </x:c>
      <x:c r="H51" s="8" t="str">
        <x:v>2.4.3</x:v>
      </x:c>
      <x:c r="I51" s="21" t="str">
        <x:f>VLOOKUP(H51,'Taxonomy'!$A$6:$G$70,6,FALSE)</x:f>
        <x:v>办公智能体</x:v>
      </x:c>
      <x:c r="J51" s="8" t="str">
        <x:v>范式与自主性边界;原生工件生成与编辑</x:v>
      </x:c>
      <x:c r="K51" s="8" t="str"/>
      <x:c r="L51" s="8" t="str"/>
      <x:c r="M51" s="8" t="str"/>
      <x:c r="N51" s="8" t="str">
        <x:v>Product/Resource</x:v>
      </x:c>
      <x:c r="O51" s="11" t="str">
        <x:v>https://zapier.com/agents</x:v>
      </x:c>
      <x:c r="P51" s="8" t="str">
        <x:v>跨应用事件与工具工作流的官方部署说明。</x:v>
      </x:c>
      <x:c r="Q51" s="8" t="str">
        <x:v>用于2.4.3「办公智能体」的工程、数据或部署背景。</x:v>
      </x:c>
      <x:c r="R51" s="8" t="str">
        <x:v>官方文档、项目或发布说明；不视为独立学术论文，也不把产品介绍当作可比较的性能实证。</x:v>
      </x:c>
      <x:c r="S51" s="8" t="str">
        <x:v>补充</x:v>
      </x:c>
      <x:c r="T51" s="22" t="str">
        <x:v>未分配</x:v>
      </x:c>
      <x:c r="U51" s="22" t="str"/>
      <x:c r="V51" s="22" t="str"/>
      <x:c r="W51" s="22" t="str"/>
      <x:c r="X51" s="8" t="str">
        <x:v>verified</x:v>
      </x:c>
      <x:c r="Y51" s="11" t="str"/>
      <x:c r="Z51" s="11" t="str"/>
      <x:c r="AA51" s="11" t="str">
        <x:v>https://zapier.com/agents</x:v>
      </x:c>
      <x:c r="AB51" s="11" t="str">
        <x:v>https://zapier.com/agents</x:v>
      </x:c>
      <x:c r="AC51" s="8" t="str">
        <x:v>AIO-276</x:v>
      </x:c>
      <x:c r="AD51" s="8" t="str">
        <x:v>官方页面或技术文档身份核对；非论文。</x:v>
      </x:c>
      <x:c r="AE51" s="8" t="str"/>
      <x:c r="AF51" s="8" t="str">
        <x:v>对应2.4.3「办公智能体」的工程或部署实例。</x:v>
      </x:c>
      <x:c r="AG51" s="8" t="str">
        <x:v>workspace</x:v>
      </x:c>
      <x:c r="AH51" s="8" t="str">
        <x:v>official documentation or non-paper release</x:v>
      </x:c>
      <x:c r="AI51" s="8" t="str"/>
      <x:c r="AJ51" s="8" t="str">
        <x:v>2026-10-16 AI Office survey bibliography</x:v>
      </x:c>
      <x:c r="AK51" s="13" t="d">
        <x:v>2026-10-16T00:00:00.000Z</x:v>
      </x:c>
      <x:c r="AL51" s="8" t="str">
        <x:v>来自AI Office综述的非论文引用，独立存放于Resources。年份沿用来源所引版本，网站当前内容可能已更新。</x:v>
      </x:c>
      <x:c r="AM51" s="8" t="str"/>
    </x:row>
  </x:sheetData>
  <x:conditionalFormatting sqref="A2:AM16">
    <x:cfRule type="expression" dxfId="2" priority="1">
      <x:formula>$X2="pending"</x:formula>
    </x:cfRule>
  </x:conditionalFormatting>
  <x:conditionalFormatting sqref="X2:X16">
    <x:cfRule type="containsText" dxfId="3" priority="2" operator="containsText" text="metadata-only"/>
  </x:conditionalFormatting>
  <x:conditionalFormatting sqref="A17:AM51">
    <x:cfRule type="expression" dxfId="6" priority="3">
      <x:formula>$X17="pending"</x:formula>
    </x:cfRule>
  </x:conditionalFormatting>
  <x:conditionalFormatting sqref="X17:X51">
    <x:cfRule type="containsText" dxfId="7" priority="4" operator="containsText" text="metadata-only"/>
  </x:conditionalFormatting>
  <x:dataValidations count="8">
    <x:dataValidation type="list" sqref="H2:H16">
      <x:formula1>'Taxonomy'!$A$6:$A$70</x:formula1>
    </x:dataValidation>
    <x:dataValidation type="list" sqref="T2:T16">
      <x:formula1>"未分配,待读,阅读中,已读"</x:formula1>
    </x:dataValidation>
    <x:dataValidation type="list" sqref="S2:S16">
      <x:formula1>"核心,补充,候选"</x:formula1>
    </x:dataValidation>
    <x:dataValidation type="list" sqref="X2:X16">
      <x:formula1>"verified,metadata-only,pending"</x:formula1>
    </x:dataValidation>
    <x:dataValidation type="list" sqref="H17:H51">
      <x:formula1>'Taxonomy'!$A$6:$A$70</x:formula1>
    </x:dataValidation>
    <x:dataValidation type="list" sqref="T17:T51">
      <x:formula1>"未分配,待读,阅读中,已读"</x:formula1>
    </x:dataValidation>
    <x:dataValidation type="list" sqref="S17:S51">
      <x:formula1>"核心,补充,候选"</x:formula1>
    </x:dataValidation>
    <x:dataValidation type="list" sqref="X17:X51">
      <x:formula1>"verified,metadata-only,pending"</x:formula1>
    </x:dataValidation>
  </x:dataValidations>
  <x:pageMargins left="0.7" right="0.7" top="0.75" bottom="0.75" header="0.3" footer="0.3"/>
  <x:tableParts count="1">
    <x:tablePart xmlns:r="http://schemas.openxmlformats.org/officeDocument/2006/relationships" r:id="R12b0f68aab3448bc"/>
  </x:tableParts>
</x:worksheet>
</file>

<file path=xl/worksheets/sheet4.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34" hidden="0" customWidth="1"/>
    <x:col min="2" max="2" width="38" hidden="0" customWidth="1"/>
    <x:col min="3" max="3" width="48" hidden="0" customWidth="1"/>
    <x:col min="4" max="4" width="76" hidden="0" customWidth="1"/>
    <x:col min="5" max="5" width="36" hidden="0" customWidth="1"/>
    <x:col min="6" max="6" width="42" hidden="0" customWidth="1"/>
    <x:col min="7" max="7" width="82" hidden="0" customWidth="1"/>
  </x:cols>
  <x:sheetData>
    <x:row r="1">
      <x:c r="A1" s="2"/>
      <x:c r="B1" s="2"/>
      <x:c r="C1" s="2"/>
      <x:c r="D1" s="2"/>
      <x:c r="E1" s="2"/>
      <x:c r="F1" s="2"/>
      <x:c r="G1" s="2"/>
    </x:row>
    <x:row r="2" ht="30" customHeight="1">
      <x:c r="A2" s="3" t="str">
        <x:v>论文分类词表 v0.2</x:v>
      </x:c>
      <x:c r="B2" s="2"/>
      <x:c r="C2" s="2"/>
      <x:c r="D2" s="2"/>
      <x:c r="E2" s="2"/>
      <x:c r="F2" s="2"/>
      <x:c r="G2" s="2"/>
    </x:row>
    <x:row r="3">
      <x:c r="A3" s="2" t="str">
        <x:v>按新版论文目录分类；原第4章能力迁至2.3，旧编号单独保留。</x:v>
      </x:c>
      <x:c r="B3" s="2"/>
      <x:c r="C3" s="2"/>
      <x:c r="D3" s="2"/>
      <x:c r="E3" s="2"/>
      <x:c r="F3" s="2"/>
      <x:c r="G3" s="2"/>
    </x:row>
    <x:row r="4">
      <x:c r="A4" s="2"/>
      <x:c r="B4" s="2"/>
      <x:c r="C4" s="2"/>
      <x:c r="D4" s="2"/>
      <x:c r="E4" s="2"/>
      <x:c r="F4" s="2"/>
      <x:c r="G4" s="2"/>
    </x:row>
    <x:row r="5" ht="32" customHeight="1">
      <x:c r="A5" s="7" t="str">
        <x:v>章节代码</x:v>
      </x:c>
      <x:c r="B5" s="7" t="str">
        <x:v>章编号</x:v>
      </x:c>
      <x:c r="C5" s="7" t="str">
        <x:v>一级分类</x:v>
      </x:c>
      <x:c r="D5" s="7" t="str">
        <x:v>节编号</x:v>
      </x:c>
      <x:c r="E5" s="7" t="str">
        <x:v>二级分类</x:v>
      </x:c>
      <x:c r="F5" s="7" t="str">
        <x:v>具体小节</x:v>
      </x:c>
      <x:c r="G5" s="7" t="str">
        <x:v>范围</x:v>
      </x:c>
    </x:row>
    <x:row r="6" ht="48" customHeight="1">
      <x:c r="A6" s="8" t="str">
        <x:v>2.1</x:v>
      </x:c>
      <x:c r="B6" s="8" t="str">
        <x:v>2</x:v>
      </x:c>
      <x:c r="C6" s="8" t="str">
        <x:v>基础：定义、工作条件与核心能力</x:v>
      </x:c>
      <x:c r="D6" s="8" t="str">
        <x:v>2.1</x:v>
      </x:c>
      <x:c r="E6" s="8" t="str">
        <x:v>定义与系统视角</x:v>
      </x:c>
      <x:c r="F6" s="8" t="str">
        <x:v>定义与系统视角</x:v>
      </x:c>
      <x:c r="G6" s="8" t="str">
        <x:v>连接任务、执行系统、工作对象、结果和验收。</x:v>
      </x:c>
    </x:row>
    <x:row r="7" ht="48" customHeight="1">
      <x:c r="A7" s="8" t="str">
        <x:v>2.1.1</x:v>
      </x:c>
      <x:c r="B7" s="8" t="str">
        <x:v>2</x:v>
      </x:c>
      <x:c r="C7" s="8" t="str">
        <x:v>基础：定义、工作条件与核心能力</x:v>
      </x:c>
      <x:c r="D7" s="8" t="str">
        <x:v>2.1</x:v>
      </x:c>
      <x:c r="E7" s="8" t="str">
        <x:v>定义与系统视角</x:v>
      </x:c>
      <x:c r="F7" s="8" t="str">
        <x:v>定义与范围</x:v>
      </x:c>
      <x:c r="G7" s="8" t="str">
        <x:v>界定数字知识工作与可接受的工作结果，区分问答、操作和交付。</x:v>
      </x:c>
    </x:row>
    <x:row r="8" ht="48" customHeight="1">
      <x:c r="A8" s="8" t="str">
        <x:v>2.1.2</x:v>
      </x:c>
      <x:c r="B8" s="8" t="str">
        <x:v>2</x:v>
      </x:c>
      <x:c r="C8" s="8" t="str">
        <x:v>基础：定义、工作条件与核心能力</x:v>
      </x:c>
      <x:c r="D8" s="8" t="str">
        <x:v>2.1</x:v>
      </x:c>
      <x:c r="E8" s="8" t="str">
        <x:v>定义与系统视角</x:v>
      </x:c>
      <x:c r="F8" s="8" t="str">
        <x:v>工作过程六要素</x:v>
      </x:c>
      <x:c r="G8" s="8" t="str">
        <x:v>Task、Model、Harness、Workspace、Outcome、Verification 及委托权限与职责。</x:v>
      </x:c>
    </x:row>
    <x:row r="9" ht="48" customHeight="1">
      <x:c r="A9" s="8" t="str">
        <x:v>2.1.3</x:v>
      </x:c>
      <x:c r="B9" s="8" t="str">
        <x:v>2</x:v>
      </x:c>
      <x:c r="C9" s="8" t="str">
        <x:v>基础：定义、工作条件与核心能力</x:v>
      </x:c>
      <x:c r="D9" s="8" t="str">
        <x:v>2.1</x:v>
      </x:c>
      <x:c r="E9" s="8" t="str">
        <x:v>定义与系统视角</x:v>
      </x:c>
      <x:c r="F9" s="8" t="str">
        <x:v>工作过程形式化</x:v>
      </x:c>
      <x:c r="G9" s="8" t="str">
        <x:v>任务、工作区初始状态、交互轨迹、最终状态、成果与验收的关系。</x:v>
      </x:c>
    </x:row>
    <x:row r="10" ht="48" customHeight="1">
      <x:c r="A10" s="8" t="str">
        <x:v>2.2</x:v>
      </x:c>
      <x:c r="B10" s="8" t="str">
        <x:v>2</x:v>
      </x:c>
      <x:c r="C10" s="8" t="str">
        <x:v>基础：定义、工作条件与核心能力</x:v>
      </x:c>
      <x:c r="D10" s="8" t="str">
        <x:v>2.2</x:v>
      </x:c>
      <x:c r="E10" s="8" t="str">
        <x:v>工作条件</x:v>
      </x:c>
      <x:c r="F10" s="8" t="str">
        <x:v>工作条件</x:v>
      </x:c>
      <x:c r="G10" s="8" t="str">
        <x:v>持久性与开放性是独立条件，不能由执行长度或应用数互相推出。</x:v>
      </x:c>
    </x:row>
    <x:row r="11" ht="48" customHeight="1">
      <x:c r="A11" s="8" t="str">
        <x:v>2.2.1</x:v>
      </x:c>
      <x:c r="B11" s="8" t="str">
        <x:v>2</x:v>
      </x:c>
      <x:c r="C11" s="8" t="str">
        <x:v>基础：定义、工作条件与核心能力</x:v>
      </x:c>
      <x:c r="D11" s="8" t="str">
        <x:v>2.2</x:v>
      </x:c>
      <x:c r="E11" s="8" t="str">
        <x:v>工作条件</x:v>
      </x:c>
      <x:c r="F11" s="8" t="str">
        <x:v>工作持久性</x:v>
      </x:c>
      <x:c r="G11" s="8" t="str">
        <x:v>委托责任何时关闭、是否跨请求或事件继续保留；工作状态、依赖和承诺的保存支撑这种连续性。执行耗时本身不能证明持续责任。</x:v>
      </x:c>
    </x:row>
    <x:row r="12" ht="48" customHeight="1">
      <x:c r="A12" s="8" t="str">
        <x:v>2.2.2</x:v>
      </x:c>
      <x:c r="B12" s="8" t="str">
        <x:v>2</x:v>
      </x:c>
      <x:c r="C12" s="8" t="str">
        <x:v>基础：定义、工作条件与核心能力</x:v>
      </x:c>
      <x:c r="D12" s="8" t="str">
        <x:v>2.2</x:v>
      </x:c>
      <x:c r="E12" s="8" t="str">
        <x:v>工作条件</x:v>
      </x:c>
      <x:c r="F12" s="8" t="str">
        <x:v>工作开放性</x:v>
      </x:c>
      <x:c r="G12" s="8" t="str">
        <x:v>对象发现、表示异构性、环境变化、外部参与者、权限和多条可行路径。</x:v>
      </x:c>
    </x:row>
    <x:row r="13" ht="48" customHeight="1">
      <x:c r="A13" s="8" t="str">
        <x:v>2.3</x:v>
      </x:c>
      <x:c r="B13" s="8" t="str">
        <x:v>2</x:v>
      </x:c>
      <x:c r="C13" s="8" t="str">
        <x:v>基础：定义、工作条件与核心能力</x:v>
      </x:c>
      <x:c r="D13" s="8" t="str">
        <x:v>2.3</x:v>
      </x:c>
      <x:c r="E13" s="8" t="str">
        <x:v>五项核心能力</x:v>
      </x:c>
      <x:c r="F13" s="8" t="str">
        <x:v>五项核心能力</x:v>
      </x:c>
      <x:c r="G13" s="8" t="str">
        <x:v>围绕完成可靠工作解释能力组合，不能把领域、接口和能力并成一层。</x:v>
      </x:c>
    </x:row>
    <x:row r="14" ht="48" customHeight="1">
      <x:c r="A14" s="8" t="str">
        <x:v>2.3.1</x:v>
      </x:c>
      <x:c r="B14" s="8" t="str">
        <x:v>2</x:v>
      </x:c>
      <x:c r="C14" s="8" t="str">
        <x:v>基础：定义、工作条件与核心能力</x:v>
      </x:c>
      <x:c r="D14" s="8" t="str">
        <x:v>2.3</x:v>
      </x:c>
      <x:c r="E14" s="8" t="str">
        <x:v>五项核心能力</x:v>
      </x:c>
      <x:c r="F14" s="8" t="str">
        <x:v>感知与理解</x:v>
      </x:c>
      <x:c r="G14" s="8" t="str">
        <x:v>读懂内容、原生结构、来源及跨对象关系，发现与定位支持行动的证据。</x:v>
      </x:c>
    </x:row>
    <x:row r="15" ht="48" customHeight="1">
      <x:c r="A15" s="8" t="str">
        <x:v>2.3.2</x:v>
      </x:c>
      <x:c r="B15" s="8" t="str">
        <x:v>2</x:v>
      </x:c>
      <x:c r="C15" s="8" t="str">
        <x:v>基础：定义、工作条件与核心能力</x:v>
      </x:c>
      <x:c r="D15" s="8" t="str">
        <x:v>2.3</x:v>
      </x:c>
      <x:c r="E15" s="8" t="str">
        <x:v>五项核心能力</x:v>
      </x:c>
      <x:c r="F15" s="8" t="str">
        <x:v>推理与决策</x:v>
      </x:c>
      <x:c r="G15" s="8" t="str">
        <x:v>把证据、专业知识与规则联系起来，判断行动和结果是否适用。</x:v>
      </x:c>
    </x:row>
    <x:row r="16" ht="48" customHeight="1">
      <x:c r="A16" s="8" t="str">
        <x:v>2.3.3</x:v>
      </x:c>
      <x:c r="B16" s="8" t="str">
        <x:v>2</x:v>
      </x:c>
      <x:c r="C16" s="8" t="str">
        <x:v>基础：定义、工作条件与核心能力</x:v>
      </x:c>
      <x:c r="D16" s="8" t="str">
        <x:v>2.3</x:v>
      </x:c>
      <x:c r="E16" s="8" t="str">
        <x:v>五项核心能力</x:v>
      </x:c>
      <x:c r="F16" s="8" t="str">
        <x:v>规划与协调</x:v>
      </x:c>
      <x:c r="G16" s="8" t="str">
        <x:v>组织目标、行动依赖及参与者掌握的信息、权限与进度。</x:v>
      </x:c>
    </x:row>
    <x:row r="17" ht="48" customHeight="1">
      <x:c r="A17" s="8" t="str">
        <x:v>2.3.4</x:v>
      </x:c>
      <x:c r="B17" s="8" t="str">
        <x:v>2</x:v>
      </x:c>
      <x:c r="C17" s="8" t="str">
        <x:v>基础：定义、工作条件与核心能力</x:v>
      </x:c>
      <x:c r="D17" s="8" t="str">
        <x:v>2.3</x:v>
      </x:c>
      <x:c r="E17" s="8" t="str">
        <x:v>五项核心能力</x:v>
      </x:c>
      <x:c r="F17" s="8" t="str">
        <x:v>执行与状态管理</x:v>
      </x:c>
      <x:c r="G17" s="8" t="str">
        <x:v>对正确对象实现变化，保持无关正确内容、有效版本和任务进度。</x:v>
      </x:c>
    </x:row>
    <x:row r="18" ht="48" customHeight="1">
      <x:c r="A18" s="8" t="str">
        <x:v>2.3.5</x:v>
      </x:c>
      <x:c r="B18" s="8" t="str">
        <x:v>2</x:v>
      </x:c>
      <x:c r="C18" s="8" t="str">
        <x:v>基础：定义、工作条件与核心能力</x:v>
      </x:c>
      <x:c r="D18" s="8" t="str">
        <x:v>2.3</x:v>
      </x:c>
      <x:c r="E18" s="8" t="str">
        <x:v>五项核心能力</x:v>
      </x:c>
      <x:c r="F18" s="8" t="str">
        <x:v>验证、恢复与重新规划</x:v>
      </x:c>
      <x:c r="G18" s="8" t="str">
        <x:v>对照实际成果与状态检查要求，诊断问题、修复对象或调整路线。</x:v>
      </x:c>
    </x:row>
    <x:row r="19" ht="48" customHeight="1">
      <x:c r="A19" s="8" t="str">
        <x:v>2.4</x:v>
      </x:c>
      <x:c r="B19" s="8" t="str">
        <x:v>2</x:v>
      </x:c>
      <x:c r="C19" s="8" t="str">
        <x:v>基础：定义、工作条件与核心能力</x:v>
      </x:c>
      <x:c r="D19" s="8" t="str">
        <x:v>2.4</x:v>
      </x:c>
      <x:c r="E19" s="8" t="str">
        <x:v>相关智能体范式</x:v>
      </x:c>
      <x:c r="F19" s="8" t="str">
        <x:v>相关智能体范式</x:v>
      </x:c>
      <x:c r="G19" s="8" t="str">
        <x:v>区分工作完成视角、执行跨度、交互方式与办公领域。</x:v>
      </x:c>
    </x:row>
    <x:row r="20" ht="48" customHeight="1">
      <x:c r="A20" s="8" t="str">
        <x:v>2.4.1</x:v>
      </x:c>
      <x:c r="B20" s="8" t="str">
        <x:v>2</x:v>
      </x:c>
      <x:c r="C20" s="8" t="str">
        <x:v>基础：定义、工作条件与核心能力</x:v>
      </x:c>
      <x:c r="D20" s="8" t="str">
        <x:v>2.4</x:v>
      </x:c>
      <x:c r="E20" s="8" t="str">
        <x:v>相关智能体范式</x:v>
      </x:c>
      <x:c r="F20" s="8" t="str">
        <x:v>长时程智能体</x:v>
      </x:c>
      <x:c r="G20" s="8" t="str">
        <x:v>讨论长运行与上下文跨度；长执行本身不证明持续工作责任。</x:v>
      </x:c>
    </x:row>
    <x:row r="21" ht="48" customHeight="1">
      <x:c r="A21" s="8" t="str">
        <x:v>2.4.2</x:v>
      </x:c>
      <x:c r="B21" s="8" t="str">
        <x:v>2</x:v>
      </x:c>
      <x:c r="C21" s="8" t="str">
        <x:v>基础：定义、工作条件与核心能力</x:v>
      </x:c>
      <x:c r="D21" s="8" t="str">
        <x:v>2.4</x:v>
      </x:c>
      <x:c r="E21" s="8" t="str">
        <x:v>相关智能体范式</x:v>
      </x:c>
      <x:c r="F21" s="8" t="str">
        <x:v>计算机使用智能体</x:v>
      </x:c>
      <x:c r="G21" s="8" t="str">
        <x:v>以 GUI、浏览器、桌面和移动应用为交互路线。</x:v>
      </x:c>
    </x:row>
    <x:row r="22" ht="48" customHeight="1">
      <x:c r="A22" s="8" t="str">
        <x:v>2.4.3</x:v>
      </x:c>
      <x:c r="B22" s="8" t="str">
        <x:v>2</x:v>
      </x:c>
      <x:c r="C22" s="8" t="str">
        <x:v>基础：定义、工作条件与核心能力</x:v>
      </x:c>
      <x:c r="D22" s="8" t="str">
        <x:v>2.4</x:v>
      </x:c>
      <x:c r="E22" s="8" t="str">
        <x:v>相关智能体范式</x:v>
      </x:c>
      <x:c r="F22" s="8" t="str">
        <x:v>办公智能体</x:v>
      </x:c>
      <x:c r="G22" s="8" t="str">
        <x:v>以办公文件及应用作为研究对象，区分理解与可交付产物操作。</x:v>
      </x:c>
    </x:row>
    <x:row r="23" ht="48" customHeight="1">
      <x:c r="A23" s="8" t="str">
        <x:v>2.4.4</x:v>
      </x:c>
      <x:c r="B23" s="8" t="str">
        <x:v>2</x:v>
      </x:c>
      <x:c r="C23" s="8" t="str">
        <x:v>基础：定义、工作条件与核心能力</x:v>
      </x:c>
      <x:c r="D23" s="8" t="str">
        <x:v>2.4</x:v>
      </x:c>
      <x:c r="E23" s="8" t="str">
        <x:v>相关智能体范式</x:v>
      </x:c>
      <x:c r="F23" s="8" t="str">
        <x:v>范式间关系</x:v>
      </x:c>
      <x:c r="G23" s="8" t="str">
        <x:v>范式可重叠；工作形态、自主程度、跨度和交互方式不应排列成同一等级。</x:v>
      </x:c>
    </x:row>
    <x:row r="24" ht="48" customHeight="1">
      <x:c r="A24" s="8" t="str">
        <x:v>3.1</x:v>
      </x:c>
      <x:c r="B24" s="8" t="str">
        <x:v>3</x:v>
      </x:c>
      <x:c r="C24" s="8" t="str">
        <x:v>工作形态：代理承担什么工作</x:v>
      </x:c>
      <x:c r="D24" s="8" t="str">
        <x:v>3.1</x:v>
      </x:c>
      <x:c r="E24" s="8" t="str">
        <x:v>响应级工作</x:v>
      </x:c>
      <x:c r="F24" s="8" t="str">
        <x:v>响应级工作</x:v>
      </x:c>
      <x:c r="G24" s="8" t="str">
        <x:v>验收对象主要是信息性回答；不据此推断外部状态已改变。</x:v>
      </x:c>
    </x:row>
    <x:row r="25" ht="48" customHeight="1">
      <x:c r="A25" s="8" t="str">
        <x:v>3.2</x:v>
      </x:c>
      <x:c r="B25" s="8" t="str">
        <x:v>3</x:v>
      </x:c>
      <x:c r="C25" s="8" t="str">
        <x:v>工作形态：代理承担什么工作</x:v>
      </x:c>
      <x:c r="D25" s="8" t="str">
        <x:v>3.2</x:v>
      </x:c>
      <x:c r="E25" s="8" t="str">
        <x:v>原子动作级工作</x:v>
      </x:c>
      <x:c r="F25" s="8" t="str">
        <x:v>原子动作级工作</x:v>
      </x:c>
      <x:c r="G25" s="8" t="str">
        <x:v>落实一个边界明确、具有可观察效果的操作。</x:v>
      </x:c>
    </x:row>
    <x:row r="26" ht="48" customHeight="1">
      <x:c r="A26" s="8" t="str">
        <x:v>3.3</x:v>
      </x:c>
      <x:c r="B26" s="8" t="str">
        <x:v>3</x:v>
      </x:c>
      <x:c r="C26" s="8" t="str">
        <x:v>工作形态：代理承担什么工作</x:v>
      </x:c>
      <x:c r="D26" s="8" t="str">
        <x:v>3.3</x:v>
      </x:c>
      <x:c r="E26" s="8" t="str">
        <x:v>多步骤级工作</x:v>
      </x:c>
      <x:c r="F26" s="8" t="str">
        <x:v>多步骤级工作</x:v>
      </x:c>
      <x:c r="G26" s="8" t="str">
        <x:v>通过多个相互关联的动作实现一个连贯目标。</x:v>
      </x:c>
    </x:row>
    <x:row r="27" ht="48" customHeight="1">
      <x:c r="A27" s="8" t="str">
        <x:v>3.4</x:v>
      </x:c>
      <x:c r="B27" s="8" t="str">
        <x:v>3</x:v>
      </x:c>
      <x:c r="C27" s="8" t="str">
        <x:v>工作形态：代理承担什么工作</x:v>
      </x:c>
      <x:c r="D27" s="8" t="str">
        <x:v>3.4</x:v>
      </x:c>
      <x:c r="E27" s="8" t="str">
        <x:v>工作流级工作</x:v>
      </x:c>
      <x:c r="F27" s="8" t="str">
        <x:v>工作流级工作</x:v>
      </x:c>
      <x:c r="G27" s="8" t="str">
        <x:v>满足具有依赖、业务规则与阶段条件的工作过程。</x:v>
      </x:c>
    </x:row>
    <x:row r="28" ht="48" customHeight="1">
      <x:c r="A28" s="8" t="str">
        <x:v>3.5</x:v>
      </x:c>
      <x:c r="B28" s="8" t="str">
        <x:v>3</x:v>
      </x:c>
      <x:c r="C28" s="8" t="str">
        <x:v>工作形态：代理承担什么工作</x:v>
      </x:c>
      <x:c r="D28" s="8" t="str">
        <x:v>3.5</x:v>
      </x:c>
      <x:c r="E28" s="8" t="str">
        <x:v>工作空间级工作</x:v>
      </x:c>
      <x:c r="F28" s="8" t="str">
        <x:v>工作空间级工作</x:v>
      </x:c>
      <x:c r="G28" s="8" t="str">
        <x:v>发现和维护多个相关对象、文件及成套交付物之间的关系。</x:v>
      </x:c>
    </x:row>
    <x:row r="29" ht="48" customHeight="1">
      <x:c r="A29" s="8" t="str">
        <x:v>5.1</x:v>
      </x:c>
      <x:c r="B29" s="8" t="str">
        <x:v>5</x:v>
      </x:c>
      <x:c r="C29" s="8" t="str">
        <x:v>优化：从工作经验到系统能力</x:v>
      </x:c>
      <x:c r="D29" s="8" t="str">
        <x:v>5.1</x:v>
      </x:c>
      <x:c r="E29" s="8" t="str">
        <x:v>训练环境、数据与奖励</x:v>
      </x:c>
      <x:c r="F29" s="8" t="str">
        <x:v>训练环境、数据与奖励</x:v>
      </x:c>
      <x:c r="G29" s="8" t="str">
        <x:v>构造可执行并带有可用反馈的工作经验。</x:v>
      </x:c>
    </x:row>
    <x:row r="30" ht="48" customHeight="1">
      <x:c r="A30" s="8" t="str">
        <x:v>5.1.1</x:v>
      </x:c>
      <x:c r="B30" s="8" t="str">
        <x:v>5</x:v>
      </x:c>
      <x:c r="C30" s="8" t="str">
        <x:v>优化：从工作经验到系统能力</x:v>
      </x:c>
      <x:c r="D30" s="8" t="str">
        <x:v>5.1</x:v>
      </x:c>
      <x:c r="E30" s="8" t="str">
        <x:v>训练环境、数据与奖励</x:v>
      </x:c>
      <x:c r="F30" s="8" t="str">
        <x:v>任务与环境合成</x:v>
      </x:c>
      <x:c r="G30" s="8" t="str">
        <x:v>从真实对象、职业需求、技能或程序化规格构建任务与执行环境。</x:v>
      </x:c>
    </x:row>
    <x:row r="31" ht="48" customHeight="1">
      <x:c r="A31" s="8" t="str">
        <x:v>5.1.2</x:v>
      </x:c>
      <x:c r="B31" s="8" t="str">
        <x:v>5</x:v>
      </x:c>
      <x:c r="C31" s="8" t="str">
        <x:v>优化：从工作经验到系统能力</x:v>
      </x:c>
      <x:c r="D31" s="8" t="str">
        <x:v>5.1</x:v>
      </x:c>
      <x:c r="E31" s="8" t="str">
        <x:v>训练环境、数据与奖励</x:v>
      </x:c>
      <x:c r="F31" s="8" t="str">
        <x:v>轨迹采集与筛选</x:v>
      </x:c>
      <x:c r="G31" s="8" t="str">
        <x:v>收集、组合、过滤及修订能支持学习的交互记录。</x:v>
      </x:c>
    </x:row>
    <x:row r="32" ht="48" customHeight="1">
      <x:c r="A32" s="8" t="str">
        <x:v>5.1.3</x:v>
      </x:c>
      <x:c r="B32" s="8" t="str">
        <x:v>5</x:v>
      </x:c>
      <x:c r="C32" s="8" t="str">
        <x:v>优化：从工作经验到系统能力</x:v>
      </x:c>
      <x:c r="D32" s="8" t="str">
        <x:v>5.1</x:v>
      </x:c>
      <x:c r="E32" s="8" t="str">
        <x:v>训练环境、数据与奖励</x:v>
      </x:c>
      <x:c r="F32" s="8" t="str">
        <x:v>奖励与验证信号</x:v>
      </x:c>
      <x:c r="G32" s="8" t="str">
        <x:v>设计结果、工件质量及阶段进度等训练反馈。</x:v>
      </x:c>
    </x:row>
    <x:row r="33" ht="48" customHeight="1">
      <x:c r="A33" s="8" t="str">
        <x:v>5.2</x:v>
      </x:c>
      <x:c r="B33" s="8" t="str">
        <x:v>5</x:v>
      </x:c>
      <x:c r="C33" s="8" t="str">
        <x:v>优化：从工作经验到系统能力</x:v>
      </x:c>
      <x:c r="D33" s="8" t="str">
        <x:v>5.2</x:v>
      </x:c>
      <x:c r="E33" s="8" t="str">
        <x:v>模型优化</x:v>
      </x:c>
      <x:c r="F33" s="8" t="str">
        <x:v>模型优化</x:v>
      </x:c>
      <x:c r="G33" s="8" t="str">
        <x:v>通过监督、强化、蒸馏或自改进训练更新模型参数。</x:v>
      </x:c>
    </x:row>
    <x:row r="34" ht="48" customHeight="1">
      <x:c r="A34" s="8" t="str">
        <x:v>5.2.1</x:v>
      </x:c>
      <x:c r="B34" s="8" t="str">
        <x:v>5</x:v>
      </x:c>
      <x:c r="C34" s="8" t="str">
        <x:v>优化：从工作经验到系统能力</x:v>
      </x:c>
      <x:c r="D34" s="8" t="str">
        <x:v>5.2</x:v>
      </x:c>
      <x:c r="E34" s="8" t="str">
        <x:v>模型优化</x:v>
      </x:c>
      <x:c r="F34" s="8" t="str">
        <x:v>中期训练与监督微调</x:v>
      </x:c>
      <x:c r="G34" s="8" t="str">
        <x:v>让训练分布匹配交互与工作过程所需行为。</x:v>
      </x:c>
    </x:row>
    <x:row r="35" ht="48" customHeight="1">
      <x:c r="A35" s="8" t="str">
        <x:v>5.2.2</x:v>
      </x:c>
      <x:c r="B35" s="8" t="str">
        <x:v>5</x:v>
      </x:c>
      <x:c r="C35" s="8" t="str">
        <x:v>优化：从工作经验到系统能力</x:v>
      </x:c>
      <x:c r="D35" s="8" t="str">
        <x:v>5.2</x:v>
      </x:c>
      <x:c r="E35" s="8" t="str">
        <x:v>模型优化</x:v>
      </x:c>
      <x:c r="F35" s="8" t="str">
        <x:v>智能体强化学习</x:v>
      </x:c>
      <x:c r="G35" s="8" t="str">
        <x:v>从多轮环境交互及稀疏或过程反馈学习行动策略。</x:v>
      </x:c>
    </x:row>
    <x:row r="36" ht="48" customHeight="1">
      <x:c r="A36" s="8" t="str">
        <x:v>5.2.3</x:v>
      </x:c>
      <x:c r="B36" s="8" t="str">
        <x:v>5</x:v>
      </x:c>
      <x:c r="C36" s="8" t="str">
        <x:v>优化：从工作经验到系统能力</x:v>
      </x:c>
      <x:c r="D36" s="8" t="str">
        <x:v>5.2</x:v>
      </x:c>
      <x:c r="E36" s="8" t="str">
        <x:v>模型优化</x:v>
      </x:c>
      <x:c r="F36" s="8" t="str">
        <x:v>同策略蒸馏</x:v>
      </x:c>
      <x:c r="G36" s="8" t="str">
        <x:v>在学生生成的状态与轨迹上使用教师监督，缓解分布偏移。</x:v>
      </x:c>
    </x:row>
    <x:row r="37" ht="48" customHeight="1">
      <x:c r="A37" s="8" t="str">
        <x:v>5.2.4</x:v>
      </x:c>
      <x:c r="B37" s="8" t="str">
        <x:v>5</x:v>
      </x:c>
      <x:c r="C37" s="8" t="str">
        <x:v>优化：从工作经验到系统能力</x:v>
      </x:c>
      <x:c r="D37" s="8" t="str">
        <x:v>5.2</x:v>
      </x:c>
      <x:c r="E37" s="8" t="str">
        <x:v>模型优化</x:v>
      </x:c>
      <x:c r="F37" s="8" t="str">
        <x:v>自改进模型训练</x:v>
      </x:c>
      <x:c r="G37" s="8" t="str">
        <x:v>把自身失败、经验或反馈转为新的参数学习信号。</x:v>
      </x:c>
    </x:row>
    <x:row r="38" ht="48" customHeight="1">
      <x:c r="A38" s="8" t="str">
        <x:v>5.3</x:v>
      </x:c>
      <x:c r="B38" s="8" t="str">
        <x:v>5</x:v>
      </x:c>
      <x:c r="C38" s="8" t="str">
        <x:v>优化：从工作经验到系统能力</x:v>
      </x:c>
      <x:c r="D38" s="8" t="str">
        <x:v>5.3</x:v>
      </x:c>
      <x:c r="E38" s="8" t="str">
        <x:v>运行框架优化</x:v>
      </x:c>
      <x:c r="F38" s="8" t="str">
        <x:v>运行框架优化</x:v>
      </x:c>
      <x:c r="G38" s="8" t="str">
        <x:v>保持模型或主要执行器固定，改进接口、提示、流程、记忆及技能。</x:v>
      </x:c>
    </x:row>
    <x:row r="39" ht="48" customHeight="1">
      <x:c r="A39" s="8" t="str">
        <x:v>5.3.1</x:v>
      </x:c>
      <x:c r="B39" s="8" t="str">
        <x:v>5</x:v>
      </x:c>
      <x:c r="C39" s="8" t="str">
        <x:v>优化：从工作经验到系统能力</x:v>
      </x:c>
      <x:c r="D39" s="8" t="str">
        <x:v>5.3</x:v>
      </x:c>
      <x:c r="E39" s="8" t="str">
        <x:v>运行框架优化</x:v>
      </x:c>
      <x:c r="F39" s="8" t="str">
        <x:v>接口与工具优化</x:v>
      </x:c>
      <x:c r="G39" s="8" t="str">
        <x:v>改进动作表示、工具描述、观测压缩和执行边界。</x:v>
      </x:c>
    </x:row>
    <x:row r="40" ht="48" customHeight="1">
      <x:c r="A40" s="8" t="str">
        <x:v>5.3.2</x:v>
      </x:c>
      <x:c r="B40" s="8" t="str">
        <x:v>5</x:v>
      </x:c>
      <x:c r="C40" s="8" t="str">
        <x:v>优化：从工作经验到系统能力</x:v>
      </x:c>
      <x:c r="D40" s="8" t="str">
        <x:v>5.3</x:v>
      </x:c>
      <x:c r="E40" s="8" t="str">
        <x:v>运行框架优化</x:v>
      </x:c>
      <x:c r="F40" s="8" t="str">
        <x:v>提示与工作流优化</x:v>
      </x:c>
      <x:c r="G40" s="8" t="str">
        <x:v>从执行证据搜索和更新提示、流程或 harness 代码。</x:v>
      </x:c>
    </x:row>
    <x:row r="41" ht="48" customHeight="1">
      <x:c r="A41" s="8" t="str">
        <x:v>5.3.3</x:v>
      </x:c>
      <x:c r="B41" s="8" t="str">
        <x:v>5</x:v>
      </x:c>
      <x:c r="C41" s="8" t="str">
        <x:v>优化：从工作经验到系统能力</x:v>
      </x:c>
      <x:c r="D41" s="8" t="str">
        <x:v>5.3</x:v>
      </x:c>
      <x:c r="E41" s="8" t="str">
        <x:v>运行框架优化</x:v>
      </x:c>
      <x:c r="F41" s="8" t="str">
        <x:v>记忆与技能优化</x:v>
      </x:c>
      <x:c r="G41" s="8" t="str">
        <x:v>把经验选择、抽象和维护为可复用外部支持。</x:v>
      </x:c>
    </x:row>
    <x:row r="42" ht="48" customHeight="1">
      <x:c r="A42" s="8" t="str">
        <x:v>5.4</x:v>
      </x:c>
      <x:c r="B42" s="8" t="str">
        <x:v>5</x:v>
      </x:c>
      <x:c r="C42" s="8" t="str">
        <x:v>优化：从工作经验到系统能力</x:v>
      </x:c>
      <x:c r="D42" s="8" t="str">
        <x:v>5.4</x:v>
      </x:c>
      <x:c r="E42" s="8" t="str">
        <x:v>模型—运行框架耦合优化</x:v>
      </x:c>
      <x:c r="F42" s="8" t="str">
        <x:v>模型—运行框架耦合优化</x:v>
      </x:c>
      <x:c r="G42" s="8" t="str">
        <x:v>研究模型训练与外部支持之间的耦合或联合更新。</x:v>
      </x:c>
    </x:row>
    <x:row r="43" ht="48" customHeight="1">
      <x:c r="A43" s="8" t="str">
        <x:v>5.4.1</x:v>
      </x:c>
      <x:c r="B43" s="8" t="str">
        <x:v>5</x:v>
      </x:c>
      <x:c r="C43" s="8" t="str">
        <x:v>优化：从工作经验到系统能力</x:v>
      </x:c>
      <x:c r="D43" s="8" t="str">
        <x:v>5.4</x:v>
      </x:c>
      <x:c r="E43" s="8" t="str">
        <x:v>模型—运行框架耦合优化</x:v>
      </x:c>
      <x:c r="F43" s="8" t="str">
        <x:v>运行框架感知训练</x:v>
      </x:c>
      <x:c r="G43" s="8" t="str">
        <x:v>在特定接口、记忆或工具条件下训练执行策略。</x:v>
      </x:c>
    </x:row>
    <x:row r="44" ht="48" customHeight="1">
      <x:c r="A44" s="8" t="str">
        <x:v>5.4.2</x:v>
      </x:c>
      <x:c r="B44" s="8" t="str">
        <x:v>5</x:v>
      </x:c>
      <x:c r="C44" s="8" t="str">
        <x:v>优化：从工作经验到系统能力</x:v>
      </x:c>
      <x:c r="D44" s="8" t="str">
        <x:v>5.4</x:v>
      </x:c>
      <x:c r="E44" s="8" t="str">
        <x:v>模型—运行框架耦合优化</x:v>
      </x:c>
      <x:c r="F44" s="8" t="str">
        <x:v>学习式运行框架设计</x:v>
      </x:c>
      <x:c r="G44" s="8" t="str">
        <x:v>训练设计者为下游执行器生成 harness 或技能。</x:v>
      </x:c>
    </x:row>
    <x:row r="45" ht="48" customHeight="1">
      <x:c r="A45" s="8" t="str">
        <x:v>5.4.3</x:v>
      </x:c>
      <x:c r="B45" s="8" t="str">
        <x:v>5</x:v>
      </x:c>
      <x:c r="C45" s="8" t="str">
        <x:v>优化：从工作经验到系统能力</x:v>
      </x:c>
      <x:c r="D45" s="8" t="str">
        <x:v>5.4</x:v>
      </x:c>
      <x:c r="E45" s="8" t="str">
        <x:v>模型—运行框架耦合优化</x:v>
      </x:c>
      <x:c r="F45" s="8" t="str">
        <x:v>模型与运行框架联合优化</x:v>
      </x:c>
      <x:c r="G45" s="8" t="str">
        <x:v>协调模型参数与外部记忆、提示或技能的更新。</x:v>
      </x:c>
    </x:row>
    <x:row r="46" ht="48" customHeight="1">
      <x:c r="A46" s="8" t="str">
        <x:v>6.1</x:v>
      </x:c>
      <x:c r="B46" s="8" t="str">
        <x:v>6</x:v>
      </x:c>
      <x:c r="C46" s="8" t="str">
        <x:v>评估与资源：如何检验工作完成</x:v>
      </x:c>
      <x:c r="D46" s="8" t="str">
        <x:v>6.1</x:v>
      </x:c>
      <x:c r="E46" s="8" t="str">
        <x:v>基准与任务构造</x:v>
      </x:c>
      <x:c r="F46" s="8" t="str">
        <x:v>基准与任务构造</x:v>
      </x:c>
      <x:c r="G46" s="8" t="str">
        <x:v>组织任务、环境、领域和工作要求；覆盖不等于能力的独立测量。</x:v>
      </x:c>
    </x:row>
    <x:row r="47" ht="48" customHeight="1">
      <x:c r="A47" s="8" t="str">
        <x:v>6.1.1</x:v>
      </x:c>
      <x:c r="B47" s="8" t="str">
        <x:v>6</x:v>
      </x:c>
      <x:c r="C47" s="8" t="str">
        <x:v>评估与资源：如何检验工作完成</x:v>
      </x:c>
      <x:c r="D47" s="8" t="str">
        <x:v>6.1</x:v>
      </x:c>
      <x:c r="E47" s="8" t="str">
        <x:v>基准与任务构造</x:v>
      </x:c>
      <x:c r="F47" s="8" t="str">
        <x:v>任务构造策略</x:v>
      </x:c>
      <x:c r="G47" s="8" t="str">
        <x:v>真实任务重建、人工设计、程序或模型合成与故障设置。</x:v>
      </x:c>
    </x:row>
    <x:row r="48" ht="48" customHeight="1">
      <x:c r="A48" s="8" t="str">
        <x:v>6.1.2</x:v>
      </x:c>
      <x:c r="B48" s="8" t="str">
        <x:v>6</x:v>
      </x:c>
      <x:c r="C48" s="8" t="str">
        <x:v>评估与资源：如何检验工作完成</x:v>
      </x:c>
      <x:c r="D48" s="8" t="str">
        <x:v>6.1</x:v>
      </x:c>
      <x:c r="E48" s="8" t="str">
        <x:v>基准与任务构造</x:v>
      </x:c>
      <x:c r="F48" s="8" t="str">
        <x:v>领域覆盖与工作要求</x:v>
      </x:c>
      <x:c r="G48" s="8" t="str">
        <x:v>记录职业材料、接口、操作、领域规则与任务分布。</x:v>
      </x:c>
    </x:row>
    <x:row r="49" ht="48" customHeight="1">
      <x:c r="A49" s="8" t="str">
        <x:v>6.2</x:v>
      </x:c>
      <x:c r="B49" s="8" t="str">
        <x:v>6</x:v>
      </x:c>
      <x:c r="C49" s="8" t="str">
        <x:v>评估与资源：如何检验工作完成</x:v>
      </x:c>
      <x:c r="D49" s="8" t="str">
        <x:v>6.2</x:v>
      </x:c>
      <x:c r="E49" s="8" t="str">
        <x:v>评估方法</x:v>
      </x:c>
      <x:c r="F49" s="8" t="str">
        <x:v>评估方法</x:v>
      </x:c>
      <x:c r="G49" s="8" t="str">
        <x:v>区分评估目标、可观察证据及判定程序。</x:v>
      </x:c>
    </x:row>
    <x:row r="50" ht="48" customHeight="1">
      <x:c r="A50" s="8" t="str">
        <x:v>6.2.1</x:v>
      </x:c>
      <x:c r="B50" s="8" t="str">
        <x:v>6</x:v>
      </x:c>
      <x:c r="C50" s="8" t="str">
        <x:v>评估与资源：如何检验工作完成</x:v>
      </x:c>
      <x:c r="D50" s="8" t="str">
        <x:v>6.2</x:v>
      </x:c>
      <x:c r="E50" s="8" t="str">
        <x:v>评估方法</x:v>
      </x:c>
      <x:c r="F50" s="8" t="str">
        <x:v>评估目标与可观察证据</x:v>
      </x:c>
      <x:c r="G50" s="8" t="str">
        <x:v>回答、产物、最终状态、执行过程及跨会话证据各能支持什么结论。</x:v>
      </x:c>
    </x:row>
    <x:row r="51" ht="48" customHeight="1">
      <x:c r="A51" s="8" t="str">
        <x:v>6.2.2</x:v>
      </x:c>
      <x:c r="B51" s="8" t="str">
        <x:v>6</x:v>
      </x:c>
      <x:c r="C51" s="8" t="str">
        <x:v>评估与资源：如何检验工作完成</x:v>
      </x:c>
      <x:c r="D51" s="8" t="str">
        <x:v>6.2</x:v>
      </x:c>
      <x:c r="E51" s="8" t="str">
        <x:v>评估方法</x:v>
      </x:c>
      <x:c r="F51" s="8" t="str">
        <x:v>评判程序</x:v>
      </x:c>
      <x:c r="G51" s="8" t="str">
        <x:v>程序检查、人工 rubric、模型裁判及其组合和偏差。</x:v>
      </x:c>
    </x:row>
    <x:row r="52" ht="48" customHeight="1">
      <x:c r="A52" s="8" t="str">
        <x:v>6.3</x:v>
      </x:c>
      <x:c r="B52" s="8" t="str">
        <x:v>6</x:v>
      </x:c>
      <x:c r="C52" s="8" t="str">
        <x:v>评估与资源：如何检验工作完成</x:v>
      </x:c>
      <x:c r="D52" s="8" t="str">
        <x:v>6.3</x:v>
      </x:c>
      <x:c r="E52" s="8" t="str">
        <x:v>结果对齐指标</x:v>
      </x:c>
      <x:c r="F52" s="8" t="str">
        <x:v>结果对齐指标</x:v>
      </x:c>
      <x:c r="G52" s="8" t="str">
        <x:v>将成功、质量、可靠性、成本与时间联系到验收要求。</x:v>
      </x:c>
    </x:row>
    <x:row r="53" ht="48" customHeight="1">
      <x:c r="A53" s="8" t="str">
        <x:v>6.3.1</x:v>
      </x:c>
      <x:c r="B53" s="8" t="str">
        <x:v>6</x:v>
      </x:c>
      <x:c r="C53" s="8" t="str">
        <x:v>评估与资源：如何检验工作完成</x:v>
      </x:c>
      <x:c r="D53" s="8" t="str">
        <x:v>6.3</x:v>
      </x:c>
      <x:c r="E53" s="8" t="str">
        <x:v>结果对齐指标</x:v>
      </x:c>
      <x:c r="F53" s="8" t="str">
        <x:v>任务成功与成果质量</x:v>
      </x:c>
      <x:c r="G53" s="8" t="str">
        <x:v>区分全项通过、部分进展、重复运行可靠性与资源成本。</x:v>
      </x:c>
    </x:row>
    <x:row r="54" ht="48" customHeight="1">
      <x:c r="A54" s="8" t="str">
        <x:v>6.4</x:v>
      </x:c>
      <x:c r="B54" s="8" t="str">
        <x:v>6</x:v>
      </x:c>
      <x:c r="C54" s="8" t="str">
        <x:v>评估与资源：如何检验工作完成</x:v>
      </x:c>
      <x:c r="D54" s="8" t="str">
        <x:v>6.4</x:v>
      </x:c>
      <x:c r="E54" s="8" t="str">
        <x:v>开放框架与执行环境</x:v>
      </x:c>
      <x:c r="F54" s="8" t="str">
        <x:v>开放框架与执行环境</x:v>
      </x:c>
      <x:c r="G54" s="8" t="str">
        <x:v>可复用运行平台、沙箱、统一接口、基准接入及产品文档。</x:v>
      </x:c>
    </x:row>
    <x:row r="55" ht="48" customHeight="1">
      <x:c r="A55" s="8" t="str">
        <x:v>7.1</x:v>
      </x:c>
      <x:c r="B55" s="8" t="str">
        <x:v>7</x:v>
      </x:c>
      <x:c r="C55" s="8" t="str">
        <x:v>前沿：下一代 Working Agents</x:v>
      </x:c>
      <x:c r="D55" s="8" t="str">
        <x:v>7.1</x:v>
      </x:c>
      <x:c r="E55" s="8" t="str">
        <x:v>环境扩展</x:v>
      </x:c>
      <x:c r="F55" s="8" t="str">
        <x:v>环境扩展</x:v>
      </x:c>
      <x:c r="G55" s="8" t="str">
        <x:v>跨真实职业环境扩展与保持环境可信度。</x:v>
      </x:c>
    </x:row>
    <x:row r="56" ht="48" customHeight="1">
      <x:c r="A56" s="8" t="str">
        <x:v>7.1.1</x:v>
      </x:c>
      <x:c r="B56" s="8" t="str">
        <x:v>7</x:v>
      </x:c>
      <x:c r="C56" s="8" t="str">
        <x:v>前沿：下一代 Working Agents</x:v>
      </x:c>
      <x:c r="D56" s="8" t="str">
        <x:v>7.1</x:v>
      </x:c>
      <x:c r="E56" s="8" t="str">
        <x:v>环境扩展</x:v>
      </x:c>
      <x:c r="F56" s="8" t="str">
        <x:v>职业与领域泛化</x:v>
      </x:c>
      <x:c r="G56" s="8" t="str">
        <x:v>职业分布、真实材料、跨域转移及覆盖缺口。</x:v>
      </x:c>
    </x:row>
    <x:row r="57" ht="48" customHeight="1">
      <x:c r="A57" s="8" t="str">
        <x:v>7.1.2</x:v>
      </x:c>
      <x:c r="B57" s="8" t="str">
        <x:v>7</x:v>
      </x:c>
      <x:c r="C57" s="8" t="str">
        <x:v>前沿：下一代 Working Agents</x:v>
      </x:c>
      <x:c r="D57" s="8" t="str">
        <x:v>7.1</x:v>
      </x:c>
      <x:c r="E57" s="8" t="str">
        <x:v>环境扩展</x:v>
      </x:c>
      <x:c r="F57" s="8" t="str">
        <x:v>环境保真与泛化</x:v>
      </x:c>
      <x:c r="G57" s="8" t="str">
        <x:v>仿真与真实系统之间的差异及评估外部有效性。</x:v>
      </x:c>
    </x:row>
    <x:row r="58" ht="48" customHeight="1">
      <x:c r="A58" s="8" t="str">
        <x:v>7.1.3</x:v>
      </x:c>
      <x:c r="B58" s="8" t="str">
        <x:v>7</x:v>
      </x:c>
      <x:c r="C58" s="8" t="str">
        <x:v>前沿：下一代 Working Agents</x:v>
      </x:c>
      <x:c r="D58" s="8" t="str">
        <x:v>7.1</x:v>
      </x:c>
      <x:c r="E58" s="8" t="str">
        <x:v>环境扩展</x:v>
      </x:c>
      <x:c r="F58" s="8" t="str">
        <x:v>可扩展执行基础设施</x:v>
      </x:c>
      <x:c r="G58" s="8" t="str">
        <x:v>隔离、并发、环境生命周期与大规模 agent 训练执行。</x:v>
      </x:c>
    </x:row>
    <x:row r="59" ht="48" customHeight="1">
      <x:c r="A59" s="8" t="str">
        <x:v>7.2</x:v>
      </x:c>
      <x:c r="B59" s="8" t="str">
        <x:v>7</x:v>
      </x:c>
      <x:c r="C59" s="8" t="str">
        <x:v>前沿：下一代 Working Agents</x:v>
      </x:c>
      <x:c r="D59" s="8" t="str">
        <x:v>7.2</x:v>
      </x:c>
      <x:c r="E59" s="8" t="str">
        <x:v>从被动执行到持续责任</x:v>
      </x:c>
      <x:c r="F59" s="8" t="str">
        <x:v>从被动执行到持续责任</x:v>
      </x:c>
      <x:c r="G59" s="8" t="str">
        <x:v>长期状态、事件触发与跨任务适应。</x:v>
      </x:c>
    </x:row>
    <x:row r="60" ht="48" customHeight="1">
      <x:c r="A60" s="8" t="str">
        <x:v>7.2.1</x:v>
      </x:c>
      <x:c r="B60" s="8" t="str">
        <x:v>7</x:v>
      </x:c>
      <x:c r="C60" s="8" t="str">
        <x:v>前沿：下一代 Working Agents</x:v>
      </x:c>
      <x:c r="D60" s="8" t="str">
        <x:v>7.2</x:v>
      </x:c>
      <x:c r="E60" s="8" t="str">
        <x:v>从被动执行到持续责任</x:v>
      </x:c>
      <x:c r="F60" s="8" t="str">
        <x:v>持久用户记忆与工作状态</x:v>
      </x:c>
      <x:c r="G60" s="8" t="str">
        <x:v>区分历史事实、用户偏好与当前有效工作状态。</x:v>
      </x:c>
    </x:row>
    <x:row r="61" ht="48" customHeight="1">
      <x:c r="A61" s="8" t="str">
        <x:v>7.2.2</x:v>
      </x:c>
      <x:c r="B61" s="8" t="str">
        <x:v>7</x:v>
      </x:c>
      <x:c r="C61" s="8" t="str">
        <x:v>前沿：下一代 Working Agents</x:v>
      </x:c>
      <x:c r="D61" s="8" t="str">
        <x:v>7.2</x:v>
      </x:c>
      <x:c r="E61" s="8" t="str">
        <x:v>从被动执行到持续责任</x:v>
      </x:c>
      <x:c r="F61" s="8" t="str">
        <x:v>主动与事件驱动工作</x:v>
      </x:c>
      <x:c r="G61" s="8" t="str">
        <x:v>无新提示时识别触发、时机与应执行的职责。</x:v>
      </x:c>
    </x:row>
    <x:row r="62" ht="48" customHeight="1">
      <x:c r="A62" s="8" t="str">
        <x:v>7.2.3</x:v>
      </x:c>
      <x:c r="B62" s="8" t="str">
        <x:v>7</x:v>
      </x:c>
      <x:c r="C62" s="8" t="str">
        <x:v>前沿：下一代 Working Agents</x:v>
      </x:c>
      <x:c r="D62" s="8" t="str">
        <x:v>7.2</x:v>
      </x:c>
      <x:c r="E62" s="8" t="str">
        <x:v>从被动执行到持续责任</x:v>
      </x:c>
      <x:c r="F62" s="8" t="str">
        <x:v>持续个性化与自我演化</x:v>
      </x:c>
      <x:c r="G62" s="8" t="str">
        <x:v>跨任务保留经验并检验适应收益、遗忘与退化。</x:v>
      </x:c>
    </x:row>
    <x:row r="63" ht="48" customHeight="1">
      <x:c r="A63" s="8" t="str">
        <x:v>7.3</x:v>
      </x:c>
      <x:c r="B63" s="8" t="str">
        <x:v>7</x:v>
      </x:c>
      <x:c r="C63" s="8" t="str">
        <x:v>前沿：下一代 Working Agents</x:v>
      </x:c>
      <x:c r="D63" s="8" t="str">
        <x:v>7.3</x:v>
      </x:c>
      <x:c r="E63" s="8" t="str">
        <x:v>从专业质量到使用价值</x:v>
      </x:c>
      <x:c r="F63" s="8" t="str">
        <x:v>从专业质量到使用价值</x:v>
      </x:c>
      <x:c r="G63" s="8" t="str">
        <x:v>处理主观工作质量、可适应验证和真实收益。</x:v>
      </x:c>
    </x:row>
    <x:row r="64" ht="48" customHeight="1">
      <x:c r="A64" s="8" t="str">
        <x:v>7.3.1</x:v>
      </x:c>
      <x:c r="B64" s="8" t="str">
        <x:v>7</x:v>
      </x:c>
      <x:c r="C64" s="8" t="str">
        <x:v>前沿：下一代 Working Agents</x:v>
      </x:c>
      <x:c r="D64" s="8" t="str">
        <x:v>7.3</x:v>
      </x:c>
      <x:c r="E64" s="8" t="str">
        <x:v>从专业质量到使用价值</x:v>
      </x:c>
      <x:c r="F64" s="8" t="str">
        <x:v>情境性与主观质量</x:v>
      </x:c>
      <x:c r="G64" s="8" t="str">
        <x:v>质量依赖用途、专业情境、偏好和协作对象。</x:v>
      </x:c>
    </x:row>
    <x:row r="65" ht="48" customHeight="1">
      <x:c r="A65" s="8" t="str">
        <x:v>7.3.2</x:v>
      </x:c>
      <x:c r="B65" s="8" t="str">
        <x:v>7</x:v>
      </x:c>
      <x:c r="C65" s="8" t="str">
        <x:v>前沿：下一代 Working Agents</x:v>
      </x:c>
      <x:c r="D65" s="8" t="str">
        <x:v>7.3</x:v>
      </x:c>
      <x:c r="E65" s="8" t="str">
        <x:v>从专业质量到使用价值</x:v>
      </x:c>
      <x:c r="F65" s="8" t="str">
        <x:v>可泛化与自适应验证</x:v>
      </x:c>
      <x:c r="G65" s="8" t="str">
        <x:v>验证器有效性、独立性、偏差与随系统演化的维护。</x:v>
      </x:c>
    </x:row>
    <x:row r="66" ht="48" customHeight="1">
      <x:c r="A66" s="8" t="str">
        <x:v>7.3.3</x:v>
      </x:c>
      <x:c r="B66" s="8" t="str">
        <x:v>7</x:v>
      </x:c>
      <x:c r="C66" s="8" t="str">
        <x:v>前沿：下一代 Working Agents</x:v>
      </x:c>
      <x:c r="D66" s="8" t="str">
        <x:v>7.3</x:v>
      </x:c>
      <x:c r="E66" s="8" t="str">
        <x:v>从专业质量到使用价值</x:v>
      </x:c>
      <x:c r="F66" s="8" t="str">
        <x:v>质量判断与使用价值</x:v>
      </x:c>
      <x:c r="G66" s="8" t="str">
        <x:v>评价分数、时间成本和真实使用收益之间的关系。</x:v>
      </x:c>
    </x:row>
    <x:row r="67" ht="48" customHeight="1">
      <x:c r="A67" s="8" t="str">
        <x:v>7.4</x:v>
      </x:c>
      <x:c r="B67" s="8" t="str">
        <x:v>7</x:v>
      </x:c>
      <x:c r="C67" s="8" t="str">
        <x:v>前沿：下一代 Working Agents</x:v>
      </x:c>
      <x:c r="D67" s="8" t="str">
        <x:v>7.4</x:v>
      </x:c>
      <x:c r="E67" s="8" t="str">
        <x:v>以工作为中心的系统</x:v>
      </x:c>
      <x:c r="F67" s="8" t="str">
        <x:v>以工作为中心的系统</x:v>
      </x:c>
      <x:c r="G67" s="8" t="str">
        <x:v>个人、组织与经济系统中的 Working Agents。</x:v>
      </x:c>
    </x:row>
    <x:row r="68" ht="48" customHeight="1">
      <x:c r="A68" s="8" t="str">
        <x:v>7.4.1</x:v>
      </x:c>
      <x:c r="B68" s="8" t="str">
        <x:v>7</x:v>
      </x:c>
      <x:c r="C68" s="8" t="str">
        <x:v>前沿：下一代 Working Agents</x:v>
      </x:c>
      <x:c r="D68" s="8" t="str">
        <x:v>7.4</x:v>
      </x:c>
      <x:c r="E68" s="8" t="str">
        <x:v>以工作为中心的系统</x:v>
      </x:c>
      <x:c r="F68" s="8" t="str">
        <x:v>个人工作智能体</x:v>
      </x:c>
      <x:c r="G68" s="8" t="str">
        <x:v>结合用户长期情境、交互与持续职责。</x:v>
      </x:c>
    </x:row>
    <x:row r="69" ht="48" customHeight="1">
      <x:c r="A69" s="8" t="str">
        <x:v>7.4.2</x:v>
      </x:c>
      <x:c r="B69" s="8" t="str">
        <x:v>7</x:v>
      </x:c>
      <x:c r="C69" s="8" t="str">
        <x:v>前沿：下一代 Working Agents</x:v>
      </x:c>
      <x:c r="D69" s="8" t="str">
        <x:v>7.4</x:v>
      </x:c>
      <x:c r="E69" s="8" t="str">
        <x:v>以工作为中心的系统</x:v>
      </x:c>
      <x:c r="F69" s="8" t="str">
        <x:v>数字劳动力孪生</x:v>
      </x:c>
      <x:c r="G69" s="8" t="str">
        <x:v>角色、工作过程、协作与组织结构的映射。</x:v>
      </x:c>
    </x:row>
    <x:row r="70" ht="48" customHeight="1">
      <x:c r="A70" s="8" t="str">
        <x:v>7.4.3</x:v>
      </x:c>
      <x:c r="B70" s="8" t="str">
        <x:v>7</x:v>
      </x:c>
      <x:c r="C70" s="8" t="str">
        <x:v>前沿：下一代 Working Agents</x:v>
      </x:c>
      <x:c r="D70" s="8" t="str">
        <x:v>7.4</x:v>
      </x:c>
      <x:c r="E70" s="8" t="str">
        <x:v>以工作为中心的系统</x:v>
      </x:c>
      <x:c r="F70" s="8" t="str">
        <x:v>组织集成与经济价值</x:v>
      </x:c>
      <x:c r="G70" s="8" t="str">
        <x:v>授权、交接、组织互补投入及真实生产率与劳动价值。</x:v>
      </x:c>
    </x:row>
    <x:row r="71">
      <x:c r="A71" s="2"/>
      <x:c r="B71" s="2"/>
      <x:c r="C71" s="2"/>
      <x:c r="D71" s="2"/>
      <x:c r="E71" s="2"/>
      <x:c r="F71" s="2"/>
      <x:c r="G71" s="2"/>
    </x:row>
    <x:row r="72">
      <x:c r="A72" s="2"/>
      <x:c r="B72" s="2"/>
      <x:c r="C72" s="2"/>
      <x:c r="D72" s="2"/>
      <x:c r="E72" s="2"/>
      <x:c r="F72" s="2"/>
      <x:c r="G72" s="2"/>
    </x:row>
    <x:row r="73">
      <x:c r="A73" s="2"/>
      <x:c r="B73" s="2"/>
      <x:c r="C73" s="2"/>
      <x:c r="D73" s="2"/>
      <x:c r="E73" s="2"/>
      <x:c r="F73" s="2"/>
      <x:c r="G73" s="2"/>
    </x:row>
    <x:row r="74" ht="30" customHeight="1">
      <x:c r="A74" s="3" t="str">
        <x:v>细分研究类型</x:v>
      </x:c>
      <x:c r="B74" s="2"/>
      <x:c r="C74" s="2"/>
      <x:c r="D74" s="2"/>
      <x:c r="E74" s="2"/>
      <x:c r="F74" s="2"/>
      <x:c r="G74" s="2"/>
    </x:row>
    <x:row r="75">
      <x:c r="A75" s="2"/>
      <x:c r="B75" s="2"/>
      <x:c r="C75" s="2"/>
      <x:c r="D75" s="2"/>
      <x:c r="E75" s="2"/>
      <x:c r="F75" s="2"/>
      <x:c r="G75" s="2"/>
    </x:row>
    <x:row r="76" ht="32" customHeight="1">
      <x:c r="A76" s="7" t="str">
        <x:v>代码</x:v>
      </x:c>
      <x:c r="B76" s="7" t="str">
        <x:v>中文术语</x:v>
      </x:c>
      <x:c r="C76" s="7" t="str">
        <x:v>对应章节</x:v>
      </x:c>
      <x:c r="D76" s="7" t="str">
        <x:v>定义 / 代表工作</x:v>
      </x:c>
      <x:c r="E76" s="2"/>
      <x:c r="F76" s="2"/>
      <x:c r="G76" s="2"/>
    </x:row>
    <x:row r="77" ht="55" customHeight="1">
      <x:c r="A77" s="8" t="str">
        <x:v>system-architecture</x:v>
      </x:c>
      <x:c r="B77" s="8" t="str">
        <x:v>定义、系统职责与工作循环</x:v>
      </x:c>
      <x:c r="C77" s="8" t="str">
        <x:v>2.1</x:v>
      </x:c>
      <x:c r="D77" s="8" t="str">
        <x:v>定义工作范围，区分模型与运行框架职责，并用观察—决策—行动轨迹连接工作结果。</x:v>
      </x:c>
      <x:c r="E77" s="2"/>
      <x:c r="F77" s="2"/>
      <x:c r="G77" s="2"/>
    </x:row>
    <x:row r="78" ht="55" customHeight="1">
      <x:c r="A78" s="8" t="str">
        <x:v>delegation-authority</x:v>
      </x:c>
      <x:c r="B78" s="8" t="str">
        <x:v>委托、责任与权限</x:v>
      </x:c>
      <x:c r="C78" s="8" t="str">
        <x:v>2.1</x:v>
      </x:c>
      <x:c r="D78" s="8" t="str">
        <x:v>明确为谁工作、目标、权限、角色、责任、交接边界和验收条件。</x:v>
      </x:c>
      <x:c r="E78" s="2"/>
      <x:c r="F78" s="2"/>
      <x:c r="G78" s="2"/>
    </x:row>
    <x:row r="79" ht="55" customHeight="1">
      <x:c r="A79" s="8" t="str">
        <x:v>work-persistence</x:v>
      </x:c>
      <x:c r="B79" s="8" t="str">
        <x:v>跨请求工作连续性</x:v>
      </x:c>
      <x:c r="C79" s="8" t="str">
        <x:v>2.2</x:v>
      </x:c>
      <x:c r="D79" s="8" t="str">
        <x:v>验收相关状态、承诺与依赖需要跨步骤或请求保持。</x:v>
      </x:c>
      <x:c r="E79" s="2"/>
      <x:c r="F79" s="2"/>
      <x:c r="G79" s="2"/>
    </x:row>
    <x:row r="80" ht="55" customHeight="1">
      <x:c r="A80" s="8" t="str">
        <x:v>world-openness</x:v>
      </x:c>
      <x:c r="B80" s="8" t="str">
        <x:v>开放与变化条件</x:v>
      </x:c>
      <x:c r="C80" s="8" t="str">
        <x:v>2.2</x:v>
      </x:c>
      <x:c r="D80" s="8" t="str">
        <x:v>材料、目标、外部行动者、工具或环境变化带来的不确定性。</x:v>
      </x:c>
      <x:c r="E80" s="2"/>
      <x:c r="F80" s="2"/>
      <x:c r="G80" s="2"/>
    </x:row>
    <x:row r="81" ht="55" customHeight="1">
      <x:c r="A81" s="8" t="str">
        <x:v>object-semantics</x:v>
      </x:c>
      <x:c r="B81" s="8" t="str">
        <x:v>对象结构、模态与语义</x:v>
      </x:c>
      <x:c r="C81" s="8" t="str">
        <x:v>2.3</x:v>
      </x:c>
      <x:c r="D81" s="8" t="str">
        <x:v>读懂表格公式、文档层级、版面、图表或视频；把语言目标对应到原生对象和界面元素。</x:v>
      </x:c>
      <x:c r="E81" s="2"/>
      <x:c r="F81" s="2"/>
      <x:c r="G81" s="2"/>
    </x:row>
    <x:row r="82" ht="55" customHeight="1">
      <x:c r="A82" s="8" t="str">
        <x:v>object-relations</x:v>
      </x:c>
      <x:c r="B82" s="8" t="str">
        <x:v>对象关系、来源与依赖</x:v>
      </x:c>
      <x:c r="C82" s="8" t="str">
        <x:v>2.3</x:v>
      </x:c>
      <x:c r="D82" s="8" t="str">
        <x:v>识别文件、实体、版本、来源和证据推导链，以及关联对象或交付物之间的依赖。</x:v>
      </x:c>
      <x:c r="E82" s="2"/>
      <x:c r="F82" s="2"/>
      <x:c r="G82" s="2"/>
    </x:row>
    <x:row r="83" ht="55" customHeight="1">
      <x:c r="A83" s="8" t="str">
        <x:v>evidence-discovery</x:v>
      </x:c>
      <x:c r="B83" s="8" t="str">
        <x:v>材料发现与证据定位</x:v>
      </x:c>
      <x:c r="C83" s="8" t="str">
        <x:v>2.3</x:v>
      </x:c>
      <x:c r="D83" s="8" t="str">
        <x:v>从工作空间、长文档或网页中检索并定位相关材料。</x:v>
      </x:c>
      <x:c r="E83" s="2"/>
      <x:c r="F83" s="2"/>
      <x:c r="G83" s="2"/>
    </x:row>
    <x:row r="84" ht="55" customHeight="1">
      <x:c r="A84" s="8" t="str">
        <x:v>professional-judgment</x:v>
      </x:c>
      <x:c r="B84" s="8" t="str">
        <x:v>职业知识与专业判断</x:v>
      </x:c>
      <x:c r="C84" s="8" t="str">
        <x:v>2.3</x:v>
      </x:c>
      <x:c r="D84" s="8" t="str">
        <x:v>用领域定义、规范、时效和专业取舍决定证据或行动是否适用。</x:v>
      </x:c>
      <x:c r="E84" s="2"/>
      <x:c r="F84" s="2"/>
      <x:c r="G84" s="2"/>
    </x:row>
    <x:row r="85" ht="55" customHeight="1">
      <x:c r="A85" s="8" t="str">
        <x:v>evidence-reasoning</x:v>
      </x:c>
      <x:c r="B85" s="8" t="str">
        <x:v>证据整合与推理</x:v>
      </x:c>
      <x:c r="C85" s="8" t="str">
        <x:v>2.3</x:v>
      </x:c>
      <x:c r="D85" s="8" t="str">
        <x:v>聚合多源材料，执行数值、因果或多跳推理并识别不足。</x:v>
      </x:c>
      <x:c r="E85" s="2"/>
      <x:c r="F85" s="2"/>
      <x:c r="G85" s="2"/>
    </x:row>
    <x:row r="86" ht="55" customHeight="1">
      <x:c r="A86" s="8" t="str">
        <x:v>action-decision</x:v>
      </x:c>
      <x:c r="B86" s="8" t="str">
        <x:v>证据与规则约束下的决策</x:v>
      </x:c>
      <x:c r="C86" s="8" t="str">
        <x:v>2.3</x:v>
      </x:c>
      <x:c r="D86" s="8" t="str">
        <x:v>依据新观测、专业或业务约束与任务进展选择适用行动。</x:v>
      </x:c>
      <x:c r="E86" s="2"/>
      <x:c r="F86" s="2"/>
      <x:c r="G86" s="2"/>
    </x:row>
    <x:row r="87" ht="55" customHeight="1">
      <x:c r="A87" s="8" t="str">
        <x:v>planning-dependencies</x:v>
      </x:c>
      <x:c r="B87" s="8" t="str">
        <x:v>任务分解与行动依赖</x:v>
      </x:c>
      <x:c r="C87" s="8" t="str">
        <x:v>2.3</x:v>
      </x:c>
      <x:c r="D87" s="8" t="str">
        <x:v>组织子目标、前提、分支、顺序和可并行部分，使其服务最终要求。</x:v>
      </x:c>
      <x:c r="E87" s="2"/>
      <x:c r="F87" s="2"/>
      <x:c r="G87" s="2"/>
    </x:row>
    <x:row r="88" ht="55" customHeight="1">
      <x:c r="A88" s="8" t="str">
        <x:v>participant-coordination</x:v>
      </x:c>
      <x:c r="B88" s="8" t="str">
        <x:v>分布信息、澄清与协调</x:v>
      </x:c>
      <x:c r="C88" s="8" t="str">
        <x:v>2.3</x:v>
      </x:c>
      <x:c r="D88" s="8" t="str">
        <x:v>围绕不同参与者掌握的信息、权限和操作组织分工沟通、意图澄清、进展对齐与工作交接。</x:v>
      </x:c>
      <x:c r="E88" s="2"/>
      <x:c r="F88" s="2"/>
      <x:c r="G88" s="2"/>
    </x:row>
    <x:row r="89" ht="55" customHeight="1">
      <x:c r="A89" s="8" t="str">
        <x:v>artifact-editing</x:v>
      </x:c>
      <x:c r="B89" s="8" t="str">
        <x:v>原生工件生成与编辑</x:v>
      </x:c>
      <x:c r="C89" s="8" t="str">
        <x:v>2.3</x:v>
      </x:c>
      <x:c r="D89" s="8" t="str">
        <x:v>把意图落实为可编辑工作簿、演示文稿、文档或设计对象。</x:v>
      </x:c>
      <x:c r="E89" s="2"/>
      <x:c r="F89" s="2"/>
      <x:c r="G89" s="2"/>
    </x:row>
    <x:row r="90" ht="55" customHeight="1">
      <x:c r="A90" s="8" t="str">
        <x:v>tool-execution</x:v>
      </x:c>
      <x:c r="B90" s="8" t="str">
        <x:v>工具、界面与应用执行</x:v>
      </x:c>
      <x:c r="C90" s="8" t="str">
        <x:v>2.3</x:v>
      </x:c>
      <x:c r="D90" s="8" t="str">
        <x:v>通过函数、代码、终端、GUI 或应用接口产生具体可观察工作效果。</x:v>
      </x:c>
      <x:c r="E90" s="2"/>
      <x:c r="F90" s="2"/>
      <x:c r="G90" s="2"/>
    </x:row>
    <x:row r="91" ht="55" customHeight="1">
      <x:c r="A91" s="8" t="str">
        <x:v>state-validity</x:v>
      </x:c>
      <x:c r="B91" s="8" t="str">
        <x:v>当前状态与版本有效性</x:v>
      </x:c>
      <x:c r="C91" s="8" t="str">
        <x:v>2.3</x:v>
      </x:c>
      <x:c r="D91" s="8" t="str">
        <x:v>判断既有分析、文件版本、事实或结果在后续修改后是否仍有效。</x:v>
      </x:c>
      <x:c r="E91" s="2"/>
      <x:c r="F91" s="2"/>
      <x:c r="G91" s="2"/>
    </x:row>
    <x:row r="92" ht="55" customHeight="1">
      <x:c r="A92" s="8" t="str">
        <x:v>continuous-editing</x:v>
      </x:c>
      <x:c r="B92" s="8" t="str">
        <x:v>连续编辑与内容保持</x:v>
      </x:c>
      <x:c r="C92" s="8" t="str">
        <x:v>2.3</x:v>
      </x:c>
      <x:c r="D92" s="8" t="str">
        <x:v>在一系列修改中落实目标变化并保留已正确且无关的内容。</x:v>
      </x:c>
      <x:c r="E92" s="2"/>
      <x:c r="F92" s="2"/>
      <x:c r="G92" s="2"/>
    </x:row>
    <x:row r="93" ht="55" customHeight="1">
      <x:c r="A93" s="8" t="str">
        <x:v>state-resynchronization</x:v>
      </x:c>
      <x:c r="B93" s="8" t="str">
        <x:v>变化后的重新同步</x:v>
      </x:c>
      <x:c r="C93" s="8" t="str">
        <x:v>2.3</x:v>
      </x:c>
      <x:c r="D93" s="8" t="str">
        <x:v>外部参与者或环境改变后重新观察、对齐并接续执行。</x:v>
      </x:c>
      <x:c r="E93" s="2"/>
      <x:c r="F93" s="2"/>
      <x:c r="G93" s="2"/>
    </x:row>
    <x:row r="94" ht="55" customHeight="1">
      <x:c r="A94" s="8" t="str">
        <x:v>context-memory</x:v>
      </x:c>
      <x:c r="B94" s="8" t="str">
        <x:v>上下文与记忆管理</x:v>
      </x:c>
      <x:c r="C94" s="8" t="str">
        <x:v>2.3</x:v>
      </x:c>
      <x:c r="D94" s="8" t="str">
        <x:v>存储、压缩、检索历史和经验；不自动等于维护外部工作状态。</x:v>
      </x:c>
      <x:c r="E94" s="2"/>
      <x:c r="F94" s="2"/>
      <x:c r="G94" s="2"/>
    </x:row>
    <x:row r="95" ht="55" customHeight="1">
      <x:c r="A95" s="8" t="str">
        <x:v>asynchronous-execution</x:v>
      </x:c>
      <x:c r="B95" s="8" t="str">
        <x:v>异步与并行执行</x:v>
      </x:c>
      <x:c r="C95" s="8" t="str">
        <x:v>2.3</x:v>
      </x:c>
      <x:c r="D95" s="8" t="str">
        <x:v>管理延迟返回、并发工具和时间依赖。</x:v>
      </x:c>
      <x:c r="E95" s="2"/>
      <x:c r="F95" s="2"/>
      <x:c r="G95" s="2"/>
    </x:row>
    <x:row r="96" ht="55" customHeight="1">
      <x:c r="A96" s="8" t="str">
        <x:v>transaction-commit</x:v>
      </x:c>
      <x:c r="B96" s="8" t="str">
        <x:v>提交、幂等与副作用</x:v>
      </x:c>
      <x:c r="C96" s="8" t="str">
        <x:v>2.3</x:v>
      </x:c>
      <x:c r="D96" s="8" t="str">
        <x:v>处理实际提交、不确定结果、重复执行与事务一致性。</x:v>
      </x:c>
      <x:c r="E96" s="2"/>
      <x:c r="F96" s="2"/>
      <x:c r="G96" s="2"/>
    </x:row>
    <x:row r="97" ht="55" customHeight="1">
      <x:c r="A97" s="8" t="str">
        <x:v>outcome-verification</x:v>
      </x:c>
      <x:c r="B97" s="8" t="str">
        <x:v>成果与实际状态核验</x:v>
      </x:c>
      <x:c r="C97" s="8" t="str">
        <x:v>2.3</x:v>
      </x:c>
      <x:c r="D97" s="8" t="str">
        <x:v>将任务要求对应到产物、状态或执行证据。</x:v>
      </x:c>
      <x:c r="E97" s="2"/>
      <x:c r="F97" s="2"/>
      <x:c r="G97" s="2"/>
    </x:row>
    <x:row r="98" ht="55" customHeight="1">
      <x:c r="A98" s="8" t="str">
        <x:v>failure-diagnosis</x:v>
      </x:c>
      <x:c r="B98" s="8" t="str">
        <x:v>失败定位与根因诊断</x:v>
      </x:c>
      <x:c r="C98" s="8" t="str">
        <x:v>2.3</x:v>
      </x:c>
      <x:c r="D98" s="8" t="str">
        <x:v>区分需求、对象、动作与环境中的根因及错误传播。</x:v>
      </x:c>
      <x:c r="E98" s="2"/>
      <x:c r="F98" s="2"/>
      <x:c r="G98" s="2"/>
    </x:row>
    <x:row r="99" ht="55" customHeight="1">
      <x:c r="A99" s="8" t="str">
        <x:v>recovery-replanning</x:v>
      </x:c>
      <x:c r="B99" s="8" t="str">
        <x:v>回滚、补偿与路径调整</x:v>
      </x:c>
      <x:c r="C99" s="8" t="str">
        <x:v>2.3</x:v>
      </x:c>
      <x:c r="D99" s="8" t="str">
        <x:v>诊断后依据当前提交状态选择重试、回退、补偿或新的可行计划。</x:v>
      </x:c>
      <x:c r="E99" s="2"/>
      <x:c r="F99" s="2"/>
      <x:c r="G99" s="2"/>
    </x:row>
    <x:row r="100" ht="55" customHeight="1">
      <x:c r="A100" s="8" t="str">
        <x:v>paradigm-comparison</x:v>
      </x:c>
      <x:c r="B100" s="8" t="str">
        <x:v>范式与自主性边界</x:v>
      </x:c>
      <x:c r="C100" s="8" t="str">
        <x:v>2.4</x:v>
      </x:c>
      <x:c r="D100" s="8" t="str">
        <x:v>区分工作形态、交互方式、领域、执行跨度和人的角色。</x:v>
      </x:c>
      <x:c r="E100" s="2"/>
      <x:c r="F100" s="2"/>
      <x:c r="G100" s="2"/>
    </x:row>
    <x:row r="101" ht="55" customHeight="1">
      <x:c r="A101" s="8" t="str">
        <x:v>work-composition</x:v>
      </x:c>
      <x:c r="B101" s="8" t="str">
        <x:v>工作形态与验收组织</x:v>
      </x:c>
      <x:c r="C101" s="8" t="str">
        <x:v>3.1</x:v>
      </x:c>
      <x:c r="D101" s="8" t="str">
        <x:v>区分响应、原子操作、多步骤目标、依赖工作流和关联工作空间。</x:v>
      </x:c>
      <x:c r="E101" s="2"/>
      <x:c r="F101" s="2"/>
      <x:c r="G101" s="2"/>
    </x:row>
    <x:row r="102" ht="55" customHeight="1">
      <x:c r="A102" s="8" t="str">
        <x:v>environment-synthesis</x:v>
      </x:c>
      <x:c r="B102" s="8" t="str">
        <x:v>任务与环境合成</x:v>
      </x:c>
      <x:c r="C102" s="8" t="str">
        <x:v>5.1</x:v>
      </x:c>
      <x:c r="D102" s="8" t="str">
        <x:v>构建可执行任务、工作区、工具状态及验收环境。</x:v>
      </x:c>
      <x:c r="E102" s="2"/>
      <x:c r="F102" s="2"/>
      <x:c r="G102" s="2"/>
    </x:row>
    <x:row r="103" ht="55" customHeight="1">
      <x:c r="A103" s="8" t="str">
        <x:v>trajectory-curation</x:v>
      </x:c>
      <x:c r="B103" s="8" t="str">
        <x:v>轨迹采集与策划</x:v>
      </x:c>
      <x:c r="C103" s="8" t="str">
        <x:v>5.1</x:v>
      </x:c>
      <x:c r="D103" s="8" t="str">
        <x:v>组合、筛选、修订交互经验以支撑训练。</x:v>
      </x:c>
      <x:c r="E103" s="2"/>
      <x:c r="F103" s="2"/>
      <x:c r="G103" s="2"/>
    </x:row>
    <x:row r="104" ht="55" customHeight="1">
      <x:c r="A104" s="8" t="str">
        <x:v>reward-verification</x:v>
      </x:c>
      <x:c r="B104" s="8" t="str">
        <x:v>训练奖励与可验证信号</x:v>
      </x:c>
      <x:c r="C104" s="8" t="str">
        <x:v>5.1</x:v>
      </x:c>
      <x:c r="D104" s="8" t="str">
        <x:v>把成果、过程或阶段要求转成学习反馈。</x:v>
      </x:c>
      <x:c r="E104" s="2"/>
      <x:c r="F104" s="2"/>
      <x:c r="G104" s="2"/>
    </x:row>
    <x:row r="105" ht="55" customHeight="1">
      <x:c r="A105" s="8" t="str">
        <x:v>model-training</x:v>
      </x:c>
      <x:c r="B105" s="8" t="str">
        <x:v>模型参数学习</x:v>
      </x:c>
      <x:c r="C105" s="8" t="str">
        <x:v>5.2</x:v>
      </x:c>
      <x:c r="D105" s="8" t="str">
        <x:v>通过中训练、监督微调、多轮强化学习、同策略蒸馏或自改进训练更新模型。</x:v>
      </x:c>
      <x:c r="E105" s="2"/>
      <x:c r="F105" s="2"/>
      <x:c r="G105" s="2"/>
    </x:row>
    <x:row r="106" ht="55" customHeight="1">
      <x:c r="A106" s="8" t="str">
        <x:v>tool-interface</x:v>
      </x:c>
      <x:c r="B106" s="8" t="str">
        <x:v>接口与观测优化</x:v>
      </x:c>
      <x:c r="C106" s="8" t="str">
        <x:v>5.3</x:v>
      </x:c>
      <x:c r="D106" s="8" t="str">
        <x:v>优化工具描述、动作表示、压缩或执行边界。</x:v>
      </x:c>
      <x:c r="E106" s="2"/>
      <x:c r="F106" s="2"/>
      <x:c r="G106" s="2"/>
    </x:row>
    <x:row r="107" ht="55" customHeight="1">
      <x:c r="A107" s="8" t="str">
        <x:v>prompt-workflow</x:v>
      </x:c>
      <x:c r="B107" s="8" t="str">
        <x:v>提示、流程与 harness 搜索</x:v>
      </x:c>
      <x:c r="C107" s="8" t="str">
        <x:v>5.3</x:v>
      </x:c>
      <x:c r="D107" s="8" t="str">
        <x:v>从执行反馈搜索或演化外部控制结构。</x:v>
      </x:c>
      <x:c r="E107" s="2"/>
      <x:c r="F107" s="2"/>
      <x:c r="G107" s="2"/>
    </x:row>
    <x:row r="108" ht="55" customHeight="1">
      <x:c r="A108" s="8" t="str">
        <x:v>memory-skill</x:v>
      </x:c>
      <x:c r="B108" s="8" t="str">
        <x:v>经验记忆与技能优化</x:v>
      </x:c>
      <x:c r="C108" s="8" t="str">
        <x:v>5.3</x:v>
      </x:c>
      <x:c r="D108" s="8" t="str">
        <x:v>抽象、检索及维护可复用策略或程序性技能。</x:v>
      </x:c>
      <x:c r="E108" s="2"/>
      <x:c r="F108" s="2"/>
      <x:c r="G108" s="2"/>
    </x:row>
    <x:row r="109" ht="55" customHeight="1">
      <x:c r="A109" s="8" t="str">
        <x:v>model-harness-coupling</x:v>
      </x:c>
      <x:c r="B109" s="8" t="str">
        <x:v>模型与运行框架耦合</x:v>
      </x:c>
      <x:c r="C109" s="8" t="str">
        <x:v>5.4</x:v>
      </x:c>
      <x:c r="D109" s="8" t="str">
        <x:v>研究接口感知训练、学习式框架设计及模型和外部支持的联合更新。</x:v>
      </x:c>
      <x:c r="E109" s="2"/>
      <x:c r="F109" s="2"/>
      <x:c r="G109" s="2"/>
    </x:row>
    <x:row r="110" ht="55" customHeight="1">
      <x:c r="A110" s="8" t="str">
        <x:v>task-environment-design</x:v>
      </x:c>
      <x:c r="B110" s="8" t="str">
        <x:v>任务、环境与扰动构造</x:v>
      </x:c>
      <x:c r="C110" s="8" t="str">
        <x:v>6.1</x:v>
      </x:c>
      <x:c r="D110" s="8" t="str">
        <x:v>构造评测起始状态、目标、真实或模拟接口以及可控外部故障。</x:v>
      </x:c>
      <x:c r="E110" s="2"/>
      <x:c r="F110" s="2"/>
      <x:c r="G110" s="2"/>
    </x:row>
    <x:row r="111" ht="55" customHeight="1">
      <x:c r="A111" s="8" t="str">
        <x:v>coverage-work-requirements</x:v>
      </x:c>
      <x:c r="B111" s="8" t="str">
        <x:v>任务覆盖与泛化边界</x:v>
      </x:c>
      <x:c r="C111" s="8" t="str">
        <x:v>6.1</x:v>
      </x:c>
      <x:c r="D111" s="8" t="str">
        <x:v>记录职业、材料、接口、操作和领域要求，检视跨任务或跨域代表性。</x:v>
      </x:c>
      <x:c r="E111" s="2"/>
      <x:c r="F111" s="2"/>
      <x:c r="G111" s="2"/>
    </x:row>
    <x:row r="112" ht="55" customHeight="1">
      <x:c r="A112" s="8" t="str">
        <x:v>observable-evidence</x:v>
      </x:c>
      <x:c r="B112" s="8" t="str">
        <x:v>答案、产物、状态与过程证据</x:v>
      </x:c>
      <x:c r="C112" s="8" t="str">
        <x:v>6.2</x:v>
      </x:c>
      <x:c r="D112" s="8" t="str">
        <x:v>区分各种观察能支持的工作完成结论。</x:v>
      </x:c>
      <x:c r="E112" s="2"/>
      <x:c r="F112" s="2"/>
      <x:c r="G112" s="2"/>
    </x:row>
    <x:row r="113" ht="55" customHeight="1">
      <x:c r="A113" s="8" t="str">
        <x:v>rubric-judging</x:v>
      </x:c>
      <x:c r="B113" s="8" t="str">
        <x:v>标准、量规与裁判</x:v>
      </x:c>
      <x:c r="C113" s="8" t="str">
        <x:v>6.2</x:v>
      </x:c>
      <x:c r="D113" s="8" t="str">
        <x:v>用程序、专家 rubric 或模型裁判将任务要求对应到工作证据。</x:v>
      </x:c>
      <x:c r="E113" s="2"/>
      <x:c r="F113" s="2"/>
      <x:c r="G113" s="2"/>
    </x:row>
    <x:row r="114" ht="55" customHeight="1">
      <x:c r="A114" s="8" t="str">
        <x:v>verification-validity</x:v>
      </x:c>
      <x:c r="B114" s="8" t="str">
        <x:v>验证证据的有效性</x:v>
      </x:c>
      <x:c r="C114" s="8" t="str">
        <x:v>6.2</x:v>
      </x:c>
      <x:c r="D114" s="8" t="str">
        <x:v>检验裁判偏差、相关错误、模拟外部有效性以及验证器随系统变化的可信性。</x:v>
      </x:c>
      <x:c r="E114" s="2"/>
      <x:c r="F114" s="2"/>
      <x:c r="G114" s="2"/>
    </x:row>
    <x:row r="115" ht="55" customHeight="1">
      <x:c r="A115" s="8" t="str">
        <x:v>success-reliability</x:v>
      </x:c>
      <x:c r="B115" s="8" t="str">
        <x:v>成功、部分进展与稳定性</x:v>
      </x:c>
      <x:c r="C115" s="8" t="str">
        <x:v>6.3</x:v>
      </x:c>
      <x:c r="D115" s="8" t="str">
        <x:v>区分全项成功、阶段进展及重复运行可靠性。</x:v>
      </x:c>
      <x:c r="E115" s="2"/>
      <x:c r="F115" s="2"/>
      <x:c r="G115" s="2"/>
    </x:row>
    <x:row r="116" ht="55" customHeight="1">
      <x:c r="A116" s="8" t="str">
        <x:v>quality-cost-value</x:v>
      </x:c>
      <x:c r="B116" s="8" t="str">
        <x:v>质量、时间成本与使用价值</x:v>
      </x:c>
      <x:c r="C116" s="8" t="str">
        <x:v>6.3</x:v>
      </x:c>
      <x:c r="D116" s="8" t="str">
        <x:v>区分情境质量、分数、资源开销、执行跨度和实际人机工作收益。</x:v>
      </x:c>
      <x:c r="E116" s="2"/>
      <x:c r="F116" s="2"/>
      <x:c r="G116" s="2"/>
    </x:row>
    <x:row r="117" ht="55" customHeight="1">
      <x:c r="A117" s="8" t="str">
        <x:v>runtime-infrastructure</x:v>
      </x:c>
      <x:c r="B117" s="8" t="str">
        <x:v>执行平台、隔离与规模化</x:v>
      </x:c>
      <x:c r="C117" s="8" t="str">
        <x:v>6.4</x:v>
      </x:c>
      <x:c r="D117" s="8" t="str">
        <x:v>通过统一观察动作接口、沙箱隔离、并发调度、生命周期管理和评测接入支撑复用及规模化执行。</x:v>
      </x:c>
      <x:c r="E117" s="2"/>
      <x:c r="F117" s="2"/>
      <x:c r="G117" s="2"/>
    </x:row>
    <x:row r="118" ht="55" customHeight="1">
      <x:c r="A118" s="8" t="str">
        <x:v>event-driven-work</x:v>
      </x:c>
      <x:c r="B118" s="8" t="str">
        <x:v>主动触发与时机选择</x:v>
      </x:c>
      <x:c r="C118" s="8" t="str">
        <x:v>7.2</x:v>
      </x:c>
      <x:c r="D118" s="8" t="str">
        <x:v>无需新提示时识别事件并履行适当的持续职责。</x:v>
      </x:c>
      <x:c r="E118" s="2"/>
      <x:c r="F118" s="2"/>
      <x:c r="G118" s="2"/>
    </x:row>
    <x:row r="119" ht="55" customHeight="1">
      <x:c r="A119" s="8" t="str">
        <x:v>continual-adaptation</x:v>
      </x:c>
      <x:c r="B119" s="8" t="str">
        <x:v>跨任务个性化与自演化</x:v>
      </x:c>
      <x:c r="C119" s="8" t="str">
        <x:v>7.2</x:v>
      </x:c>
      <x:c r="D119" s="8" t="str">
        <x:v>保存经验、适应任务流并检查遗忘和退化。</x:v>
      </x:c>
      <x:c r="E119" s="2"/>
      <x:c r="F119" s="2"/>
      <x:c r="G119" s="2"/>
    </x:row>
    <x:row r="120" ht="55" customHeight="1">
      <x:c r="A120" s="8" t="str">
        <x:v>organizational-productivity</x:v>
      </x:c>
      <x:c r="B120" s="8" t="str">
        <x:v>组织协作与真实生产率</x:v>
      </x:c>
      <x:c r="C120" s="8" t="str">
        <x:v>7.4</x:v>
      </x:c>
      <x:c r="D120" s="8" t="str">
        <x:v>考察团队角色、授权、组织互补投入、真实工作实验和经济劳动价值。</x:v>
      </x:c>
      <x:c r="E120" s="2"/>
      <x:c r="F120" s="2"/>
      <x:c r="G120" s="2"/>
    </x:row>
    <x:row r="121" ht="55" customHeight="1">
      <x:c r="A121" s="8" t="str">
        <x:v>safety-authorization</x:v>
      </x:c>
      <x:c r="B121" s="8" t="str">
        <x:v>安全、隐私与授权边界</x:v>
      </x:c>
      <x:c r="C121" s="8" t="str">
        <x:v>6.2</x:v>
      </x:c>
      <x:c r="D121" s="8" t="str">
        <x:v>检验注入、越权、有害请求、隐私泄露或不当副作用与工作效用的关系。</x:v>
      </x:c>
      <x:c r="E121" s="2"/>
      <x:c r="F121" s="2"/>
      <x:c r="G121" s="2"/>
    </x:row>
    <x:row r="122">
      <x:c r="A122" s="2"/>
      <x:c r="B122" s="2"/>
      <x:c r="C122" s="2"/>
      <x:c r="D122" s="2"/>
      <x:c r="E122" s="2"/>
      <x:c r="F122" s="2"/>
      <x:c r="G122" s="2"/>
    </x:row>
    <x:row r="123">
      <x:c r="A123" s="2"/>
      <x:c r="B123" s="2"/>
      <x:c r="C123" s="2"/>
      <x:c r="D123" s="2"/>
      <x:c r="E123" s="2"/>
      <x:c r="F123" s="2"/>
      <x:c r="G123" s="2"/>
    </x:row>
    <x:row r="124">
      <x:c r="A124" s="2"/>
      <x:c r="B124" s="2"/>
      <x:c r="C124" s="2"/>
      <x:c r="D124" s="2"/>
      <x:c r="E124" s="2"/>
      <x:c r="F124" s="2"/>
      <x:c r="G124" s="2"/>
    </x:row>
    <x:row r="125" ht="30" customHeight="1">
      <x:c r="A125" s="3" t="str">
        <x:v>五项核心能力</x:v>
      </x:c>
      <x:c r="B125" s="2"/>
      <x:c r="C125" s="2"/>
      <x:c r="D125" s="2"/>
      <x:c r="E125" s="2"/>
      <x:c r="F125" s="2"/>
      <x:c r="G125" s="2"/>
    </x:row>
    <x:row r="126">
      <x:c r="A126" s="2"/>
      <x:c r="B126" s="2"/>
      <x:c r="C126" s="2"/>
      <x:c r="D126" s="2"/>
      <x:c r="E126" s="2"/>
      <x:c r="F126" s="2"/>
      <x:c r="G126" s="2"/>
    </x:row>
    <x:row r="127" ht="32" customHeight="1">
      <x:c r="A127" s="7" t="str">
        <x:v>代码</x:v>
      </x:c>
      <x:c r="B127" s="7" t="str">
        <x:v>中文术语</x:v>
      </x:c>
      <x:c r="C127" s="7" t="str">
        <x:v>对应章节</x:v>
      </x:c>
      <x:c r="D127" s="7" t="str">
        <x:v>定义 / 代表工作</x:v>
      </x:c>
      <x:c r="E127" s="2"/>
      <x:c r="F127" s="2"/>
      <x:c r="G127" s="2"/>
    </x:row>
    <x:row r="128" ht="55" customHeight="1">
      <x:c r="A128" s="8" t="str">
        <x:v>perception-understanding</x:v>
      </x:c>
      <x:c r="B128" s="8" t="str">
        <x:v>感知与理解</x:v>
      </x:c>
      <x:c r="C128" s="8" t="str">
        <x:v>2.3.1</x:v>
      </x:c>
      <x:c r="D128" s="8" t="str">
        <x:v>研究侧重或任务需求，不等于模型已经具备该能力。</x:v>
      </x:c>
      <x:c r="E128" s="2"/>
      <x:c r="F128" s="2"/>
      <x:c r="G128" s="2"/>
    </x:row>
    <x:row r="129" ht="55" customHeight="1">
      <x:c r="A129" s="8" t="str">
        <x:v>reasoning-decision</x:v>
      </x:c>
      <x:c r="B129" s="8" t="str">
        <x:v>推理与决策</x:v>
      </x:c>
      <x:c r="C129" s="8" t="str">
        <x:v>2.3.2</x:v>
      </x:c>
      <x:c r="D129" s="8" t="str">
        <x:v>研究侧重或任务需求，不等于模型已经具备该能力。</x:v>
      </x:c>
      <x:c r="E129" s="2"/>
      <x:c r="F129" s="2"/>
      <x:c r="G129" s="2"/>
    </x:row>
    <x:row r="130" ht="55" customHeight="1">
      <x:c r="A130" s="8" t="str">
        <x:v>planning-coordination</x:v>
      </x:c>
      <x:c r="B130" s="8" t="str">
        <x:v>规划与协调</x:v>
      </x:c>
      <x:c r="C130" s="8" t="str">
        <x:v>2.3.3</x:v>
      </x:c>
      <x:c r="D130" s="8" t="str">
        <x:v>研究侧重或任务需求，不等于模型已经具备该能力。</x:v>
      </x:c>
      <x:c r="E130" s="2"/>
      <x:c r="F130" s="2"/>
      <x:c r="G130" s="2"/>
    </x:row>
    <x:row r="131" ht="55" customHeight="1">
      <x:c r="A131" s="8" t="str">
        <x:v>execution-state</x:v>
      </x:c>
      <x:c r="B131" s="8" t="str">
        <x:v>执行与状态管理</x:v>
      </x:c>
      <x:c r="C131" s="8" t="str">
        <x:v>2.3.4</x:v>
      </x:c>
      <x:c r="D131" s="8" t="str">
        <x:v>研究侧重或任务需求，不等于模型已经具备该能力。</x:v>
      </x:c>
      <x:c r="E131" s="2"/>
      <x:c r="F131" s="2"/>
      <x:c r="G131" s="2"/>
    </x:row>
    <x:row r="132" ht="55" customHeight="1">
      <x:c r="A132" s="8" t="str">
        <x:v>verification-recovery</x:v>
      </x:c>
      <x:c r="B132" s="8" t="str">
        <x:v>验证、恢复与重新规划</x:v>
      </x:c>
      <x:c r="C132" s="8" t="str">
        <x:v>2.3.5</x:v>
      </x:c>
      <x:c r="D132" s="8" t="str">
        <x:v>研究侧重或任务需求，不等于模型已经具备该能力。</x:v>
      </x:c>
      <x:c r="E132" s="2"/>
      <x:c r="F132" s="2"/>
      <x:c r="G132" s="2"/>
    </x:row>
    <x:row r="133">
      <x:c r="A133" s="2"/>
      <x:c r="B133" s="2"/>
      <x:c r="C133" s="2"/>
      <x:c r="D133" s="2"/>
      <x:c r="E133" s="2"/>
      <x:c r="F133" s="2"/>
      <x:c r="G133" s="2"/>
    </x:row>
    <x:row r="134">
      <x:c r="A134" s="2"/>
      <x:c r="B134" s="2"/>
      <x:c r="C134" s="2"/>
      <x:c r="D134" s="2"/>
      <x:c r="E134" s="2"/>
      <x:c r="F134" s="2"/>
      <x:c r="G134" s="2"/>
    </x:row>
    <x:row r="135">
      <x:c r="A135" s="2"/>
      <x:c r="B135" s="2"/>
      <x:c r="C135" s="2"/>
      <x:c r="D135" s="2"/>
      <x:c r="E135" s="2"/>
      <x:c r="F135" s="2"/>
      <x:c r="G135" s="2"/>
    </x:row>
    <x:row r="136" ht="30" customHeight="1">
      <x:c r="A136" s="3" t="str">
        <x:v>优化机制</x:v>
      </x:c>
      <x:c r="B136" s="2"/>
      <x:c r="C136" s="2"/>
      <x:c r="D136" s="2"/>
      <x:c r="E136" s="2"/>
      <x:c r="F136" s="2"/>
      <x:c r="G136" s="2"/>
    </x:row>
    <x:row r="137">
      <x:c r="A137" s="2"/>
      <x:c r="B137" s="2"/>
      <x:c r="C137" s="2"/>
      <x:c r="D137" s="2"/>
      <x:c r="E137" s="2"/>
      <x:c r="F137" s="2"/>
      <x:c r="G137" s="2"/>
    </x:row>
    <x:row r="138" ht="32" customHeight="1">
      <x:c r="A138" s="7" t="str">
        <x:v>代码</x:v>
      </x:c>
      <x:c r="B138" s="7" t="str">
        <x:v>中文术语</x:v>
      </x:c>
      <x:c r="C138" s="7" t="str">
        <x:v>对应章节</x:v>
      </x:c>
      <x:c r="D138" s="7" t="str">
        <x:v>定义 / 代表工作</x:v>
      </x:c>
      <x:c r="E138" s="2"/>
      <x:c r="F138" s="2"/>
      <x:c r="G138" s="2"/>
    </x:row>
    <x:row r="139" ht="55" customHeight="1">
      <x:c r="A139" s="8" t="str">
        <x:v>environment-synthesis</x:v>
      </x:c>
      <x:c r="B139" s="8" t="str">
        <x:v>任务与环境合成</x:v>
      </x:c>
      <x:c r="C139" s="8" t="str">
        <x:v>5.1.1</x:v>
      </x:c>
      <x:c r="D139" s="8" t="str">
        <x:v>NexForge, GraphForge, WorkGenesis, EnvScaler</x:v>
      </x:c>
      <x:c r="E139" s="2"/>
      <x:c r="F139" s="2"/>
      <x:c r="G139" s="2"/>
    </x:row>
    <x:row r="140" ht="55" customHeight="1">
      <x:c r="A140" s="8" t="str">
        <x:v>trajectory-curation</x:v>
      </x:c>
      <x:c r="B140" s="8" t="str">
        <x:v>轨迹收集与筛选</x:v>
      </x:c>
      <x:c r="C140" s="8" t="str">
        <x:v>5.1.2</x:v>
      </x:c>
      <x:c r="D140" s="8" t="str">
        <x:v>SEE, OpenThoughts-Agent, CurateEvo</x:v>
      </x:c>
      <x:c r="E140" s="2"/>
      <x:c r="F140" s="2"/>
      <x:c r="G140" s="2"/>
    </x:row>
    <x:row r="141" ht="55" customHeight="1">
      <x:c r="A141" s="8" t="str">
        <x:v>reward-verification</x:v>
      </x:c>
      <x:c r="B141" s="8" t="str">
        <x:v>奖励与验证信号</x:v>
      </x:c>
      <x:c r="C141" s="8" t="str">
        <x:v>5.1.3</x:v>
      </x:c>
      <x:c r="D141" s="8" t="str">
        <x:v>Spreadsheet-RL, AeSlides, Learning to Present</x:v>
      </x:c>
      <x:c r="E141" s="2"/>
      <x:c r="F141" s="2"/>
      <x:c r="G141" s="2"/>
    </x:row>
    <x:row r="142" ht="55" customHeight="1">
      <x:c r="A142" s="8" t="str">
        <x:v>mid-training-sft</x:v>
      </x:c>
      <x:c r="B142" s="8" t="str">
        <x:v>中期训练与监督微调</x:v>
      </x:c>
      <x:c r="C142" s="8" t="str">
        <x:v>5.2.1</x:v>
      </x:c>
      <x:c r="D142" s="8" t="str">
        <x:v>daVinci-Dev, TrajLong, Function-Aware FIM</x:v>
      </x:c>
      <x:c r="E142" s="2"/>
      <x:c r="F142" s="2"/>
      <x:c r="G142" s="2"/>
    </x:row>
    <x:row r="143" ht="55" customHeight="1">
      <x:c r="A143" s="8" t="str">
        <x:v>agentic-rl</x:v>
      </x:c>
      <x:c r="B143" s="8" t="str">
        <x:v>智能体强化学习</x:v>
      </x:c>
      <x:c r="C143" s="8" t="str">
        <x:v>5.2.2</x:v>
      </x:c>
      <x:c r="D143" s="8" t="str">
        <x:v>HiPER, Adaptive Milestone Reward, ReTool</x:v>
      </x:c>
      <x:c r="E143" s="2"/>
      <x:c r="F143" s="2"/>
      <x:c r="G143" s="2"/>
    </x:row>
    <x:row r="144" ht="55" customHeight="1">
      <x:c r="A144" s="8" t="str">
        <x:v>on-policy-distillation</x:v>
      </x:c>
      <x:c r="B144" s="8" t="str">
        <x:v>同策略蒸馏</x:v>
      </x:c>
      <x:c r="C144" s="8" t="str">
        <x:v>5.2.3</x:v>
      </x:c>
      <x:c r="D144" s="8" t="str">
        <x:v>TCOD, SOD, Skill-SD</x:v>
      </x:c>
      <x:c r="E144" s="2"/>
      <x:c r="F144" s="2"/>
      <x:c r="G144" s="2"/>
    </x:row>
    <x:row r="145" ht="55" customHeight="1">
      <x:c r="A145" s="8" t="str">
        <x:v>self-improving-training</x:v>
      </x:c>
      <x:c r="B145" s="8" t="str">
        <x:v>自改进模型训练</x:v>
      </x:c>
      <x:c r="C145" s="8" t="str">
        <x:v>5.2.4</x:v>
      </x:c>
      <x:c r="D145" s="8" t="str">
        <x:v>Socratic-SWE, Self-Retrospection Distillation</x:v>
      </x:c>
      <x:c r="E145" s="2"/>
      <x:c r="F145" s="2"/>
      <x:c r="G145" s="2"/>
    </x:row>
    <x:row r="146" ht="55" customHeight="1">
      <x:c r="A146" s="8" t="str">
        <x:v>tool-interface</x:v>
      </x:c>
      <x:c r="B146" s="8" t="str">
        <x:v>接口与工具优化</x:v>
      </x:c>
      <x:c r="C146" s="8" t="str">
        <x:v>5.3.1</x:v>
      </x:c>
      <x:c r="D146" s="8" t="str">
        <x:v>SWE-agent, JTPRO, Beyond Prompts</x:v>
      </x:c>
      <x:c r="E146" s="2"/>
      <x:c r="F146" s="2"/>
      <x:c r="G146" s="2"/>
    </x:row>
    <x:row r="147" ht="55" customHeight="1">
      <x:c r="A147" s="8" t="str">
        <x:v>prompt-workflow</x:v>
      </x:c>
      <x:c r="B147" s="8" t="str">
        <x:v>提示与工作流优化</x:v>
      </x:c>
      <x:c r="C147" s="8" t="str">
        <x:v>5.3.2</x:v>
      </x:c>
      <x:c r="D147" s="8" t="str">
        <x:v>AFlow, GEPA, Meta-Harness</x:v>
      </x:c>
      <x:c r="E147" s="2"/>
      <x:c r="F147" s="2"/>
      <x:c r="G147" s="2"/>
    </x:row>
    <x:row r="148" ht="55" customHeight="1">
      <x:c r="A148" s="8" t="str">
        <x:v>memory-skill</x:v>
      </x:c>
      <x:c r="B148" s="8" t="str">
        <x:v>记忆与技能优化</x:v>
      </x:c>
      <x:c r="C148" s="8" t="str">
        <x:v>5.3.3</x:v>
      </x:c>
      <x:c r="D148" s="8" t="str">
        <x:v>Agent Workflow Memory, ReasoningBank, SkillOpt</x:v>
      </x:c>
      <x:c r="E148" s="2"/>
      <x:c r="F148" s="2"/>
      <x:c r="G148" s="2"/>
    </x:row>
    <x:row r="149" ht="55" customHeight="1">
      <x:c r="A149" s="8" t="str">
        <x:v>model-harness-coupling</x:v>
      </x:c>
      <x:c r="B149" s="8" t="str">
        <x:v>模型与运行框架耦合优化</x:v>
      </x:c>
      <x:c r="C149" s="8" t="str">
        <x:v>5.4</x:v>
      </x:c>
      <x:c r="D149" s="8" t="str">
        <x:v>UI-Copilot, SkillRL, Optimas</x:v>
      </x:c>
      <x:c r="E149" s="2"/>
      <x:c r="F149" s="2"/>
      <x:c r="G149" s="2"/>
    </x:row>
    <x:row r="150">
      <x:c r="A150" s="2"/>
      <x:c r="B150" s="2"/>
      <x:c r="C150" s="2"/>
      <x:c r="D150" s="2"/>
      <x:c r="E150" s="2"/>
      <x:c r="F150" s="2"/>
      <x:c r="G150" s="2"/>
    </x:row>
    <x:row r="151">
      <x:c r="A151" s="2"/>
      <x:c r="B151" s="2"/>
      <x:c r="C151" s="2"/>
      <x:c r="D151" s="2"/>
      <x:c r="E151" s="2"/>
      <x:c r="F151" s="2"/>
      <x:c r="G151" s="2"/>
    </x:row>
    <x:row r="152">
      <x:c r="A152" s="2"/>
      <x:c r="B152" s="2"/>
      <x:c r="C152" s="2"/>
      <x:c r="D152" s="2"/>
      <x:c r="E152" s="2"/>
      <x:c r="F152" s="2"/>
      <x:c r="G152" s="2"/>
    </x:row>
    <x:row r="153">
      <x:c r="A153" s="2"/>
      <x:c r="B153" s="2"/>
      <x:c r="C153" s="2"/>
      <x:c r="D153" s="2"/>
      <x:c r="E153" s="2"/>
      <x:c r="F153" s="2"/>
      <x:c r="G153" s="2"/>
    </x:row>
    <x:row r="154">
      <x:c r="A154" s="2"/>
      <x:c r="B154" s="2"/>
      <x:c r="C154" s="2"/>
      <x:c r="D154" s="2"/>
      <x:c r="E154" s="2"/>
      <x:c r="F154" s="2"/>
      <x:c r="G154" s="2"/>
    </x:row>
    <x:row r="155">
      <x:c r="A155" s="2"/>
      <x:c r="B155" s="2"/>
      <x:c r="C155" s="2"/>
      <x:c r="D155" s="2"/>
      <x:c r="E155" s="2"/>
      <x:c r="F155" s="2"/>
      <x:c r="G155" s="2"/>
    </x:row>
    <x:row r="156">
      <x:c r="A156" s="2"/>
      <x:c r="B156" s="2"/>
      <x:c r="C156" s="2"/>
      <x:c r="D156" s="2"/>
      <x:c r="E156" s="2"/>
      <x:c r="F156" s="2"/>
      <x:c r="G156" s="2"/>
    </x:row>
    <x:row r="157">
      <x:c r="A157" s="2"/>
      <x:c r="B157" s="2"/>
      <x:c r="C157" s="2"/>
      <x:c r="D157" s="2"/>
      <x:c r="E157" s="2"/>
      <x:c r="F157" s="2"/>
      <x:c r="G157" s="2"/>
    </x:row>
    <x:row r="158">
      <x:c r="A158" s="2"/>
      <x:c r="B158" s="2"/>
      <x:c r="C158" s="2"/>
      <x:c r="D158" s="2"/>
      <x:c r="E158" s="2"/>
      <x:c r="F158" s="2"/>
      <x:c r="G158" s="2"/>
    </x:row>
    <x:row r="159">
      <x:c r="A159" s="2"/>
      <x:c r="B159" s="2"/>
      <x:c r="C159" s="2"/>
      <x:c r="D159" s="2"/>
      <x:c r="E159" s="2"/>
      <x:c r="F159" s="2"/>
      <x:c r="G159" s="2"/>
    </x:row>
    <x:row r="160">
      <x:c r="A160" s="2"/>
      <x:c r="B160" s="2"/>
      <x:c r="C160" s="2"/>
      <x:c r="D160" s="2"/>
      <x:c r="E160" s="2"/>
      <x:c r="F160" s="2"/>
      <x:c r="G160" s="2"/>
    </x:row>
    <x:row r="161">
      <x:c r="A161" s="2"/>
      <x:c r="B161" s="2"/>
      <x:c r="C161" s="2"/>
      <x:c r="D161" s="2"/>
      <x:c r="E161" s="2"/>
      <x:c r="F161" s="2"/>
      <x:c r="G161" s="2"/>
    </x:row>
    <x:row r="162">
      <x:c r="A162" s="2"/>
      <x:c r="B162" s="2"/>
      <x:c r="C162" s="2"/>
      <x:c r="D162" s="2"/>
      <x:c r="E162" s="2"/>
      <x:c r="F162" s="2"/>
      <x:c r="G162" s="2"/>
    </x:row>
    <x:row r="163">
      <x:c r="A163" s="2"/>
      <x:c r="B163" s="2"/>
      <x:c r="C163" s="2"/>
      <x:c r="D163" s="2"/>
      <x:c r="E163" s="2"/>
      <x:c r="F163" s="2"/>
      <x:c r="G163" s="2"/>
    </x:row>
    <x:row r="164">
      <x:c r="A164" s="2"/>
      <x:c r="B164" s="2"/>
      <x:c r="C164" s="2"/>
      <x:c r="D164" s="2"/>
      <x:c r="E164" s="2"/>
      <x:c r="F164" s="2"/>
      <x:c r="G164" s="2"/>
    </x:row>
    <x:row r="165">
      <x:c r="A165" s="2"/>
      <x:c r="B165" s="2"/>
      <x:c r="C165" s="2"/>
      <x:c r="D165" s="2"/>
      <x:c r="E165" s="2"/>
      <x:c r="F165" s="2"/>
      <x:c r="G165" s="2"/>
    </x:row>
    <x:row r="166">
      <x:c r="A166" s="2"/>
      <x:c r="B166" s="2"/>
      <x:c r="C166" s="2"/>
      <x:c r="D166" s="2"/>
      <x:c r="E166" s="2"/>
      <x:c r="F166" s="2"/>
      <x:c r="G166" s="2"/>
    </x:row>
    <x:row r="167">
      <x:c r="A167" s="2"/>
      <x:c r="B167" s="2"/>
      <x:c r="C167" s="2"/>
      <x:c r="D167" s="2"/>
      <x:c r="E167" s="2"/>
      <x:c r="F167" s="2"/>
      <x:c r="G167" s="2"/>
    </x:row>
    <x:row r="168">
      <x:c r="A168" s="2"/>
      <x:c r="B168" s="2"/>
      <x:c r="C168" s="2"/>
      <x:c r="D168" s="2"/>
      <x:c r="E168" s="2"/>
      <x:c r="F168" s="2"/>
      <x:c r="G168" s="2"/>
    </x:row>
    <x:row r="169">
      <x:c r="A169" s="2"/>
      <x:c r="B169" s="2"/>
      <x:c r="C169" s="2"/>
      <x:c r="D169" s="2"/>
      <x:c r="E169" s="2"/>
      <x:c r="F169" s="2"/>
      <x:c r="G169" s="2"/>
    </x:row>
    <x:row r="170">
      <x:c r="A170" s="2"/>
      <x:c r="B170" s="2"/>
      <x:c r="C170" s="2"/>
      <x:c r="D170" s="2"/>
      <x:c r="E170" s="2"/>
      <x:c r="F170" s="2"/>
      <x:c r="G170" s="2"/>
    </x:row>
  </x:sheetData>
  <x:pageMargins left="0.7" right="0.7" top="0.75" bottom="0.75" header="0.3" footer="0.3"/>
  <x:tableParts count="1">
    <x:tablePart xmlns:r="http://schemas.openxmlformats.org/officeDocument/2006/relationships" r:id="R60960fc0a7ac4596"/>
  </x:tableParts>
</x:worksheet>
</file>